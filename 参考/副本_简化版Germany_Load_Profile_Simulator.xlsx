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60" firstSheet="1" activeTab="2"/>
  </bookViews>
  <sheets>
    <sheet name="说明&amp;简化逻辑" sheetId="1" r:id="rId1"/>
    <sheet name="DE_Base_Profile" sheetId="2" r:id="rId2"/>
    <sheet name="DE_Simulator" sheetId="3" r:id="rId3"/>
    <sheet name="DE_Option_Monthly" sheetId="4" r:id="rId4"/>
    <sheet name="DE_Option_Hourly" sheetId="5" r:id="rId5"/>
    <sheet name="DE_Lookups" sheetId="6" r:id="rId6"/>
    <sheet name="DE_Calc_Compare" sheetId="7" r:id="rId7"/>
    <sheet name="基于2025最新数据结果" sheetId="8" r:id="rId8"/>
    <sheet name="最终提炼主干因素" sheetId="9" r:id="rId9"/>
    <sheet name="Cooling-Heating-Month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OpenAI</author>
  </authors>
  <commentList>
    <comment ref="B2" authorId="0">
      <text>
        <r>
          <rPr>
            <sz val="10"/>
            <rFont val="宋体"/>
            <charset val="134"/>
          </rPr>
          <t>Imported from the source URL shown in the uploaded workbook.</t>
        </r>
      </text>
    </comment>
  </commentList>
</comments>
</file>

<file path=xl/sharedStrings.xml><?xml version="1.0" encoding="utf-8"?>
<sst xmlns="http://schemas.openxmlformats.org/spreadsheetml/2006/main" count="1002" uniqueCount="400">
  <si>
    <t>Load Profile simplified intervention logic / 简化干预逻辑</t>
  </si>
  <si>
    <t>Purpose / 目的</t>
  </si>
  <si>
    <t>Build a Germany-focused simulator that keeps Annual kWh + Monthly share + 24h share. No 8,760 hourly expansion.</t>
  </si>
  <si>
    <t>Factor / 因子</t>
  </si>
  <si>
    <t>Options / 选项</t>
  </si>
  <si>
    <t>Simplified logic (CN)</t>
  </si>
  <si>
    <t>Simplified logic (EN)</t>
  </si>
  <si>
    <t>Affects / 影响维度</t>
  </si>
  <si>
    <t>Germany definition / 德国定义</t>
  </si>
  <si>
    <t>Notes / 备注</t>
  </si>
  <si>
    <t>居住占用模式 / Daytime Occupancy</t>
  </si>
  <si>
    <t>Mostly away / WFH / Always home</t>
  </si>
  <si>
    <t>仅影响24小时分布，不改变年用电量和月度占比。09:00–17:00按选项系数调整（离家较多×0.6；WFH×1.4；一直有人在家×1.2），其余小时保持1.0，然后对全天24小时重新归一化。</t>
  </si>
  <si>
    <t>Only changes the 24-hour shape; annual kWh and monthly share stay unchanged. Hours 09:00–17:00 are multiplied by the selected factor (mostly away ×0.6; WFH ×1.4; always home ×1.2), all other hours stay at 1.0, then the profile is normalized back to 100%.</t>
  </si>
  <si>
    <t>24h shape only</t>
  </si>
  <si>
    <t>Daytime window = 09:00–17:00</t>
  </si>
  <si>
    <t>Best for distinguishing day-heavy vs night-heavy households.</t>
  </si>
  <si>
    <t>供暖/制冷系统 / Heating &amp; Cooling System</t>
  </si>
  <si>
    <t>None / AC / Electric heating / Heat pump</t>
  </si>
  <si>
    <t>决定是否启用冷暖季节修正，以及是否增加额外年电量。空调只重分配冷季月份和下午峰值，不增加年电量；电采暖和热泵会按系统基准热负荷增加年电量。</t>
  </si>
  <si>
    <t>Controls whether cooling/heating seasonal reshaping is active and whether extra annual kWh is added. Air conditioning only redistributes load toward cooling months and cooling peak hours; it does not add annual kWh. Electric heating and heat pumps add extra annual kWh based on a base thermal load.</t>
  </si>
  <si>
    <t>Annual + Monthly + 24h</t>
  </si>
  <si>
    <t>Cooling season = Jun–Aug; Heating season = Oct–Apr</t>
  </si>
  <si>
    <t>Base thermal load used in this file: electric heating 3,000 kWh; heat pump 2,000 kWh.</t>
  </si>
  <si>
    <t>冷暖使用强度 / Heating &amp; Cooling Usage</t>
  </si>
  <si>
    <t>Low / Medium / High / Very high</t>
  </si>
  <si>
    <t>使用强度决定三类系数：①年电量增量倍率；②冷暖季月份加强倍率；③冷暖峰时段加强倍率。强度越高，季节性和峰时段越明显。</t>
  </si>
  <si>
    <t>Usage level controls three coefficient families: (1) annual extra-kWh multiplier, (2) seasonal month multipliers, and (3) peak-hour multipliers. Higher intensity creates stronger seasonal and within-day concentration.</t>
  </si>
  <si>
    <t>Applied only when a heating/cooling system is selected</t>
  </si>
  <si>
    <t>This workbook uses simplified Germany demo coefficients, documented below.</t>
  </si>
  <si>
    <t>电动车年里程 / EV Annual Driving</t>
  </si>
  <si>
    <t>0 / 5k / 10k / 15k / 20k / 25k+ km</t>
  </si>
  <si>
    <t>按里程 × 0.18 kWh/km 计算电动车新增年电量。新增电量默认平均分摊到12个月，因此会轻微拉平月度占比。</t>
  </si>
  <si>
    <t>EV annual kWh is calculated as mileage × 0.18 kWh/km. The added EV kWh is spread evenly across 12 months by default, which slightly flattens the monthly share pattern.</t>
  </si>
  <si>
    <t>Annual + Monthly</t>
  </si>
  <si>
    <t>EV efficiency = 0.18 kWh/km</t>
  </si>
  <si>
    <t>No direct 24h impact until a charging pattern is selected.</t>
  </si>
  <si>
    <t>EV充电习惯 / EV Charging Pattern</t>
  </si>
  <si>
    <t>Overnight / Mixed / Daytime / Solar-optimized</t>
  </si>
  <si>
    <t>不改变年电量和月度占比，只影响24小时分布。系统会把EV日均电量叠加到相应时段后重新归一化。Solar-optimized在本文件中采用简化逻辑：80%按白天光伏代理曲线分配，20%回落到夜间。</t>
  </si>
  <si>
    <t>Does not change annual kWh or monthly shares; only changes the 24-hour shape. The EV daily kWh is added to the selected charging window and then normalized. In this workbook, Solar-optimized is simplified to 80% following a daytime PV proxy shape and 20% shifted to overnight hours.</t>
  </si>
  <si>
    <t>Overnight = 22:00–05:00; Daytime = 10:00–15:00</t>
  </si>
  <si>
    <t>This is an average-day representation, not a smart-charging dispatch model.</t>
  </si>
  <si>
    <t>Simplified coefficients / 简化系数</t>
  </si>
  <si>
    <t>Type</t>
  </si>
  <si>
    <t>Option</t>
  </si>
  <si>
    <t>CN summary</t>
  </si>
  <si>
    <t>EN summary</t>
  </si>
  <si>
    <t>Key values</t>
  </si>
  <si>
    <t>Applies to</t>
  </si>
  <si>
    <t>Comment</t>
  </si>
  <si>
    <t>Occupancy</t>
  </si>
  <si>
    <t>Mostly away during the day</t>
  </si>
  <si>
    <t>白天系数0.6</t>
  </si>
  <si>
    <t>Daytime factor 0.6</t>
  </si>
  <si>
    <t>09–17 ×0.6</t>
  </si>
  <si>
    <t>24h</t>
  </si>
  <si>
    <t>Night-heavy household</t>
  </si>
  <si>
    <t>Working from home</t>
  </si>
  <si>
    <t>白天系数1.4</t>
  </si>
  <si>
    <t>Daytime factor 1.4</t>
  </si>
  <si>
    <t>09–17 ×1.4</t>
  </si>
  <si>
    <t>Day-heavy household</t>
  </si>
  <si>
    <t>Someone always at home</t>
  </si>
  <si>
    <t>白天系数1.2</t>
  </si>
  <si>
    <t>Daytime factor 1.2</t>
  </si>
  <si>
    <t>09–17 ×1.2</t>
  </si>
  <si>
    <t>Moderately day-heavy</t>
  </si>
  <si>
    <t>Usage</t>
  </si>
  <si>
    <t>Low</t>
  </si>
  <si>
    <t>低强度</t>
  </si>
  <si>
    <t>Low intensity</t>
  </si>
  <si>
    <t>Annual ×0.7; Cool month ×1.05; Heat month ×1.08</t>
  </si>
  <si>
    <t>Annual+Monthly+24h</t>
  </si>
  <si>
    <t>Demo simplification</t>
  </si>
  <si>
    <t>Medium</t>
  </si>
  <si>
    <t>中等强度</t>
  </si>
  <si>
    <t>Medium intensity</t>
  </si>
  <si>
    <t>Annual ×1.0; Cool month ×1.10; Heat month ×1.15</t>
  </si>
  <si>
    <t>Default</t>
  </si>
  <si>
    <t>High</t>
  </si>
  <si>
    <t>高强度</t>
  </si>
  <si>
    <t>High intensity</t>
  </si>
  <si>
    <t>Annual ×1.3; Cool month ×1.20; Heat month ×1.25</t>
  </si>
  <si>
    <t>Very high</t>
  </si>
  <si>
    <t>很高强度</t>
  </si>
  <si>
    <t>Very high intensity</t>
  </si>
  <si>
    <t>Annual ×1.6; Cool month ×1.35; Heat month ×1.40</t>
  </si>
  <si>
    <t>Peak</t>
  </si>
  <si>
    <t>Cooling peak</t>
  </si>
  <si>
    <t>冷峰时段</t>
  </si>
  <si>
    <t>Cooling peak hours</t>
  </si>
  <si>
    <t>14–19 × [1.10 / 1.20 / 1.35 / 1.50]</t>
  </si>
  <si>
    <t>By usage level</t>
  </si>
  <si>
    <t>Heating peak</t>
  </si>
  <si>
    <t>热峰时段</t>
  </si>
  <si>
    <t>Heating peak hours</t>
  </si>
  <si>
    <t>06–09 &amp; 18–22 × [1.08 / 1.15 / 1.25 / 1.40]</t>
  </si>
  <si>
    <t>EV</t>
  </si>
  <si>
    <t>Mileage to kWh</t>
  </si>
  <si>
    <t>按里程转电量</t>
  </si>
  <si>
    <t>Mileage converted to kWh</t>
  </si>
  <si>
    <t>km × 0.18</t>
  </si>
  <si>
    <t>Annual+Monthly</t>
  </si>
  <si>
    <t>Flat monthly add-on</t>
  </si>
  <si>
    <t>Germany Base Profile (based on uploaded file)</t>
  </si>
  <si>
    <t>Source</t>
  </si>
  <si>
    <t>https://www.bdew.de/energie/standardlastprofile-strom/</t>
  </si>
  <si>
    <t>Model note</t>
  </si>
  <si>
    <t>This workbook keeps the structure as Annual kWh + Monthly share + 24h share; no 8,760 expansion.</t>
  </si>
  <si>
    <t>Month</t>
  </si>
  <si>
    <t>Base Monthly Share</t>
  </si>
  <si>
    <t>Base kWh @ 3,500</t>
  </si>
  <si>
    <t>Cooling Season Flag</t>
  </si>
  <si>
    <t>Heating Season Flag</t>
  </si>
  <si>
    <t>Hour</t>
  </si>
  <si>
    <t>Base 24h Share</t>
  </si>
  <si>
    <t>Daytime Flag (09-17)</t>
  </si>
  <si>
    <t>Cooling Peak Flag (14-19)</t>
  </si>
  <si>
    <t>Heating Peak Flag (06-09 &amp; 18-22)</t>
  </si>
  <si>
    <t>Solar PV Proxy</t>
  </si>
  <si>
    <t>Mostly overnight</t>
  </si>
  <si>
    <t>Mixed day and night</t>
  </si>
  <si>
    <t>Mostly daytime</t>
  </si>
  <si>
    <t>Solar-optimized charging</t>
  </si>
  <si>
    <t>1月</t>
  </si>
  <si>
    <t>Heating season</t>
  </si>
  <si>
    <t>2月</t>
  </si>
  <si>
    <t>3月</t>
  </si>
  <si>
    <t>4月</t>
  </si>
  <si>
    <t>5月</t>
  </si>
  <si>
    <t>Shoulder month</t>
  </si>
  <si>
    <t>6月</t>
  </si>
  <si>
    <t>Cooling season</t>
  </si>
  <si>
    <t>7月</t>
  </si>
  <si>
    <t>8月</t>
  </si>
  <si>
    <t>9月</t>
  </si>
  <si>
    <t>10月</t>
  </si>
  <si>
    <t>11月</t>
  </si>
  <si>
    <t>12月</t>
  </si>
  <si>
    <t>Total</t>
  </si>
  <si>
    <t>Germany Load Profile Simulator</t>
  </si>
  <si>
    <t>Use the drop-down cells in blue. Result = Annual kWh + Monthly share + 24h share, without 8,760 expansion.</t>
  </si>
  <si>
    <t>Base Annual Consumption (kWh) / 年总用电量</t>
  </si>
  <si>
    <t>Usage multiplier</t>
  </si>
  <si>
    <t>Result summary / 结果摘要</t>
  </si>
  <si>
    <t>Daytime Occupancy / 居住占用模式</t>
  </si>
  <si>
    <t>Thermal extra annual kWh</t>
  </si>
  <si>
    <t>Monthly result = reshaped base monthly kWh + thermal extra + flat EV add-on</t>
  </si>
  <si>
    <t>Heating and Cooling System / 供暖/制冷系统</t>
  </si>
  <si>
    <t>No heating or cooling system</t>
  </si>
  <si>
    <t>EV extra annual kWh</t>
  </si>
  <si>
    <t>24h result = reshaped non-EV daily load + EV daily charging shape</t>
  </si>
  <si>
    <t>Heating and Cooling Usage / 冷暖使用强度</t>
  </si>
  <si>
    <t>Final annual kWh</t>
  </si>
  <si>
    <t>Solar-optimized charging is simplified to 80% PV proxy + 20% overnight</t>
  </si>
  <si>
    <t>EV Annual Driving / 电动车年里程</t>
  </si>
  <si>
    <t>No electric vehicle</t>
  </si>
  <si>
    <t>Cooling month multiplier</t>
  </si>
  <si>
    <t>EV Charging Pattern / EV充电习惯</t>
  </si>
  <si>
    <t>Heating month multiplier</t>
  </si>
  <si>
    <t>Cooling peak multiplier</t>
  </si>
  <si>
    <t>Heating peak multiplier</t>
  </si>
  <si>
    <t>Base Share</t>
  </si>
  <si>
    <t>Base kWh</t>
  </si>
  <si>
    <t>Seasonal Mult</t>
  </si>
  <si>
    <t>Reshaped Base kWh</t>
  </si>
  <si>
    <t>Thermal Weight</t>
  </si>
  <si>
    <t>Thermal Extra kWh</t>
  </si>
  <si>
    <t>EV Extra kWh</t>
  </si>
  <si>
    <t>Final kWh</t>
  </si>
  <si>
    <t>Final Share</t>
  </si>
  <si>
    <t>Δ vs Base Share</t>
  </si>
  <si>
    <t>Occupancy Mult</t>
  </si>
  <si>
    <t>Peak Mult</t>
  </si>
  <si>
    <t>Adj. Non-EV Share</t>
  </si>
  <si>
    <t>Non-EV kWh/day</t>
  </si>
  <si>
    <t>EV Share</t>
  </si>
  <si>
    <t>EV kWh/day</t>
  </si>
  <si>
    <t>Final kWh/day</t>
  </si>
  <si>
    <t/>
  </si>
  <si>
    <t>Interpretation / 解读</t>
  </si>
  <si>
    <t>Monthly table shows how the annual load is distributed across 12 months after the selected load profile is applied.</t>
  </si>
  <si>
    <t>24h table shows an average-day shape. It is not a dispatch model and does not expand to 8,760 hours.</t>
  </si>
  <si>
    <t>Base annual kWh for comparison scenarios</t>
  </si>
  <si>
    <t>Rows compare individual option values on top of the Germany base profile. Monthly outputs show final share and final kWh after simplification logic.</t>
  </si>
  <si>
    <t>Group</t>
  </si>
  <si>
    <t>Scenario</t>
  </si>
  <si>
    <t>System</t>
  </si>
  <si>
    <t>EV mileage</t>
  </si>
  <si>
    <t>EV charging</t>
  </si>
  <si>
    <t>Annual kWh</t>
  </si>
  <si>
    <t>1月 share</t>
  </si>
  <si>
    <t>2月 share</t>
  </si>
  <si>
    <t>3月 share</t>
  </si>
  <si>
    <t>4月 share</t>
  </si>
  <si>
    <t>5月 share</t>
  </si>
  <si>
    <t>6月 share</t>
  </si>
  <si>
    <t>7月 share</t>
  </si>
  <si>
    <t>8月 share</t>
  </si>
  <si>
    <t>9月 share</t>
  </si>
  <si>
    <t>10月 share</t>
  </si>
  <si>
    <t>11月 share</t>
  </si>
  <si>
    <t>12月 share</t>
  </si>
  <si>
    <t>1月 kWh</t>
  </si>
  <si>
    <t>2月 kWh</t>
  </si>
  <si>
    <t>3月 kWh</t>
  </si>
  <si>
    <t>4月 kWh</t>
  </si>
  <si>
    <t>5月 kWh</t>
  </si>
  <si>
    <t>6月 kWh</t>
  </si>
  <si>
    <t>7月 kWh</t>
  </si>
  <si>
    <t>8月 kWh</t>
  </si>
  <si>
    <t>9月 kWh</t>
  </si>
  <si>
    <t>10月 kWh</t>
  </si>
  <si>
    <t>11月 kWh</t>
  </si>
  <si>
    <t>12月 kWh</t>
  </si>
  <si>
    <t>Assumption / 注释</t>
  </si>
  <si>
    <t>No HVAC / no EV</t>
  </si>
  <si>
    <t>Heating/Cooling System</t>
  </si>
  <si>
    <t>Occupancy fixed at Mostly away; no EV</t>
  </si>
  <si>
    <t>Air conditioning</t>
  </si>
  <si>
    <t>Electric heating</t>
  </si>
  <si>
    <t>Heat pump (heating &amp; cooling)</t>
  </si>
  <si>
    <t>Heating/Cooling Usage</t>
  </si>
  <si>
    <t>Heat pump - Low</t>
  </si>
  <si>
    <t>System fixed at Heat pump; no EV</t>
  </si>
  <si>
    <t>Heat pump - Medium</t>
  </si>
  <si>
    <t>Heat pump - High</t>
  </si>
  <si>
    <t>Heat pump - Very high</t>
  </si>
  <si>
    <t>EV Annual Driving</t>
  </si>
  <si>
    <t>No HVAC; overnight charging</t>
  </si>
  <si>
    <t>5,000 km</t>
  </si>
  <si>
    <t>10,000 km</t>
  </si>
  <si>
    <t>15,000 km</t>
  </si>
  <si>
    <t>20,000 km</t>
  </si>
  <si>
    <t>25,000+ km</t>
  </si>
  <si>
    <t>EV Charging Pattern</t>
  </si>
  <si>
    <t>10,000 km EV fixed</t>
  </si>
  <si>
    <t>Check</t>
  </si>
  <si>
    <t>These rows use the same scenario definitions as DE_Option_Monthly.</t>
  </si>
  <si>
    <t>Rows compare individual option values on top of the Germany base profile. Hourly outputs show the final average-day share only.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</si>
  <si>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</si>
  <si>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</si>
  <si>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</si>
  <si>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</si>
  <si>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</si>
  <si>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</si>
  <si>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</si>
  <si>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</si>
  <si>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</si>
  <si>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</si>
  <si>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</si>
  <si>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</si>
  <si>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</si>
  <si>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</si>
  <si>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</si>
  <si>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</si>
  <si>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</si>
  <si>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</si>
  <si>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</si>
  <si>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</si>
  <si>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</si>
  <si>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</si>
  <si>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</si>
  <si>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</si>
  <si>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Daytime Occupancy</t>
  </si>
  <si>
    <t>Daytime Mult</t>
  </si>
  <si>
    <t>Heating and Cooling Usage</t>
  </si>
  <si>
    <t>Annual Usage Mult</t>
  </si>
  <si>
    <t>Cooling Month Mult</t>
  </si>
  <si>
    <t>Heating Month Mult</t>
  </si>
  <si>
    <t>Cooling Peak Mult</t>
  </si>
  <si>
    <t>Heating Peak Mult</t>
  </si>
  <si>
    <t>Heating and Cooling System</t>
  </si>
  <si>
    <t>Base Thermal Load kWh</t>
  </si>
  <si>
    <t>Electric Vehicle Annual Driving</t>
  </si>
  <si>
    <t>Mileage km</t>
  </si>
  <si>
    <t>Parameter</t>
  </si>
  <si>
    <t>Value</t>
  </si>
  <si>
    <t>Base annual kWh default</t>
  </si>
  <si>
    <t>EV efficiency kWh/km</t>
  </si>
  <si>
    <t>Germany cooling season</t>
  </si>
  <si>
    <t>Jun-Aug</t>
  </si>
  <si>
    <t>Germany heating season</t>
  </si>
  <si>
    <t>Oct-Apr</t>
  </si>
  <si>
    <t>14-19</t>
  </si>
  <si>
    <t>06-09 &amp; 18-22</t>
  </si>
  <si>
    <t>Simplified solar smart cap</t>
  </si>
  <si>
    <t>80% solar / 20% overnight</t>
  </si>
  <si>
    <t>Charge</t>
  </si>
  <si>
    <t>BaseAnnual</t>
  </si>
  <si>
    <t>UsageMult</t>
  </si>
  <si>
    <t>ThermalExtra</t>
  </si>
  <si>
    <t>EVExtra</t>
  </si>
  <si>
    <t>AnnualTotal</t>
  </si>
  <si>
    <t>CoolMonth</t>
  </si>
  <si>
    <t>HeatMonth</t>
  </si>
  <si>
    <t>CoolPeak</t>
  </si>
  <si>
    <t>HeatPeak</t>
  </si>
  <si>
    <t>基于2025版的H0家庭负载数据计算出的月占比和小时占比</t>
  </si>
  <si>
    <t>数据来源：https://www.bdew.de/energie/standardlastprofile-strom/?utm_source=chatgpt.com</t>
  </si>
  <si>
    <t>本地文件</t>
  </si>
  <si>
    <t>Annual Consumption</t>
  </si>
  <si>
    <t>3500kWh</t>
  </si>
  <si>
    <t>月份</t>
  </si>
  <si>
    <t>年占比</t>
  </si>
  <si>
    <t>小时</t>
  </si>
  <si>
    <t>占全天比例</t>
  </si>
  <si>
    <t>干预因素（中文）</t>
  </si>
  <si>
    <t>UI Label</t>
  </si>
  <si>
    <t>UI Tooltip (English)</t>
  </si>
  <si>
    <t>Options (English)</t>
  </si>
  <si>
    <t>Default selection (English)</t>
  </si>
  <si>
    <t>Display rule (English)</t>
  </si>
  <si>
    <t>Annual kWh 干预逻辑</t>
  </si>
  <si>
    <t>基于Annual kWh干预逻辑的实时估算提示</t>
  </si>
  <si>
    <t>Monthly Share 干预逻辑</t>
  </si>
  <si>
    <t>24h Shape 干预逻辑</t>
  </si>
  <si>
    <t>居住占用模式</t>
  </si>
  <si>
    <t>Defines whether electricity is used during working hours (9am–5pm).</t>
  </si>
  <si>
    <t>Mostly away during the day
Working from home
Someone always at home</t>
  </si>
  <si>
    <t>Always shown</t>
  </si>
  <si>
    <t>不影响 Annual_kWh</t>
  </si>
  <si>
    <t>不改 MonthlyShare</t>
  </si>
  <si>
    <t>09–17 乘系数后归一化：
Mostly away×0.6；
WFH×1.4；
Always home×1.2；
其他时段×1.0；Normalize(HourlyShare)</t>
  </si>
  <si>
    <t>供暖/制冷系统（总控）</t>
  </si>
  <si>
    <t>Select the main system used to heat or cool the home.</t>
  </si>
  <si>
    <t>No heating or cooling system
Air conditioning
Electric heating
Heat pump (heating &amp; cooling)</t>
  </si>
  <si>
    <t>仅当 Annual 来源为 location_estimate 时可自动更新；若为 user_input或账单解析时 只提示建议：
Electric heating/Heat pump 可产生 AnnualDelta_kWh（国家包默认值或强度推导），AnnualDelta_kWh = BaseThermalLoad × UsageMultiplier[level]，
Electric heating=3000kWh，Heat pump=2000kWh，Air conditioning only=0</t>
  </si>
  <si>
    <t>决定是否启用冷/热季节修正：（加强冷暖季节用电比例）
Air conditioning → cooling season months 参与；
Electric heating → heating season months 参与；
Heat pump → 两者都参与</t>
  </si>
  <si>
    <t>决定是否启用冷/热峰时段修正：
Cooling peak 14–19；
Heating peaks 06–09 &amp; 18–22（国家可配）</t>
  </si>
  <si>
    <t>冷暖使用强度</t>
  </si>
  <si>
    <t>Overall heating/cooling usage intensity across the year.</t>
  </si>
  <si>
    <t>Shown when Heating and Cooling System ≠ No heating or cooling system</t>
  </si>
  <si>
    <t>影响UsageMultiplier
Low=0.7
Medium=1.0
High=1.3
Very High=1.6</t>
  </si>
  <si>
    <t>Estimated electricity use: ~2,000 kWh/year</t>
  </si>
  <si>
    <t>对季节月乘数：（加强冷暖季节用电比例）
CoolingMonthMult[level] 作用于 CoolingSeasonMonths；
HeatingMonthMult[level] 作用于 HeatingSeasonMonths；
之后 Normalize(MonthlyShare)
乘数和使用强度相关，各国（或地区）对应的冷暖季节和系数</t>
  </si>
  <si>
    <t>对峰时段乘数：
Cooling peak 14–19 × CoolingPeakMult[level]；
Heating peaks 06–09/18–22 × HeatingPeakMult[level]；
之后 Normalize(HourlyShare)</t>
  </si>
  <si>
    <t>电动车年里程</t>
  </si>
  <si>
    <t>Estimate total EV driving distance per year.</t>
  </si>
  <si>
    <t>No electric vehicle / 5,000 km / 10,000 km / 15,000 km / 20,000 km / 25,000+ km</t>
  </si>
  <si>
    <t>若非 None：EV_Annual_kWh = Mileage × EV_efficiency（ 0.18 kWh/km）
产生 AnnualDelta_kWh += EV_Annual_kWh（遵循 Annual source 规则）</t>
  </si>
  <si>
    <t>Estimated electricity use: ~4,500 kWh/year</t>
  </si>
  <si>
    <t>EV 用电默认全年均匀加入：
把 EV_Annual_kWh/12 加到每月 kWh，再转回 share 并归一化</t>
  </si>
  <si>
    <t>EV 充电习惯</t>
  </si>
  <si>
    <t>When is the vehicle usually charged?</t>
  </si>
  <si>
    <t>Mostly overnight / Mixed day and night / Mostly daytime / Solar-optimized charging</t>
  </si>
  <si>
    <t>Shown when Electric Vehicle Annual Driving ≠ No electric vehicle</t>
  </si>
  <si>
    <t>不改变 Annual_kWh（只影响分配）</t>
  </si>
  <si>
    <t>不改（默认 EV 已均匀加入各月）</t>
  </si>
  <si>
    <t>生成 EV_HourlyLoad[h] 并叠加后归一化：
Overnight：22–06 （EV_Daily_kWh / 8）
Mixed：60%夜 +40%日（EV_Night_kWh = EV_Daily_kWh × 0.6，EV_Night_hour = EV_Night_kWh / 8；
EV_Day_kWh = EV_Daily_kWh × 0.4，EV_Day_hour = EV_Day_kWh / 6）
Daytime：10–16 均匀（EV_Daily_kWh / 6）
Solar-optimized：EV_hour ∝ PV_hour 且 EV_hour ≤ PV_hour×SmartCap(默认0.8)，剩余转 22–06</t>
  </si>
  <si>
    <t>Estimated additional electricity use: +6,500 kWh/year</t>
  </si>
  <si>
    <t>Country / Region</t>
  </si>
  <si>
    <t>Level</t>
  </si>
  <si>
    <t>CoolingSeasonMonths</t>
  </si>
  <si>
    <t>HeatingSeasonMonths</t>
  </si>
  <si>
    <t>Australia – NSW / VIC / SA / WA</t>
  </si>
  <si>
    <t>State</t>
  </si>
  <si>
    <t>Dec–Mar</t>
  </si>
  <si>
    <t>Jun–Aug</t>
  </si>
  <si>
    <t>Australia – QLD</t>
  </si>
  <si>
    <t>Oct–Apr</t>
  </si>
  <si>
    <t>Jun–Jul</t>
  </si>
  <si>
    <t>Australia – NT</t>
  </si>
  <si>
    <t>Sep–Apr</t>
  </si>
  <si>
    <t>-</t>
  </si>
  <si>
    <t>Germany</t>
  </si>
  <si>
    <t>Country</t>
  </si>
  <si>
    <t>Netherlands</t>
  </si>
  <si>
    <t>Belgium</t>
  </si>
  <si>
    <t>Luxembourg</t>
  </si>
  <si>
    <t>Poland</t>
  </si>
  <si>
    <t>Romania</t>
  </si>
  <si>
    <t>France</t>
  </si>
  <si>
    <t>Jun–Sep</t>
  </si>
  <si>
    <t>Nov–Mar</t>
  </si>
  <si>
    <t>Philippines</t>
  </si>
  <si>
    <t>Jan–Dec</t>
  </si>
  <si>
    <t>United States – North (NY, WA, IL, MA etc.)</t>
  </si>
  <si>
    <t>United States – Central (CA, CO, VA etc.)</t>
  </si>
  <si>
    <t>May–Sep</t>
  </si>
  <si>
    <t>United States – South (TX, FL, AZ etc.)</t>
  </si>
  <si>
    <t>Apr–Oct</t>
  </si>
  <si>
    <t>Dec–Feb</t>
  </si>
  <si>
    <t>Austria</t>
  </si>
  <si>
    <t>Switzerland</t>
  </si>
  <si>
    <t>Mexico – North (Sonora, Chihuahua etc.)</t>
  </si>
  <si>
    <t>Mexico – Central (CDMX etc.)</t>
  </si>
  <si>
    <t>Mar–Sep</t>
  </si>
  <si>
    <t>Mexico – South (Yucatán etc.)</t>
  </si>
  <si>
    <t>Italy – North</t>
  </si>
  <si>
    <t>Region</t>
  </si>
  <si>
    <t>Oct–Mar</t>
  </si>
  <si>
    <t>Italy – Central</t>
  </si>
  <si>
    <t>Italy – South</t>
  </si>
  <si>
    <t>May–Oct</t>
  </si>
  <si>
    <t>Usage Level</t>
  </si>
  <si>
    <t>CoolingMonthMult</t>
  </si>
  <si>
    <t>HeatingMonthMult</t>
  </si>
  <si>
    <t>PeakHourMultiplier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</si>
</sst>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%"/>
    <numFmt numFmtId="178" formatCode="0.0000"/>
    <numFmt numFmtId="179" formatCode="\+0.0%;\-0.0%;0.0%"/>
    <numFmt numFmtId="180" formatCode="0.000"/>
  </numFmts>
  <fonts count="32">
    <font>
      <sz val="10"/>
      <color theme="1"/>
      <name val="Calibri"/>
      <charset val="134"/>
      <scheme val="minor"/>
    </font>
    <font>
      <b/>
      <sz val="9"/>
      <color rgb="FF00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10"/>
      <color rgb="FF000000"/>
      <name val="Calibri"/>
      <charset val="134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b/>
      <sz val="11"/>
      <color rgb="FF1F1F1F"/>
      <name val="Calibri"/>
      <charset val="134"/>
    </font>
    <font>
      <sz val="11"/>
      <color rgb="FF0000FF"/>
      <name val="Calibri"/>
      <charset val="134"/>
    </font>
    <font>
      <b/>
      <sz val="14"/>
      <color rgb="FFFFFFFF"/>
      <name val="Calibri"/>
      <charset val="134"/>
    </font>
    <font>
      <sz val="12"/>
      <color theme="10"/>
      <name val="Calibri"/>
      <charset val="134"/>
      <scheme val="minor"/>
    </font>
    <font>
      <sz val="11"/>
      <color rgb="FF008000"/>
      <name val="Calibri"/>
      <charset val="134"/>
    </font>
    <font>
      <sz val="11"/>
      <color rgb="FF66666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2" fillId="0" borderId="0">
      <alignment vertical="center"/>
    </xf>
    <xf numFmtId="44" fontId="12" fillId="0" borderId="0">
      <alignment vertical="center"/>
    </xf>
    <xf numFmtId="9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8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9" borderId="5">
      <alignment vertical="center"/>
    </xf>
    <xf numFmtId="0" fontId="22" fillId="10" borderId="6">
      <alignment vertical="center"/>
    </xf>
    <xf numFmtId="0" fontId="23" fillId="10" borderId="5">
      <alignment vertical="center"/>
    </xf>
    <xf numFmtId="0" fontId="24" fillId="11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12" fillId="16" borderId="0">
      <alignment vertical="center"/>
    </xf>
    <xf numFmtId="0" fontId="12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12" fillId="20" borderId="0">
      <alignment vertical="center"/>
    </xf>
    <xf numFmtId="0" fontId="12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12" fillId="24" borderId="0">
      <alignment vertical="center"/>
    </xf>
    <xf numFmtId="0" fontId="12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12" fillId="28" borderId="0">
      <alignment vertical="center"/>
    </xf>
    <xf numFmtId="0" fontId="12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12" fillId="32" borderId="0">
      <alignment vertical="center"/>
    </xf>
    <xf numFmtId="0" fontId="12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12" fillId="36" borderId="0">
      <alignment vertical="center"/>
    </xf>
    <xf numFmtId="0" fontId="12" fillId="37" borderId="0">
      <alignment vertical="center"/>
    </xf>
    <xf numFmtId="0" fontId="30" fillId="38" borderId="0">
      <alignment vertical="center"/>
    </xf>
    <xf numFmtId="0" fontId="9" fillId="0" borderId="0"/>
  </cellStyleXfs>
  <cellXfs count="52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2" fillId="0" borderId="0" xfId="0" applyNumberFormat="1" applyFont="1" applyAlignment="1">
      <alignment vertical="center" wrapText="1"/>
    </xf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horizontal="center" wrapText="1"/>
    </xf>
    <xf numFmtId="0" fontId="5" fillId="0" borderId="0" xfId="0" applyFont="1"/>
    <xf numFmtId="0" fontId="5" fillId="4" borderId="0" xfId="0" applyFont="1" applyFill="1"/>
    <xf numFmtId="176" fontId="5" fillId="2" borderId="0" xfId="0" applyNumberFormat="1" applyFont="1" applyFill="1"/>
    <xf numFmtId="177" fontId="5" fillId="0" borderId="0" xfId="0" applyNumberFormat="1" applyFont="1"/>
    <xf numFmtId="0" fontId="3" fillId="5" borderId="0" xfId="0" applyFont="1" applyFill="1" applyAlignment="1">
      <alignment wrapText="1"/>
    </xf>
    <xf numFmtId="0" fontId="6" fillId="6" borderId="0" xfId="0" applyFont="1" applyFill="1"/>
    <xf numFmtId="177" fontId="6" fillId="6" borderId="0" xfId="0" applyNumberFormat="1" applyFont="1" applyFill="1"/>
    <xf numFmtId="0" fontId="6" fillId="7" borderId="0" xfId="0" applyFont="1" applyFill="1"/>
    <xf numFmtId="176" fontId="7" fillId="4" borderId="0" xfId="0" applyNumberFormat="1" applyFont="1" applyFill="1"/>
    <xf numFmtId="176" fontId="5" fillId="0" borderId="0" xfId="0" applyNumberFormat="1" applyFont="1"/>
    <xf numFmtId="176" fontId="6" fillId="6" borderId="0" xfId="0" applyNumberFormat="1" applyFont="1" applyFill="1"/>
    <xf numFmtId="0" fontId="8" fillId="3" borderId="0" xfId="0" applyFont="1" applyFill="1"/>
    <xf numFmtId="0" fontId="7" fillId="4" borderId="0" xfId="0" applyFont="1" applyFill="1"/>
    <xf numFmtId="0" fontId="4" fillId="3" borderId="0" xfId="0" applyFont="1" applyFill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180" fontId="5" fillId="0" borderId="0" xfId="0" applyNumberFormat="1" applyFont="1"/>
    <xf numFmtId="0" fontId="6" fillId="2" borderId="0" xfId="0" applyFont="1" applyFill="1"/>
    <xf numFmtId="177" fontId="6" fillId="2" borderId="0" xfId="0" applyNumberFormat="1" applyFont="1" applyFill="1"/>
    <xf numFmtId="176" fontId="6" fillId="2" borderId="0" xfId="0" applyNumberFormat="1" applyFont="1" applyFill="1"/>
    <xf numFmtId="178" fontId="6" fillId="2" borderId="0" xfId="0" applyNumberFormat="1" applyFont="1" applyFill="1"/>
    <xf numFmtId="179" fontId="6" fillId="2" borderId="0" xfId="0" applyNumberFormat="1" applyFont="1" applyFill="1"/>
    <xf numFmtId="180" fontId="6" fillId="2" borderId="0" xfId="0" applyNumberFormat="1" applyFont="1" applyFill="1"/>
    <xf numFmtId="0" fontId="6" fillId="6" borderId="0" xfId="0" applyFont="1" applyFill="1" applyAlignment="1">
      <alignment wrapText="1"/>
    </xf>
    <xf numFmtId="0" fontId="8" fillId="3" borderId="0" xfId="0" applyFont="1" applyFill="1" applyAlignment="1">
      <alignment horizontal="left"/>
    </xf>
    <xf numFmtId="0" fontId="9" fillId="0" borderId="0" xfId="49"/>
    <xf numFmtId="0" fontId="4" fillId="3" borderId="0" xfId="0" applyFont="1" applyFill="1" applyAlignment="1">
      <alignment horizontal="center"/>
    </xf>
    <xf numFmtId="177" fontId="10" fillId="0" borderId="0" xfId="0" applyNumberFormat="1" applyFont="1"/>
    <xf numFmtId="0" fontId="11" fillId="7" borderId="0" xfId="0" applyFont="1" applyFill="1" applyAlignment="1">
      <alignment horizontal="center"/>
    </xf>
    <xf numFmtId="177" fontId="0" fillId="0" borderId="0" xfId="0" applyNumberFormat="1"/>
    <xf numFmtId="0" fontId="6" fillId="2" borderId="1" xfId="0" applyFont="1" applyFill="1" applyBorder="1"/>
    <xf numFmtId="177" fontId="6" fillId="2" borderId="1" xfId="0" applyNumberFormat="1" applyFont="1" applyFill="1" applyBorder="1"/>
    <xf numFmtId="176" fontId="6" fillId="2" borderId="1" xfId="0" applyNumberFormat="1" applyFont="1" applyFill="1" applyBorder="1"/>
    <xf numFmtId="0" fontId="3" fillId="7" borderId="0" xfId="0" applyFont="1" applyFill="1" applyAlignment="1">
      <alignment wrapText="1"/>
    </xf>
    <xf numFmtId="0" fontId="5" fillId="5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opLeftCell="A6" workbookViewId="0">
      <selection activeCell="A1" sqref="A1:G1"/>
    </sheetView>
  </sheetViews>
  <sheetFormatPr defaultColWidth="9" defaultRowHeight="15.2" outlineLevelCol="6"/>
  <cols>
    <col min="1" max="1" width="24" style="1" customWidth="1"/>
    <col min="2" max="2" width="28" style="1" customWidth="1"/>
    <col min="3" max="3" width="40" style="1" customWidth="1"/>
    <col min="4" max="4" width="42" style="1" customWidth="1"/>
    <col min="5" max="5" width="18" style="1" customWidth="1"/>
    <col min="6" max="6" width="24" style="1" customWidth="1"/>
    <col min="7" max="7" width="22" style="1" customWidth="1"/>
  </cols>
  <sheetData>
    <row r="1" ht="20.4" spans="1:7">
      <c r="A1" s="38" t="s">
        <v>0</v>
      </c>
    </row>
    <row r="2" ht="16.8" spans="1:7">
      <c r="A2" s="20" t="s">
        <v>1</v>
      </c>
      <c r="B2" s="47" t="s">
        <v>2</v>
      </c>
    </row>
    <row r="4" ht="34" spans="1:7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</row>
    <row r="5" ht="118" spans="1:7">
      <c r="A5" s="48" t="s">
        <v>10</v>
      </c>
      <c r="B5" s="48" t="s">
        <v>11</v>
      </c>
      <c r="C5" s="49" t="s">
        <v>12</v>
      </c>
      <c r="D5" s="49" t="s">
        <v>13</v>
      </c>
      <c r="E5" s="48" t="s">
        <v>14</v>
      </c>
      <c r="F5" s="48" t="s">
        <v>15</v>
      </c>
      <c r="G5" s="49" t="s">
        <v>16</v>
      </c>
    </row>
    <row r="6" ht="135" spans="1:7">
      <c r="A6" s="48" t="s">
        <v>17</v>
      </c>
      <c r="B6" s="48" t="s">
        <v>18</v>
      </c>
      <c r="C6" s="49" t="s">
        <v>19</v>
      </c>
      <c r="D6" s="49" t="s">
        <v>20</v>
      </c>
      <c r="E6" s="48" t="s">
        <v>21</v>
      </c>
      <c r="F6" s="48" t="s">
        <v>22</v>
      </c>
      <c r="G6" s="49" t="s">
        <v>23</v>
      </c>
    </row>
    <row r="7" ht="84" spans="1:7">
      <c r="A7" s="48" t="s">
        <v>24</v>
      </c>
      <c r="B7" s="48" t="s">
        <v>25</v>
      </c>
      <c r="C7" s="49" t="s">
        <v>26</v>
      </c>
      <c r="D7" s="49" t="s">
        <v>27</v>
      </c>
      <c r="E7" s="48" t="s">
        <v>21</v>
      </c>
      <c r="F7" s="48" t="s">
        <v>28</v>
      </c>
      <c r="G7" s="49" t="s">
        <v>29</v>
      </c>
    </row>
    <row r="8" ht="68" spans="1:7">
      <c r="A8" s="48" t="s">
        <v>30</v>
      </c>
      <c r="B8" s="48" t="s">
        <v>31</v>
      </c>
      <c r="C8" s="49" t="s">
        <v>32</v>
      </c>
      <c r="D8" s="49" t="s">
        <v>33</v>
      </c>
      <c r="E8" s="48" t="s">
        <v>34</v>
      </c>
      <c r="F8" s="48" t="s">
        <v>35</v>
      </c>
      <c r="G8" s="49" t="s">
        <v>36</v>
      </c>
    </row>
    <row r="9" ht="118.75" spans="1:7">
      <c r="A9" s="50" t="s">
        <v>37</v>
      </c>
      <c r="B9" s="50" t="s">
        <v>38</v>
      </c>
      <c r="C9" s="51" t="s">
        <v>39</v>
      </c>
      <c r="D9" s="51" t="s">
        <v>40</v>
      </c>
      <c r="E9" s="50" t="s">
        <v>14</v>
      </c>
      <c r="F9" s="50" t="s">
        <v>41</v>
      </c>
      <c r="G9" s="51" t="s">
        <v>42</v>
      </c>
    </row>
    <row r="12" ht="20.4" spans="1:7">
      <c r="A12" s="24" t="s">
        <v>43</v>
      </c>
    </row>
    <row r="13" ht="17" spans="1:7">
      <c r="A13" s="12" t="s">
        <v>44</v>
      </c>
      <c r="B13" s="12" t="s">
        <v>45</v>
      </c>
      <c r="C13" s="12" t="s">
        <v>46</v>
      </c>
      <c r="D13" s="12" t="s">
        <v>47</v>
      </c>
      <c r="E13" s="12" t="s">
        <v>48</v>
      </c>
      <c r="F13" s="12" t="s">
        <v>49</v>
      </c>
      <c r="G13" s="12" t="s">
        <v>50</v>
      </c>
    </row>
    <row r="14" ht="17" spans="1:7">
      <c r="A14" s="49" t="s">
        <v>51</v>
      </c>
      <c r="B14" s="49" t="s">
        <v>52</v>
      </c>
      <c r="C14" s="49" t="s">
        <v>53</v>
      </c>
      <c r="D14" s="49" t="s">
        <v>54</v>
      </c>
      <c r="E14" s="49" t="s">
        <v>55</v>
      </c>
      <c r="F14" s="49" t="s">
        <v>56</v>
      </c>
      <c r="G14" s="49" t="s">
        <v>57</v>
      </c>
    </row>
    <row r="15" ht="17" spans="1:7">
      <c r="A15" s="49" t="s">
        <v>51</v>
      </c>
      <c r="B15" s="49" t="s">
        <v>58</v>
      </c>
      <c r="C15" s="49" t="s">
        <v>59</v>
      </c>
      <c r="D15" s="49" t="s">
        <v>60</v>
      </c>
      <c r="E15" s="49" t="s">
        <v>61</v>
      </c>
      <c r="F15" s="49" t="s">
        <v>56</v>
      </c>
      <c r="G15" s="49" t="s">
        <v>62</v>
      </c>
    </row>
    <row r="16" ht="17" spans="1:7">
      <c r="A16" s="49" t="s">
        <v>51</v>
      </c>
      <c r="B16" s="49" t="s">
        <v>63</v>
      </c>
      <c r="C16" s="49" t="s">
        <v>64</v>
      </c>
      <c r="D16" s="49" t="s">
        <v>65</v>
      </c>
      <c r="E16" s="49" t="s">
        <v>66</v>
      </c>
      <c r="F16" s="49" t="s">
        <v>56</v>
      </c>
      <c r="G16" s="49" t="s">
        <v>67</v>
      </c>
    </row>
    <row r="17" ht="51" spans="1:7">
      <c r="A17" s="49" t="s">
        <v>68</v>
      </c>
      <c r="B17" s="49" t="s">
        <v>69</v>
      </c>
      <c r="C17" s="49" t="s">
        <v>70</v>
      </c>
      <c r="D17" s="49" t="s">
        <v>71</v>
      </c>
      <c r="E17" s="49" t="s">
        <v>72</v>
      </c>
      <c r="F17" s="49" t="s">
        <v>73</v>
      </c>
      <c r="G17" s="49" t="s">
        <v>74</v>
      </c>
    </row>
    <row r="18" ht="51" spans="1:7">
      <c r="A18" s="49" t="s">
        <v>68</v>
      </c>
      <c r="B18" s="49" t="s">
        <v>75</v>
      </c>
      <c r="C18" s="49" t="s">
        <v>76</v>
      </c>
      <c r="D18" s="49" t="s">
        <v>77</v>
      </c>
      <c r="E18" s="49" t="s">
        <v>78</v>
      </c>
      <c r="F18" s="49" t="s">
        <v>73</v>
      </c>
      <c r="G18" s="49" t="s">
        <v>79</v>
      </c>
    </row>
    <row r="19" ht="51" spans="1:7">
      <c r="A19" s="49" t="s">
        <v>68</v>
      </c>
      <c r="B19" s="49" t="s">
        <v>80</v>
      </c>
      <c r="C19" s="49" t="s">
        <v>81</v>
      </c>
      <c r="D19" s="49" t="s">
        <v>82</v>
      </c>
      <c r="E19" s="49" t="s">
        <v>83</v>
      </c>
      <c r="F19" s="49" t="s">
        <v>73</v>
      </c>
      <c r="G19" s="49" t="s">
        <v>74</v>
      </c>
    </row>
    <row r="20" ht="51" spans="1:7">
      <c r="A20" s="49" t="s">
        <v>68</v>
      </c>
      <c r="B20" s="49" t="s">
        <v>84</v>
      </c>
      <c r="C20" s="49" t="s">
        <v>85</v>
      </c>
      <c r="D20" s="49" t="s">
        <v>86</v>
      </c>
      <c r="E20" s="49" t="s">
        <v>87</v>
      </c>
      <c r="F20" s="49" t="s">
        <v>73</v>
      </c>
      <c r="G20" s="49" t="s">
        <v>74</v>
      </c>
    </row>
    <row r="21" ht="34" spans="1:7">
      <c r="A21" s="49" t="s">
        <v>88</v>
      </c>
      <c r="B21" s="49" t="s">
        <v>89</v>
      </c>
      <c r="C21" s="49" t="s">
        <v>90</v>
      </c>
      <c r="D21" s="49" t="s">
        <v>91</v>
      </c>
      <c r="E21" s="49" t="s">
        <v>92</v>
      </c>
      <c r="F21" s="49" t="s">
        <v>56</v>
      </c>
      <c r="G21" s="49" t="s">
        <v>93</v>
      </c>
    </row>
    <row r="22" ht="51" spans="1:7">
      <c r="A22" s="49" t="s">
        <v>88</v>
      </c>
      <c r="B22" s="49" t="s">
        <v>94</v>
      </c>
      <c r="C22" s="49" t="s">
        <v>95</v>
      </c>
      <c r="D22" s="49" t="s">
        <v>96</v>
      </c>
      <c r="E22" s="49" t="s">
        <v>97</v>
      </c>
      <c r="F22" s="49" t="s">
        <v>56</v>
      </c>
      <c r="G22" s="49" t="s">
        <v>93</v>
      </c>
    </row>
    <row r="23" ht="17" spans="1:7">
      <c r="A23" s="49" t="s">
        <v>98</v>
      </c>
      <c r="B23" s="49" t="s">
        <v>99</v>
      </c>
      <c r="C23" s="49" t="s">
        <v>100</v>
      </c>
      <c r="D23" s="49" t="s">
        <v>101</v>
      </c>
      <c r="E23" s="49" t="s">
        <v>102</v>
      </c>
      <c r="F23" s="49" t="s">
        <v>103</v>
      </c>
      <c r="G23" s="49" t="s">
        <v>104</v>
      </c>
    </row>
  </sheetData>
  <mergeCells count="3">
    <mergeCell ref="A1:G1"/>
    <mergeCell ref="B2:G2"/>
    <mergeCell ref="A12:G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workbookViewId="0">
      <selection activeCell="A1" sqref="A1:F1"/>
    </sheetView>
  </sheetViews>
  <sheetFormatPr defaultColWidth="9" defaultRowHeight="15.2"/>
  <cols>
    <col min="1" max="1" width="12" style="1" customWidth="1"/>
    <col min="2" max="2" width="18" style="1" customWidth="1"/>
    <col min="3" max="3" width="14" style="1" customWidth="1"/>
    <col min="4" max="5" width="16" style="1" customWidth="1"/>
    <col min="6" max="6" width="18" style="1" customWidth="1"/>
    <col min="8" max="8" width="8" style="1" customWidth="1"/>
    <col min="9" max="9" width="13" style="1" customWidth="1"/>
    <col min="10" max="11" width="16" style="1" customWidth="1"/>
    <col min="12" max="12" width="23" style="1" customWidth="1"/>
    <col min="13" max="13" width="12" style="1" customWidth="1"/>
    <col min="14" max="14" width="16" style="1" customWidth="1"/>
    <col min="15" max="15" width="18" style="1" customWidth="1"/>
    <col min="16" max="16" width="16" style="1" customWidth="1"/>
    <col min="17" max="17" width="22" style="1" customWidth="1"/>
  </cols>
  <sheetData>
    <row r="1" ht="20.4" spans="1:17">
      <c r="A1" s="38" t="s">
        <v>105</v>
      </c>
    </row>
    <row r="2" ht="17.6" spans="1:17">
      <c r="A2" s="20" t="s">
        <v>106</v>
      </c>
      <c r="B2" s="39" t="s">
        <v>107</v>
      </c>
    </row>
    <row r="3" ht="16.8" spans="1:17">
      <c r="A3" s="20" t="s">
        <v>108</v>
      </c>
      <c r="B3" t="s">
        <v>109</v>
      </c>
    </row>
    <row r="5" ht="34" spans="1:17">
      <c r="A5" s="40" t="s">
        <v>110</v>
      </c>
      <c r="B5" s="40" t="s">
        <v>111</v>
      </c>
      <c r="C5" s="40" t="s">
        <v>112</v>
      </c>
      <c r="D5" s="40" t="s">
        <v>113</v>
      </c>
      <c r="E5" s="40" t="s">
        <v>114</v>
      </c>
      <c r="F5" s="40" t="s">
        <v>50</v>
      </c>
      <c r="H5" s="12" t="s">
        <v>115</v>
      </c>
      <c r="I5" s="12" t="s">
        <v>116</v>
      </c>
      <c r="J5" s="12" t="s">
        <v>117</v>
      </c>
      <c r="K5" s="12" t="s">
        <v>118</v>
      </c>
      <c r="L5" s="12" t="s">
        <v>119</v>
      </c>
      <c r="M5" s="12" t="s">
        <v>120</v>
      </c>
      <c r="N5" s="12" t="s">
        <v>121</v>
      </c>
      <c r="O5" s="12" t="s">
        <v>122</v>
      </c>
      <c r="P5" s="12" t="s">
        <v>123</v>
      </c>
      <c r="Q5" s="12" t="s">
        <v>124</v>
      </c>
    </row>
    <row r="6" ht="16.8" spans="1:17">
      <c r="A6" t="s">
        <v>125</v>
      </c>
      <c r="B6" s="41">
        <v>0.0789</v>
      </c>
      <c r="C6" s="22">
        <f t="shared" ref="C6:C17" si="0">3500*B6</f>
        <v>276.15</v>
      </c>
      <c r="D6" s="42">
        <v>0</v>
      </c>
      <c r="E6" s="42">
        <v>1</v>
      </c>
      <c r="F6" t="s">
        <v>126</v>
      </c>
      <c r="H6">
        <v>0</v>
      </c>
      <c r="I6" s="41">
        <v>0.0301</v>
      </c>
      <c r="J6" s="43">
        <v>0</v>
      </c>
      <c r="K6" s="43">
        <v>0</v>
      </c>
      <c r="L6" s="43">
        <v>0</v>
      </c>
      <c r="M6" s="43">
        <v>0</v>
      </c>
      <c r="N6" s="43">
        <v>0.125</v>
      </c>
      <c r="O6" s="43">
        <v>0.075</v>
      </c>
      <c r="P6" s="43">
        <v>0</v>
      </c>
      <c r="Q6" s="43">
        <v>0.025</v>
      </c>
    </row>
    <row r="7" ht="16.8" spans="1:17">
      <c r="A7" t="s">
        <v>127</v>
      </c>
      <c r="B7" s="41">
        <v>0.0791</v>
      </c>
      <c r="C7" s="22">
        <f t="shared" si="0"/>
        <v>276.85</v>
      </c>
      <c r="D7" s="42">
        <v>0</v>
      </c>
      <c r="E7" s="42">
        <v>1</v>
      </c>
      <c r="F7" t="s">
        <v>126</v>
      </c>
      <c r="H7">
        <v>1</v>
      </c>
      <c r="I7" s="41">
        <v>0.0258</v>
      </c>
      <c r="J7" s="43">
        <v>0</v>
      </c>
      <c r="K7" s="43">
        <v>0</v>
      </c>
      <c r="L7" s="43">
        <v>0</v>
      </c>
      <c r="M7" s="43">
        <v>0</v>
      </c>
      <c r="N7" s="43">
        <v>0.125</v>
      </c>
      <c r="O7" s="43">
        <v>0.075</v>
      </c>
      <c r="P7" s="43">
        <v>0</v>
      </c>
      <c r="Q7" s="43">
        <v>0.025</v>
      </c>
    </row>
    <row r="8" ht="16.8" spans="1:17">
      <c r="A8" t="s">
        <v>128</v>
      </c>
      <c r="B8" s="41">
        <v>0.0773</v>
      </c>
      <c r="C8" s="22">
        <f t="shared" si="0"/>
        <v>270.55</v>
      </c>
      <c r="D8" s="42">
        <v>0</v>
      </c>
      <c r="E8" s="42">
        <v>1</v>
      </c>
      <c r="F8" t="s">
        <v>126</v>
      </c>
      <c r="H8">
        <v>2</v>
      </c>
      <c r="I8" s="41">
        <v>0.0239</v>
      </c>
      <c r="J8" s="43">
        <v>0</v>
      </c>
      <c r="K8" s="43">
        <v>0</v>
      </c>
      <c r="L8" s="43">
        <v>0</v>
      </c>
      <c r="M8" s="43">
        <v>0</v>
      </c>
      <c r="N8" s="43">
        <v>0.125</v>
      </c>
      <c r="O8" s="43">
        <v>0.075</v>
      </c>
      <c r="P8" s="43">
        <v>0</v>
      </c>
      <c r="Q8" s="43">
        <v>0.025</v>
      </c>
    </row>
    <row r="9" ht="16.8" spans="1:17">
      <c r="A9" t="s">
        <v>129</v>
      </c>
      <c r="B9" s="41">
        <v>0.0822</v>
      </c>
      <c r="C9" s="22">
        <f t="shared" si="0"/>
        <v>287.7</v>
      </c>
      <c r="D9" s="42">
        <v>0</v>
      </c>
      <c r="E9" s="42">
        <v>1</v>
      </c>
      <c r="F9" t="s">
        <v>126</v>
      </c>
      <c r="H9">
        <v>3</v>
      </c>
      <c r="I9" s="41">
        <v>0.0232</v>
      </c>
      <c r="J9" s="43">
        <v>0</v>
      </c>
      <c r="K9" s="43">
        <v>0</v>
      </c>
      <c r="L9" s="43">
        <v>0</v>
      </c>
      <c r="M9" s="43">
        <v>0</v>
      </c>
      <c r="N9" s="43">
        <v>0.125</v>
      </c>
      <c r="O9" s="43">
        <v>0.075</v>
      </c>
      <c r="P9" s="43">
        <v>0</v>
      </c>
      <c r="Q9" s="43">
        <v>0.025</v>
      </c>
    </row>
    <row r="10" ht="16.8" spans="1:17">
      <c r="A10" t="s">
        <v>130</v>
      </c>
      <c r="B10" s="41">
        <v>0.0839</v>
      </c>
      <c r="C10" s="22">
        <f t="shared" si="0"/>
        <v>293.65</v>
      </c>
      <c r="D10" s="42">
        <v>0</v>
      </c>
      <c r="E10" s="42">
        <v>0</v>
      </c>
      <c r="F10" t="s">
        <v>131</v>
      </c>
      <c r="H10">
        <v>4</v>
      </c>
      <c r="I10" s="41">
        <v>0.0236</v>
      </c>
      <c r="J10" s="43">
        <v>0</v>
      </c>
      <c r="K10" s="43">
        <v>0</v>
      </c>
      <c r="L10" s="43">
        <v>0</v>
      </c>
      <c r="M10" s="43">
        <v>0</v>
      </c>
      <c r="N10" s="43">
        <v>0.125</v>
      </c>
      <c r="O10" s="43">
        <v>0.075</v>
      </c>
      <c r="P10" s="43">
        <v>0</v>
      </c>
      <c r="Q10" s="43">
        <v>0.025</v>
      </c>
    </row>
    <row r="11" ht="16.8" spans="1:17">
      <c r="A11" t="s">
        <v>132</v>
      </c>
      <c r="B11" s="41">
        <v>0.0876</v>
      </c>
      <c r="C11" s="22">
        <f t="shared" si="0"/>
        <v>306.6</v>
      </c>
      <c r="D11" s="42">
        <v>1</v>
      </c>
      <c r="E11" s="42">
        <v>0</v>
      </c>
      <c r="F11" t="s">
        <v>133</v>
      </c>
      <c r="H11">
        <v>5</v>
      </c>
      <c r="I11" s="41">
        <v>0.0252</v>
      </c>
      <c r="J11" s="43">
        <v>0</v>
      </c>
      <c r="K11" s="43">
        <v>0</v>
      </c>
      <c r="L11" s="43">
        <v>0</v>
      </c>
      <c r="M11" s="43">
        <v>0</v>
      </c>
      <c r="N11" s="43">
        <v>0.125</v>
      </c>
      <c r="O11" s="43">
        <v>0.075</v>
      </c>
      <c r="P11" s="43">
        <v>0</v>
      </c>
      <c r="Q11" s="43">
        <v>0.025</v>
      </c>
    </row>
    <row r="12" ht="16.8" spans="1:17">
      <c r="A12" t="s">
        <v>134</v>
      </c>
      <c r="B12" s="41">
        <v>0.0917</v>
      </c>
      <c r="C12" s="22">
        <f t="shared" si="0"/>
        <v>320.95</v>
      </c>
      <c r="D12" s="42">
        <v>1</v>
      </c>
      <c r="E12" s="42">
        <v>0</v>
      </c>
      <c r="F12" t="s">
        <v>133</v>
      </c>
      <c r="H12">
        <v>6</v>
      </c>
      <c r="I12" s="41">
        <v>0.03</v>
      </c>
      <c r="J12" s="43">
        <v>0</v>
      </c>
      <c r="K12" s="43">
        <v>0</v>
      </c>
      <c r="L12" s="43">
        <v>1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</row>
    <row r="13" ht="16.8" spans="1:17">
      <c r="A13" t="s">
        <v>135</v>
      </c>
      <c r="B13" s="41">
        <v>0.0887</v>
      </c>
      <c r="C13" s="22">
        <f t="shared" si="0"/>
        <v>310.45</v>
      </c>
      <c r="D13" s="42">
        <v>1</v>
      </c>
      <c r="E13" s="42">
        <v>0</v>
      </c>
      <c r="F13" t="s">
        <v>133</v>
      </c>
      <c r="H13">
        <v>7</v>
      </c>
      <c r="I13" s="41">
        <v>0.0358</v>
      </c>
      <c r="J13" s="43">
        <v>0</v>
      </c>
      <c r="K13" s="43">
        <v>0</v>
      </c>
      <c r="L13" s="43">
        <v>1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</row>
    <row r="14" ht="16.8" spans="1:17">
      <c r="A14" t="s">
        <v>136</v>
      </c>
      <c r="B14" s="41">
        <v>0.0853</v>
      </c>
      <c r="C14" s="22">
        <f t="shared" si="0"/>
        <v>298.55</v>
      </c>
      <c r="D14" s="42">
        <v>0</v>
      </c>
      <c r="E14" s="42">
        <v>0</v>
      </c>
      <c r="F14" t="s">
        <v>131</v>
      </c>
      <c r="H14">
        <v>8</v>
      </c>
      <c r="I14" s="41">
        <v>0.041</v>
      </c>
      <c r="J14" s="43">
        <v>0</v>
      </c>
      <c r="K14" s="43">
        <v>0</v>
      </c>
      <c r="L14" s="43">
        <v>1</v>
      </c>
      <c r="M14" s="43">
        <v>0</v>
      </c>
      <c r="N14" s="43">
        <v>0</v>
      </c>
      <c r="O14" s="43">
        <v>0</v>
      </c>
      <c r="P14" s="43">
        <v>0</v>
      </c>
      <c r="Q14" s="43">
        <v>0</v>
      </c>
    </row>
    <row r="15" ht="16.8" spans="1:17">
      <c r="A15" t="s">
        <v>137</v>
      </c>
      <c r="B15" s="41">
        <v>0.0838</v>
      </c>
      <c r="C15" s="22">
        <f t="shared" si="0"/>
        <v>293.3</v>
      </c>
      <c r="D15" s="42">
        <v>0</v>
      </c>
      <c r="E15" s="42">
        <v>1</v>
      </c>
      <c r="F15" t="s">
        <v>126</v>
      </c>
      <c r="H15">
        <v>9</v>
      </c>
      <c r="I15" s="41">
        <v>0.0446</v>
      </c>
      <c r="J15" s="43">
        <v>1</v>
      </c>
      <c r="K15" s="43">
        <v>0</v>
      </c>
      <c r="L15" s="43">
        <v>1</v>
      </c>
      <c r="M15" s="43">
        <v>0.05</v>
      </c>
      <c r="N15" s="43">
        <v>0</v>
      </c>
      <c r="O15" s="43">
        <v>0</v>
      </c>
      <c r="P15" s="43">
        <v>0</v>
      </c>
      <c r="Q15" s="43">
        <v>0.04</v>
      </c>
    </row>
    <row r="16" ht="16.8" spans="1:17">
      <c r="A16" t="s">
        <v>138</v>
      </c>
      <c r="B16" s="41">
        <v>0.0819</v>
      </c>
      <c r="C16" s="22">
        <f t="shared" si="0"/>
        <v>286.65</v>
      </c>
      <c r="D16" s="42">
        <v>0</v>
      </c>
      <c r="E16" s="42">
        <v>1</v>
      </c>
      <c r="F16" t="s">
        <v>126</v>
      </c>
      <c r="H16">
        <v>10</v>
      </c>
      <c r="I16" s="41">
        <v>0.0474</v>
      </c>
      <c r="J16" s="43">
        <v>1</v>
      </c>
      <c r="K16" s="43">
        <v>0</v>
      </c>
      <c r="L16" s="43">
        <v>0</v>
      </c>
      <c r="M16" s="43">
        <v>0.09</v>
      </c>
      <c r="N16" s="43">
        <v>0</v>
      </c>
      <c r="O16" s="43">
        <v>0.0666666666666667</v>
      </c>
      <c r="P16" s="43">
        <v>0.166666666666667</v>
      </c>
      <c r="Q16" s="43">
        <v>0.072</v>
      </c>
    </row>
    <row r="17" ht="16.8" spans="1:17">
      <c r="A17" t="s">
        <v>139</v>
      </c>
      <c r="B17" s="41">
        <v>0.0796</v>
      </c>
      <c r="C17" s="22">
        <f t="shared" si="0"/>
        <v>278.6</v>
      </c>
      <c r="D17" s="42">
        <v>0</v>
      </c>
      <c r="E17" s="42">
        <v>1</v>
      </c>
      <c r="F17" t="s">
        <v>126</v>
      </c>
      <c r="H17">
        <v>11</v>
      </c>
      <c r="I17" s="41">
        <v>0.0518</v>
      </c>
      <c r="J17" s="43">
        <v>1</v>
      </c>
      <c r="K17" s="43">
        <v>0</v>
      </c>
      <c r="L17" s="43">
        <v>0</v>
      </c>
      <c r="M17" s="43">
        <v>0.13</v>
      </c>
      <c r="N17" s="43">
        <v>0</v>
      </c>
      <c r="O17" s="43">
        <v>0.0666666666666667</v>
      </c>
      <c r="P17" s="43">
        <v>0.166666666666667</v>
      </c>
      <c r="Q17" s="43">
        <v>0.104</v>
      </c>
    </row>
    <row r="18" ht="17.55" spans="1:17">
      <c r="A18" s="44" t="s">
        <v>140</v>
      </c>
      <c r="B18" s="45">
        <f>SUM(B6:B17)</f>
        <v>1</v>
      </c>
      <c r="C18" s="46">
        <f>SUM(C6:C17)</f>
        <v>3500</v>
      </c>
      <c r="D18" s="44"/>
      <c r="E18" s="44"/>
      <c r="F18" s="44"/>
      <c r="H18">
        <v>12</v>
      </c>
      <c r="I18" s="41">
        <v>0.0513</v>
      </c>
      <c r="J18" s="43">
        <v>1</v>
      </c>
      <c r="K18" s="43">
        <v>0</v>
      </c>
      <c r="L18" s="43">
        <v>0</v>
      </c>
      <c r="M18" s="43">
        <v>0.16</v>
      </c>
      <c r="N18" s="43">
        <v>0</v>
      </c>
      <c r="O18" s="43">
        <v>0.0666666666666667</v>
      </c>
      <c r="P18" s="43">
        <v>0.166666666666667</v>
      </c>
      <c r="Q18" s="43">
        <v>0.128</v>
      </c>
    </row>
    <row r="19" ht="16.8" spans="1:17">
      <c r="H19">
        <v>13</v>
      </c>
      <c r="I19" s="41">
        <v>0.0481</v>
      </c>
      <c r="J19" s="43">
        <v>1</v>
      </c>
      <c r="K19" s="43">
        <v>0</v>
      </c>
      <c r="L19" s="43">
        <v>0</v>
      </c>
      <c r="M19" s="43">
        <v>0.17</v>
      </c>
      <c r="N19" s="43">
        <v>0</v>
      </c>
      <c r="O19" s="43">
        <v>0.0666666666666667</v>
      </c>
      <c r="P19" s="43">
        <v>0.166666666666667</v>
      </c>
      <c r="Q19" s="43">
        <v>0.136</v>
      </c>
    </row>
    <row r="20" ht="16.8" spans="1:17">
      <c r="H20">
        <v>14</v>
      </c>
      <c r="I20" s="41">
        <v>0.0459</v>
      </c>
      <c r="J20" s="43">
        <v>1</v>
      </c>
      <c r="K20" s="43">
        <v>1</v>
      </c>
      <c r="L20" s="43">
        <v>0</v>
      </c>
      <c r="M20" s="43">
        <v>0.16</v>
      </c>
      <c r="N20" s="43">
        <v>0</v>
      </c>
      <c r="O20" s="43">
        <v>0.0666666666666667</v>
      </c>
      <c r="P20" s="43">
        <v>0.166666666666667</v>
      </c>
      <c r="Q20" s="43">
        <v>0.128</v>
      </c>
    </row>
    <row r="21" ht="16.8" spans="1:17">
      <c r="H21">
        <v>15</v>
      </c>
      <c r="I21" s="41">
        <v>0.0454</v>
      </c>
      <c r="J21" s="43">
        <v>1</v>
      </c>
      <c r="K21" s="43">
        <v>1</v>
      </c>
      <c r="L21" s="43">
        <v>0</v>
      </c>
      <c r="M21" s="43">
        <v>0.13</v>
      </c>
      <c r="N21" s="43">
        <v>0</v>
      </c>
      <c r="O21" s="43">
        <v>0.0666666666666667</v>
      </c>
      <c r="P21" s="43">
        <v>0.166666666666667</v>
      </c>
      <c r="Q21" s="43">
        <v>0.104</v>
      </c>
    </row>
    <row r="22" ht="16.8" spans="1:17">
      <c r="H22">
        <v>16</v>
      </c>
      <c r="I22" s="41">
        <v>0.0475</v>
      </c>
      <c r="J22" s="43">
        <v>1</v>
      </c>
      <c r="K22" s="43">
        <v>1</v>
      </c>
      <c r="L22" s="43">
        <v>0</v>
      </c>
      <c r="M22" s="43">
        <v>0.11</v>
      </c>
      <c r="N22" s="43">
        <v>0</v>
      </c>
      <c r="O22" s="43">
        <v>0</v>
      </c>
      <c r="P22" s="43">
        <v>0</v>
      </c>
      <c r="Q22" s="43">
        <v>0.088</v>
      </c>
    </row>
    <row r="23" ht="16.8" spans="1:17">
      <c r="H23">
        <v>17</v>
      </c>
      <c r="I23" s="41">
        <v>0.0535</v>
      </c>
      <c r="J23" s="43">
        <v>1</v>
      </c>
      <c r="K23" s="43">
        <v>1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</row>
    <row r="24" ht="16.8" spans="1:17">
      <c r="H24">
        <v>18</v>
      </c>
      <c r="I24" s="41">
        <v>0.0587</v>
      </c>
      <c r="J24" s="43">
        <v>0</v>
      </c>
      <c r="K24" s="43">
        <v>1</v>
      </c>
      <c r="L24" s="43">
        <v>1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</row>
    <row r="25" ht="16.8" spans="1:17">
      <c r="H25">
        <v>19</v>
      </c>
      <c r="I25" s="41">
        <v>0.0591</v>
      </c>
      <c r="J25" s="43">
        <v>0</v>
      </c>
      <c r="K25" s="43">
        <v>1</v>
      </c>
      <c r="L25" s="43">
        <v>1</v>
      </c>
      <c r="M25" s="43">
        <v>0</v>
      </c>
      <c r="N25" s="43">
        <v>0</v>
      </c>
      <c r="O25" s="43">
        <v>0</v>
      </c>
      <c r="P25" s="43">
        <v>0</v>
      </c>
      <c r="Q25" s="43">
        <v>0</v>
      </c>
    </row>
    <row r="26" ht="16.8" spans="1:17">
      <c r="H26">
        <v>20</v>
      </c>
      <c r="I26" s="41">
        <v>0.0556</v>
      </c>
      <c r="J26" s="43">
        <v>0</v>
      </c>
      <c r="K26" s="43">
        <v>0</v>
      </c>
      <c r="L26" s="43">
        <v>1</v>
      </c>
      <c r="M26" s="43">
        <v>0</v>
      </c>
      <c r="N26" s="43">
        <v>0</v>
      </c>
      <c r="O26" s="43">
        <v>0</v>
      </c>
      <c r="P26" s="43">
        <v>0</v>
      </c>
      <c r="Q26" s="43">
        <v>0</v>
      </c>
    </row>
    <row r="27" ht="16.8" spans="1:17">
      <c r="H27">
        <v>21</v>
      </c>
      <c r="I27" s="41">
        <v>0.0508</v>
      </c>
      <c r="J27" s="43">
        <v>0</v>
      </c>
      <c r="K27" s="43">
        <v>0</v>
      </c>
      <c r="L27" s="43">
        <v>1</v>
      </c>
      <c r="M27" s="43">
        <v>0</v>
      </c>
      <c r="N27" s="43">
        <v>0</v>
      </c>
      <c r="O27" s="43">
        <v>0</v>
      </c>
      <c r="P27" s="43">
        <v>0</v>
      </c>
      <c r="Q27" s="43">
        <v>0</v>
      </c>
    </row>
    <row r="28" ht="16.8" spans="1:17">
      <c r="H28">
        <v>22</v>
      </c>
      <c r="I28" s="41">
        <v>0.0451</v>
      </c>
      <c r="J28" s="43">
        <v>0</v>
      </c>
      <c r="K28" s="43">
        <v>0</v>
      </c>
      <c r="L28" s="43">
        <v>1</v>
      </c>
      <c r="M28" s="43">
        <v>0</v>
      </c>
      <c r="N28" s="43">
        <v>0.125</v>
      </c>
      <c r="O28" s="43">
        <v>0.075</v>
      </c>
      <c r="P28" s="43">
        <v>0</v>
      </c>
      <c r="Q28" s="43">
        <v>0.025</v>
      </c>
    </row>
    <row r="29" ht="16.8" spans="1:17">
      <c r="H29">
        <v>23</v>
      </c>
      <c r="I29" s="41">
        <v>0.0366</v>
      </c>
      <c r="J29" s="43">
        <v>0</v>
      </c>
      <c r="K29" s="43">
        <v>0</v>
      </c>
      <c r="L29" s="43">
        <v>0</v>
      </c>
      <c r="M29" s="43">
        <v>0</v>
      </c>
      <c r="N29" s="43">
        <v>0.125</v>
      </c>
      <c r="O29" s="43">
        <v>0.075</v>
      </c>
      <c r="P29" s="43">
        <v>0</v>
      </c>
      <c r="Q29" s="43">
        <v>0.025</v>
      </c>
    </row>
    <row r="30" ht="17.55" spans="1:17">
      <c r="H30" s="44" t="s">
        <v>140</v>
      </c>
      <c r="I30" s="45">
        <f>SUM(I6:I29)</f>
        <v>1</v>
      </c>
      <c r="J30" s="45"/>
      <c r="K30" s="45"/>
      <c r="L30" s="45"/>
      <c r="M30" s="45"/>
      <c r="N30" s="45">
        <f>SUM(N6:N29)</f>
        <v>1</v>
      </c>
      <c r="O30" s="45">
        <f>SUM(O6:O29)</f>
        <v>1</v>
      </c>
      <c r="P30" s="45">
        <f>SUM(P6:P29)</f>
        <v>1</v>
      </c>
      <c r="Q30" s="45">
        <f>SUM(Q6:Q29)</f>
        <v>1</v>
      </c>
    </row>
  </sheetData>
  <mergeCells count="1">
    <mergeCell ref="A1:F1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tabSelected="1" workbookViewId="0">
      <selection activeCell="N23" sqref="N23"/>
    </sheetView>
  </sheetViews>
  <sheetFormatPr defaultColWidth="9" defaultRowHeight="15.2"/>
  <cols>
    <col min="1" max="1" width="38" style="1" customWidth="1"/>
    <col min="2" max="2" width="28" style="1" customWidth="1"/>
    <col min="3" max="4" width="12" style="1" customWidth="1"/>
    <col min="5" max="5" width="15" style="1" customWidth="1"/>
    <col min="6" max="6" width="19" style="1" customWidth="1"/>
    <col min="7" max="7" width="14" style="1" customWidth="1"/>
    <col min="8" max="8" width="12" style="1" customWidth="1"/>
    <col min="9" max="10" width="20" style="1" customWidth="1"/>
    <col min="11" max="12" width="16" style="1" customWidth="1"/>
    <col min="13" max="13" width="8" style="1" customWidth="1"/>
    <col min="14" max="14" width="11" style="1" customWidth="1"/>
    <col min="15" max="15" width="12" style="1" customWidth="1"/>
    <col min="16" max="16" width="10" style="1" customWidth="1"/>
    <col min="17" max="18" width="13" style="1" customWidth="1"/>
    <col min="19" max="19" width="12" style="1" customWidth="1"/>
    <col min="20" max="20" width="11" style="1" customWidth="1"/>
    <col min="21" max="22" width="12" style="1" customWidth="1"/>
    <col min="23" max="23" width="11" style="1" customWidth="1"/>
    <col min="24" max="24" width="14" style="1" customWidth="1"/>
  </cols>
  <sheetData>
    <row r="1" ht="20.4" spans="1:24">
      <c r="A1" s="24" t="s">
        <v>141</v>
      </c>
    </row>
    <row r="2" spans="1:24">
      <c r="A2" s="11" t="s">
        <v>142</v>
      </c>
    </row>
    <row r="4" ht="16.8" spans="1:24">
      <c r="A4" s="20" t="s">
        <v>143</v>
      </c>
      <c r="B4" s="25">
        <v>3500</v>
      </c>
      <c r="F4" s="20" t="s">
        <v>144</v>
      </c>
      <c r="G4" s="22">
        <f>INDEX(DE_Lookups!$E$2:$E$5,MATCH($B$7,DE_Lookups!$D$2:$D$5,0))</f>
        <v>1</v>
      </c>
      <c r="I4" s="26" t="s">
        <v>145</v>
      </c>
    </row>
    <row r="5" ht="16.8" spans="1:24">
      <c r="A5" s="20" t="s">
        <v>146</v>
      </c>
      <c r="B5" s="25" t="s">
        <v>52</v>
      </c>
      <c r="F5" s="20" t="s">
        <v>147</v>
      </c>
      <c r="G5" s="22">
        <f>IF(OR($B$6="Electric heating",$B$6="Heat pump (heating &amp; cooling)"),INDEX(DE_Lookups!$L$2:$L$5,MATCH($B$6,DE_Lookups!$K$2:$K$5,0))*G4,0)</f>
        <v>0</v>
      </c>
      <c r="I5" s="17" t="s">
        <v>148</v>
      </c>
    </row>
    <row r="6" ht="16.8" spans="1:24">
      <c r="A6" s="20" t="s">
        <v>149</v>
      </c>
      <c r="B6" s="25" t="s">
        <v>150</v>
      </c>
      <c r="F6" s="20" t="s">
        <v>151</v>
      </c>
      <c r="G6" s="22">
        <f>INDEX(DE_Lookups!$O$2:$O$7,MATCH($B$8,DE_Lookups!$N$2:$N$7,0))*0.18</f>
        <v>0</v>
      </c>
      <c r="I6" s="17" t="s">
        <v>152</v>
      </c>
    </row>
    <row r="7" ht="16.8" spans="1:24">
      <c r="A7" s="20" t="s">
        <v>153</v>
      </c>
      <c r="B7" s="25" t="s">
        <v>75</v>
      </c>
      <c r="F7" s="20" t="s">
        <v>154</v>
      </c>
      <c r="G7" s="15">
        <f>$B$4+$G$5+$G$6</f>
        <v>3500</v>
      </c>
      <c r="I7" s="17" t="s">
        <v>155</v>
      </c>
    </row>
    <row r="8" ht="16.8" spans="1:24">
      <c r="A8" s="20" t="s">
        <v>156</v>
      </c>
      <c r="B8" s="25" t="s">
        <v>157</v>
      </c>
      <c r="F8" s="20" t="s">
        <v>158</v>
      </c>
      <c r="G8" s="22">
        <f>INDEX(DE_Lookups!$F$2:$F$5,MATCH($B$7,DE_Lookups!$D$2:$D$5,0))</f>
        <v>1.1</v>
      </c>
    </row>
    <row r="9" ht="16.8" spans="1:24">
      <c r="A9" s="20" t="s">
        <v>159</v>
      </c>
      <c r="B9" s="25" t="s">
        <v>121</v>
      </c>
      <c r="F9" s="20" t="s">
        <v>160</v>
      </c>
      <c r="G9" s="22">
        <f>INDEX(DE_Lookups!$G$2:$G$5,MATCH($B$7,DE_Lookups!$D$2:$D$5,0))</f>
        <v>1.15</v>
      </c>
    </row>
    <row r="10" ht="16.8" spans="1:24">
      <c r="F10" s="20" t="s">
        <v>161</v>
      </c>
      <c r="G10" s="22">
        <f>INDEX(DE_Lookups!$H$2:$H$5,MATCH($B$7,DE_Lookups!$D$2:$D$5,0))</f>
        <v>1.2</v>
      </c>
    </row>
    <row r="11" ht="16.8" spans="1:24">
      <c r="F11" s="20" t="s">
        <v>162</v>
      </c>
      <c r="G11" s="22">
        <f>INDEX(DE_Lookups!$I$2:$I$5,MATCH($B$7,DE_Lookups!$D$2:$D$5,0))</f>
        <v>1.15</v>
      </c>
    </row>
    <row r="13" ht="34" spans="1:24">
      <c r="A13" s="12" t="s">
        <v>110</v>
      </c>
      <c r="B13" s="12" t="s">
        <v>163</v>
      </c>
      <c r="C13" s="12" t="s">
        <v>164</v>
      </c>
      <c r="D13" s="12" t="s">
        <v>165</v>
      </c>
      <c r="E13" s="12" t="s">
        <v>166</v>
      </c>
      <c r="F13" s="12" t="s">
        <v>167</v>
      </c>
      <c r="G13" s="12" t="s">
        <v>168</v>
      </c>
      <c r="H13" s="12" t="s">
        <v>169</v>
      </c>
      <c r="I13" s="12" t="s">
        <v>170</v>
      </c>
      <c r="J13" s="12" t="s">
        <v>171</v>
      </c>
      <c r="K13" s="12" t="s">
        <v>172</v>
      </c>
      <c r="M13" s="12" t="s">
        <v>115</v>
      </c>
      <c r="N13" s="12" t="s">
        <v>163</v>
      </c>
      <c r="O13" s="12" t="s">
        <v>173</v>
      </c>
      <c r="P13" s="12" t="s">
        <v>174</v>
      </c>
      <c r="Q13" s="12" t="s">
        <v>175</v>
      </c>
      <c r="R13" s="12" t="s">
        <v>176</v>
      </c>
      <c r="S13" s="12" t="s">
        <v>177</v>
      </c>
      <c r="T13" s="12" t="s">
        <v>178</v>
      </c>
      <c r="U13" s="12" t="s">
        <v>179</v>
      </c>
      <c r="V13" s="12" t="s">
        <v>171</v>
      </c>
      <c r="W13" s="12" t="s">
        <v>172</v>
      </c>
    </row>
    <row r="14" ht="16.8" spans="1:24">
      <c r="A14" t="s">
        <v>125</v>
      </c>
      <c r="B14" s="16">
        <f>DE_Base_Profile!B6</f>
        <v>0.0789</v>
      </c>
      <c r="C14" s="22">
        <f t="shared" ref="C14:C25" si="0">$B$4*B14</f>
        <v>276.15</v>
      </c>
      <c r="D14" s="27">
        <f>1+IF(OR($B$6="Air conditioning",$B$6="Heat pump (heating &amp; cooling)"),IF(DE_Base_Profile!D6=1,$G$8-1,0),0)+IF(OR($B$6="Electric heating",$B$6="Heat pump (heating &amp; cooling)"),IF(DE_Base_Profile!E6=1,$G$9-1,0),0)</f>
        <v>1</v>
      </c>
      <c r="E14" s="22">
        <f t="shared" ref="E14:E25" si="1">C14*D14</f>
        <v>276.15</v>
      </c>
      <c r="F14" s="28">
        <f>IF($B$6="Electric heating",IF(DE_Base_Profile!E6=1,B14*$G$9,0),IF($B$6="Heat pump (heating &amp; cooling)",IF(DE_Base_Profile!D6=1,B14*$G$8,0)+IF(DE_Base_Profile!E6=1,B14*$G$9,0),0))</f>
        <v>0</v>
      </c>
      <c r="G14" s="22">
        <f t="shared" ref="G14:G25" si="2">IF(SUM($F$14:$F$25)=0,0,$G$5*F14/SUM($F$14:$F$25))</f>
        <v>0</v>
      </c>
      <c r="H14" s="22">
        <f t="shared" ref="H14:H25" si="3">$G$6/12</f>
        <v>0</v>
      </c>
      <c r="I14" s="22">
        <f t="shared" ref="I14:I25" si="4">E14/SUM($E$14:$E$25)*$B$4+G14+H14</f>
        <v>276.15</v>
      </c>
      <c r="J14" s="16">
        <f t="shared" ref="J14:J25" si="5">I14/$G$7</f>
        <v>0.0789</v>
      </c>
      <c r="K14" s="29">
        <f t="shared" ref="K14:K25" si="6">J14-B14</f>
        <v>0</v>
      </c>
      <c r="M14">
        <v>0</v>
      </c>
      <c r="N14" s="16">
        <f>DE_Base_Profile!I6</f>
        <v>0.0301</v>
      </c>
      <c r="O14" s="27">
        <f>IF(DE_Base_Profile!J6=1,INDEX(DE_Lookups!$B$2:$B$4,MATCH($B$5,DE_Lookups!$A$2:$A$4,0)),1)</f>
        <v>1</v>
      </c>
      <c r="P14" s="27">
        <f>IF(OR($B$6="Air conditioning",$B$6="Heat pump (heating &amp; cooling)"),IF(DE_Base_Profile!K6=1,$G$10,1),1)*IF(OR($B$6="Electric heating",$B$6="Heat pump (heating &amp; cooling)"),IF(DE_Base_Profile!L6=1,$G$11,1),1)</f>
        <v>1</v>
      </c>
      <c r="Q14">
        <f t="shared" ref="Q14:Q37" si="7">N14*O14*P14</f>
        <v>0.0301</v>
      </c>
      <c r="R14" s="16">
        <f t="shared" ref="R14:R37" si="8">Q14/SUM($Q$14:$Q$37)</f>
        <v>0.0364495035117462</v>
      </c>
      <c r="S14" s="30">
        <f t="shared" ref="S14:S37" si="9">(($B$4+$G$5)/365)*R14</f>
        <v>0.349515787098936</v>
      </c>
      <c r="T14" s="16">
        <f>INDEX(DE_Base_Profile!$N$6:$Q$29,ROW()-13,MATCH($B$9,DE_Base_Profile!$N$5:$Q$5,0))</f>
        <v>0.125</v>
      </c>
      <c r="U14" s="30">
        <f t="shared" ref="U14:U37" si="10">($G$6/365)*T14</f>
        <v>0</v>
      </c>
      <c r="V14" s="30">
        <f t="shared" ref="V14:V37" si="11">S14+U14</f>
        <v>0.349515787098936</v>
      </c>
      <c r="W14" s="16">
        <f t="shared" ref="W14:W37" si="12">IF($G$7=0,0,V14/($G$7/365))</f>
        <v>0.0364495035117462</v>
      </c>
      <c r="X14" s="29">
        <f t="shared" ref="X14:X37" si="13">W14-N14</f>
        <v>0.00634950351174618</v>
      </c>
    </row>
    <row r="15" ht="16.8" spans="1:24">
      <c r="A15" t="s">
        <v>127</v>
      </c>
      <c r="B15" s="16">
        <f>DE_Base_Profile!B7</f>
        <v>0.0791</v>
      </c>
      <c r="C15" s="22">
        <f t="shared" si="0"/>
        <v>276.85</v>
      </c>
      <c r="D15" s="27">
        <f>1+IF(OR($B$6="Air conditioning",$B$6="Heat pump (heating &amp; cooling)"),IF(DE_Base_Profile!D7=1,$G$8-1,0),0)+IF(OR($B$6="Electric heating",$B$6="Heat pump (heating &amp; cooling)"),IF(DE_Base_Profile!E7=1,$G$9-1,0),0)</f>
        <v>1</v>
      </c>
      <c r="E15" s="22">
        <f t="shared" si="1"/>
        <v>276.85</v>
      </c>
      <c r="F15" s="28">
        <f>IF($B$6="Electric heating",IF(DE_Base_Profile!E7=1,B15*$G$9,0),IF($B$6="Heat pump (heating &amp; cooling)",IF(DE_Base_Profile!D7=1,B15*$G$8,0)+IF(DE_Base_Profile!E7=1,B15*$G$9,0),0))</f>
        <v>0</v>
      </c>
      <c r="G15" s="22">
        <f t="shared" si="2"/>
        <v>0</v>
      </c>
      <c r="H15" s="22">
        <f t="shared" si="3"/>
        <v>0</v>
      </c>
      <c r="I15" s="22">
        <f t="shared" si="4"/>
        <v>276.85</v>
      </c>
      <c r="J15" s="16">
        <f t="shared" si="5"/>
        <v>0.0791</v>
      </c>
      <c r="K15" s="29">
        <f t="shared" si="6"/>
        <v>0</v>
      </c>
      <c r="M15">
        <v>1</v>
      </c>
      <c r="N15" s="16">
        <f>DE_Base_Profile!I7</f>
        <v>0.0258</v>
      </c>
      <c r="O15" s="27">
        <f>IF(DE_Base_Profile!J7=1,INDEX(DE_Lookups!$B$2:$B$4,MATCH($B$5,DE_Lookups!$A$2:$A$4,0)),1)</f>
        <v>1</v>
      </c>
      <c r="P15" s="27">
        <f>IF(OR($B$6="Air conditioning",$B$6="Heat pump (heating &amp; cooling)"),IF(DE_Base_Profile!K7=1,$G$10,1),1)*IF(OR($B$6="Electric heating",$B$6="Heat pump (heating &amp; cooling)"),IF(DE_Base_Profile!L7=1,$G$11,1),1)</f>
        <v>1</v>
      </c>
      <c r="Q15">
        <f t="shared" si="7"/>
        <v>0.0258</v>
      </c>
      <c r="R15" s="16">
        <f t="shared" si="8"/>
        <v>0.0312424315814967</v>
      </c>
      <c r="S15" s="30">
        <f t="shared" si="9"/>
        <v>0.299584960370517</v>
      </c>
      <c r="T15" s="16">
        <f>INDEX(DE_Base_Profile!$N$6:$Q$29,ROW()-13,MATCH($B$9,DE_Base_Profile!$N$5:$Q$5,0))</f>
        <v>0.125</v>
      </c>
      <c r="U15" s="30">
        <f t="shared" si="10"/>
        <v>0</v>
      </c>
      <c r="V15" s="30">
        <f t="shared" si="11"/>
        <v>0.299584960370517</v>
      </c>
      <c r="W15" s="16">
        <f t="shared" si="12"/>
        <v>0.0312424315814967</v>
      </c>
      <c r="X15" s="29">
        <f t="shared" si="13"/>
        <v>0.00544243158149673</v>
      </c>
    </row>
    <row r="16" ht="16.8" spans="1:24">
      <c r="A16" t="s">
        <v>128</v>
      </c>
      <c r="B16" s="16">
        <f>DE_Base_Profile!B8</f>
        <v>0.0773</v>
      </c>
      <c r="C16" s="22">
        <f t="shared" si="0"/>
        <v>270.55</v>
      </c>
      <c r="D16" s="27">
        <f>1+IF(OR($B$6="Air conditioning",$B$6="Heat pump (heating &amp; cooling)"),IF(DE_Base_Profile!D8=1,$G$8-1,0),0)+IF(OR($B$6="Electric heating",$B$6="Heat pump (heating &amp; cooling)"),IF(DE_Base_Profile!E8=1,$G$9-1,0),0)</f>
        <v>1</v>
      </c>
      <c r="E16" s="22">
        <f t="shared" si="1"/>
        <v>270.55</v>
      </c>
      <c r="F16" s="28">
        <f>IF($B$6="Electric heating",IF(DE_Base_Profile!E8=1,B16*$G$9,0),IF($B$6="Heat pump (heating &amp; cooling)",IF(DE_Base_Profile!D8=1,B16*$G$8,0)+IF(DE_Base_Profile!E8=1,B16*$G$9,0),0))</f>
        <v>0</v>
      </c>
      <c r="G16" s="22">
        <f t="shared" si="2"/>
        <v>0</v>
      </c>
      <c r="H16" s="22">
        <f t="shared" si="3"/>
        <v>0</v>
      </c>
      <c r="I16" s="22">
        <f t="shared" si="4"/>
        <v>270.55</v>
      </c>
      <c r="J16" s="16">
        <f t="shared" si="5"/>
        <v>0.0773</v>
      </c>
      <c r="K16" s="29">
        <f t="shared" si="6"/>
        <v>0</v>
      </c>
      <c r="M16">
        <v>2</v>
      </c>
      <c r="N16" s="16">
        <f>DE_Base_Profile!I8</f>
        <v>0.0239</v>
      </c>
      <c r="O16" s="27">
        <f>IF(DE_Base_Profile!J8=1,INDEX(DE_Lookups!$B$2:$B$4,MATCH($B$5,DE_Lookups!$A$2:$A$4,0)),1)</f>
        <v>1</v>
      </c>
      <c r="P16" s="27">
        <f>IF(OR($B$6="Air conditioning",$B$6="Heat pump (heating &amp; cooling)"),IF(DE_Base_Profile!K8=1,$G$10,1),1)*IF(OR($B$6="Electric heating",$B$6="Heat pump (heating &amp; cooling)"),IF(DE_Base_Profile!L8=1,$G$11,1),1)</f>
        <v>1</v>
      </c>
      <c r="Q16">
        <f t="shared" si="7"/>
        <v>0.0239</v>
      </c>
      <c r="R16" s="16">
        <f t="shared" si="8"/>
        <v>0.0289416323565028</v>
      </c>
      <c r="S16" s="30">
        <f t="shared" si="9"/>
        <v>0.277522502048657</v>
      </c>
      <c r="T16" s="16">
        <f>INDEX(DE_Base_Profile!$N$6:$Q$29,ROW()-13,MATCH($B$9,DE_Base_Profile!$N$5:$Q$5,0))</f>
        <v>0.125</v>
      </c>
      <c r="U16" s="30">
        <f t="shared" si="10"/>
        <v>0</v>
      </c>
      <c r="V16" s="30">
        <f t="shared" si="11"/>
        <v>0.277522502048657</v>
      </c>
      <c r="W16" s="16">
        <f t="shared" si="12"/>
        <v>0.0289416323565028</v>
      </c>
      <c r="X16" s="29">
        <f t="shared" si="13"/>
        <v>0.00504163235650279</v>
      </c>
    </row>
    <row r="17" ht="16.8" spans="1:24">
      <c r="A17" t="s">
        <v>129</v>
      </c>
      <c r="B17" s="16">
        <f>DE_Base_Profile!B9</f>
        <v>0.0822</v>
      </c>
      <c r="C17" s="22">
        <f t="shared" si="0"/>
        <v>287.7</v>
      </c>
      <c r="D17" s="27">
        <f>1+IF(OR($B$6="Air conditioning",$B$6="Heat pump (heating &amp; cooling)"),IF(DE_Base_Profile!D9=1,$G$8-1,0),0)+IF(OR($B$6="Electric heating",$B$6="Heat pump (heating &amp; cooling)"),IF(DE_Base_Profile!E9=1,$G$9-1,0),0)</f>
        <v>1</v>
      </c>
      <c r="E17" s="22">
        <f t="shared" si="1"/>
        <v>287.7</v>
      </c>
      <c r="F17" s="28">
        <f>IF($B$6="Electric heating",IF(DE_Base_Profile!E9=1,B17*$G$9,0),IF($B$6="Heat pump (heating &amp; cooling)",IF(DE_Base_Profile!D9=1,B17*$G$8,0)+IF(DE_Base_Profile!E9=1,B17*$G$9,0),0))</f>
        <v>0</v>
      </c>
      <c r="G17" s="22">
        <f t="shared" si="2"/>
        <v>0</v>
      </c>
      <c r="H17" s="22">
        <f t="shared" si="3"/>
        <v>0</v>
      </c>
      <c r="I17" s="22">
        <f t="shared" si="4"/>
        <v>287.7</v>
      </c>
      <c r="J17" s="16">
        <f t="shared" si="5"/>
        <v>0.0822</v>
      </c>
      <c r="K17" s="29">
        <f t="shared" si="6"/>
        <v>0</v>
      </c>
      <c r="M17">
        <v>3</v>
      </c>
      <c r="N17" s="16">
        <f>DE_Base_Profile!I9</f>
        <v>0.0232</v>
      </c>
      <c r="O17" s="27">
        <f>IF(DE_Base_Profile!J9=1,INDEX(DE_Lookups!$B$2:$B$4,MATCH($B$5,DE_Lookups!$A$2:$A$4,0)),1)</f>
        <v>1</v>
      </c>
      <c r="P17" s="27">
        <f>IF(OR($B$6="Air conditioning",$B$6="Heat pump (heating &amp; cooling)"),IF(DE_Base_Profile!K9=1,$G$10,1),1)*IF(OR($B$6="Electric heating",$B$6="Heat pump (heating &amp; cooling)"),IF(DE_Base_Profile!L9=1,$G$11,1),1)</f>
        <v>1</v>
      </c>
      <c r="Q17">
        <f t="shared" si="7"/>
        <v>0.0232</v>
      </c>
      <c r="R17" s="16">
        <f t="shared" si="8"/>
        <v>0.0280939694841366</v>
      </c>
      <c r="S17" s="30">
        <f t="shared" si="9"/>
        <v>0.269394227930077</v>
      </c>
      <c r="T17" s="16">
        <f>INDEX(DE_Base_Profile!$N$6:$Q$29,ROW()-13,MATCH($B$9,DE_Base_Profile!$N$5:$Q$5,0))</f>
        <v>0.125</v>
      </c>
      <c r="U17" s="30">
        <f t="shared" si="10"/>
        <v>0</v>
      </c>
      <c r="V17" s="30">
        <f t="shared" si="11"/>
        <v>0.269394227930077</v>
      </c>
      <c r="W17" s="16">
        <f t="shared" si="12"/>
        <v>0.0280939694841366</v>
      </c>
      <c r="X17" s="29">
        <f t="shared" si="13"/>
        <v>0.0048939694841366</v>
      </c>
    </row>
    <row r="18" ht="16.8" spans="1:24">
      <c r="A18" t="s">
        <v>130</v>
      </c>
      <c r="B18" s="16">
        <f>DE_Base_Profile!B10</f>
        <v>0.0839</v>
      </c>
      <c r="C18" s="22">
        <f t="shared" si="0"/>
        <v>293.65</v>
      </c>
      <c r="D18" s="27">
        <f>1+IF(OR($B$6="Air conditioning",$B$6="Heat pump (heating &amp; cooling)"),IF(DE_Base_Profile!D10=1,$G$8-1,0),0)+IF(OR($B$6="Electric heating",$B$6="Heat pump (heating &amp; cooling)"),IF(DE_Base_Profile!E10=1,$G$9-1,0),0)</f>
        <v>1</v>
      </c>
      <c r="E18" s="22">
        <f t="shared" si="1"/>
        <v>293.65</v>
      </c>
      <c r="F18" s="28">
        <f>IF($B$6="Electric heating",IF(DE_Base_Profile!E10=1,B18*$G$9,0),IF($B$6="Heat pump (heating &amp; cooling)",IF(DE_Base_Profile!D10=1,B18*$G$8,0)+IF(DE_Base_Profile!E10=1,B18*$G$9,0),0))</f>
        <v>0</v>
      </c>
      <c r="G18" s="22">
        <f t="shared" si="2"/>
        <v>0</v>
      </c>
      <c r="H18" s="22">
        <f t="shared" si="3"/>
        <v>0</v>
      </c>
      <c r="I18" s="22">
        <f t="shared" si="4"/>
        <v>293.65</v>
      </c>
      <c r="J18" s="16">
        <f t="shared" si="5"/>
        <v>0.0839</v>
      </c>
      <c r="K18" s="29">
        <f t="shared" si="6"/>
        <v>0</v>
      </c>
      <c r="M18">
        <v>4</v>
      </c>
      <c r="N18" s="16">
        <f>DE_Base_Profile!I10</f>
        <v>0.0236</v>
      </c>
      <c r="O18" s="27">
        <f>IF(DE_Base_Profile!J10=1,INDEX(DE_Lookups!$B$2:$B$4,MATCH($B$5,DE_Lookups!$A$2:$A$4,0)),1)</f>
        <v>1</v>
      </c>
      <c r="P18" s="27">
        <f>IF(OR($B$6="Air conditioning",$B$6="Heat pump (heating &amp; cooling)"),IF(DE_Base_Profile!K10=1,$G$10,1),1)*IF(OR($B$6="Electric heating",$B$6="Heat pump (heating &amp; cooling)"),IF(DE_Base_Profile!L10=1,$G$11,1),1)</f>
        <v>1</v>
      </c>
      <c r="Q18">
        <f t="shared" si="7"/>
        <v>0.0236</v>
      </c>
      <c r="R18" s="16">
        <f t="shared" si="8"/>
        <v>0.0285783482683458</v>
      </c>
      <c r="S18" s="30">
        <f t="shared" si="9"/>
        <v>0.274038955997837</v>
      </c>
      <c r="T18" s="16">
        <f>INDEX(DE_Base_Profile!$N$6:$Q$29,ROW()-13,MATCH($B$9,DE_Base_Profile!$N$5:$Q$5,0))</f>
        <v>0.125</v>
      </c>
      <c r="U18" s="30">
        <f t="shared" si="10"/>
        <v>0</v>
      </c>
      <c r="V18" s="30">
        <f t="shared" si="11"/>
        <v>0.274038955997837</v>
      </c>
      <c r="W18" s="16">
        <f t="shared" si="12"/>
        <v>0.0285783482683458</v>
      </c>
      <c r="X18" s="29">
        <f t="shared" si="13"/>
        <v>0.00497834826834585</v>
      </c>
    </row>
    <row r="19" ht="16.8" spans="1:24">
      <c r="A19" t="s">
        <v>132</v>
      </c>
      <c r="B19" s="16">
        <f>DE_Base_Profile!B11</f>
        <v>0.0876</v>
      </c>
      <c r="C19" s="22">
        <f t="shared" si="0"/>
        <v>306.6</v>
      </c>
      <c r="D19" s="27">
        <f>1+IF(OR($B$6="Air conditioning",$B$6="Heat pump (heating &amp; cooling)"),IF(DE_Base_Profile!D11=1,$G$8-1,0),0)+IF(OR($B$6="Electric heating",$B$6="Heat pump (heating &amp; cooling)"),IF(DE_Base_Profile!E11=1,$G$9-1,0),0)</f>
        <v>1</v>
      </c>
      <c r="E19" s="22">
        <f t="shared" si="1"/>
        <v>306.6</v>
      </c>
      <c r="F19" s="28">
        <f>IF($B$6="Electric heating",IF(DE_Base_Profile!E11=1,B19*$G$9,0),IF($B$6="Heat pump (heating &amp; cooling)",IF(DE_Base_Profile!D11=1,B19*$G$8,0)+IF(DE_Base_Profile!E11=1,B19*$G$9,0),0))</f>
        <v>0</v>
      </c>
      <c r="G19" s="22">
        <f t="shared" si="2"/>
        <v>0</v>
      </c>
      <c r="H19" s="22">
        <f t="shared" si="3"/>
        <v>0</v>
      </c>
      <c r="I19" s="22">
        <f t="shared" si="4"/>
        <v>306.6</v>
      </c>
      <c r="J19" s="16">
        <f t="shared" si="5"/>
        <v>0.0876</v>
      </c>
      <c r="K19" s="29">
        <f t="shared" si="6"/>
        <v>0</v>
      </c>
      <c r="M19">
        <v>5</v>
      </c>
      <c r="N19" s="16">
        <f>DE_Base_Profile!I11</f>
        <v>0.0252</v>
      </c>
      <c r="O19" s="27">
        <f>IF(DE_Base_Profile!J11=1,INDEX(DE_Lookups!$B$2:$B$4,MATCH($B$5,DE_Lookups!$A$2:$A$4,0)),1)</f>
        <v>1</v>
      </c>
      <c r="P19" s="27">
        <f>IF(OR($B$6="Air conditioning",$B$6="Heat pump (heating &amp; cooling)"),IF(DE_Base_Profile!K11=1,$G$10,1),1)*IF(OR($B$6="Electric heating",$B$6="Heat pump (heating &amp; cooling)"),IF(DE_Base_Profile!L11=1,$G$11,1),1)</f>
        <v>1</v>
      </c>
      <c r="Q19">
        <f t="shared" si="7"/>
        <v>0.0252</v>
      </c>
      <c r="R19" s="16">
        <f t="shared" si="8"/>
        <v>0.0305158634051829</v>
      </c>
      <c r="S19" s="30">
        <f t="shared" si="9"/>
        <v>0.292617868268877</v>
      </c>
      <c r="T19" s="16">
        <f>INDEX(DE_Base_Profile!$N$6:$Q$29,ROW()-13,MATCH($B$9,DE_Base_Profile!$N$5:$Q$5,0))</f>
        <v>0.125</v>
      </c>
      <c r="U19" s="30">
        <f t="shared" si="10"/>
        <v>0</v>
      </c>
      <c r="V19" s="30">
        <f t="shared" si="11"/>
        <v>0.292617868268877</v>
      </c>
      <c r="W19" s="16">
        <f t="shared" si="12"/>
        <v>0.0305158634051829</v>
      </c>
      <c r="X19" s="29">
        <f t="shared" si="13"/>
        <v>0.00531586340518285</v>
      </c>
    </row>
    <row r="20" ht="16.8" spans="1:24">
      <c r="A20" t="s">
        <v>134</v>
      </c>
      <c r="B20" s="16">
        <f>DE_Base_Profile!B12</f>
        <v>0.0917</v>
      </c>
      <c r="C20" s="22">
        <f t="shared" si="0"/>
        <v>320.95</v>
      </c>
      <c r="D20" s="27">
        <f>1+IF(OR($B$6="Air conditioning",$B$6="Heat pump (heating &amp; cooling)"),IF(DE_Base_Profile!D12=1,$G$8-1,0),0)+IF(OR($B$6="Electric heating",$B$6="Heat pump (heating &amp; cooling)"),IF(DE_Base_Profile!E12=1,$G$9-1,0),0)</f>
        <v>1</v>
      </c>
      <c r="E20" s="22">
        <f t="shared" si="1"/>
        <v>320.95</v>
      </c>
      <c r="F20" s="28">
        <f>IF($B$6="Electric heating",IF(DE_Base_Profile!E12=1,B20*$G$9,0),IF($B$6="Heat pump (heating &amp; cooling)",IF(DE_Base_Profile!D12=1,B20*$G$8,0)+IF(DE_Base_Profile!E12=1,B20*$G$9,0),0))</f>
        <v>0</v>
      </c>
      <c r="G20" s="22">
        <f t="shared" si="2"/>
        <v>0</v>
      </c>
      <c r="H20" s="22">
        <f t="shared" si="3"/>
        <v>0</v>
      </c>
      <c r="I20" s="22">
        <f t="shared" si="4"/>
        <v>320.95</v>
      </c>
      <c r="J20" s="16">
        <f t="shared" si="5"/>
        <v>0.0917</v>
      </c>
      <c r="K20" s="29">
        <f t="shared" si="6"/>
        <v>0</v>
      </c>
      <c r="M20">
        <v>6</v>
      </c>
      <c r="N20" s="16">
        <f>DE_Base_Profile!I12</f>
        <v>0.03</v>
      </c>
      <c r="O20" s="27">
        <f>IF(DE_Base_Profile!J12=1,INDEX(DE_Lookups!$B$2:$B$4,MATCH($B$5,DE_Lookups!$A$2:$A$4,0)),1)</f>
        <v>1</v>
      </c>
      <c r="P20" s="27">
        <f>IF(OR($B$6="Air conditioning",$B$6="Heat pump (heating &amp; cooling)"),IF(DE_Base_Profile!K12=1,$G$10,1),1)*IF(OR($B$6="Electric heating",$B$6="Heat pump (heating &amp; cooling)"),IF(DE_Base_Profile!L12=1,$G$11,1),1)</f>
        <v>1</v>
      </c>
      <c r="Q20">
        <f t="shared" si="7"/>
        <v>0.03</v>
      </c>
      <c r="R20" s="16">
        <f t="shared" si="8"/>
        <v>0.0363284088156939</v>
      </c>
      <c r="S20" s="30">
        <f t="shared" si="9"/>
        <v>0.348354605081996</v>
      </c>
      <c r="T20" s="16">
        <f>INDEX(DE_Base_Profile!$N$6:$Q$29,ROW()-13,MATCH($B$9,DE_Base_Profile!$N$5:$Q$5,0))</f>
        <v>0</v>
      </c>
      <c r="U20" s="30">
        <f t="shared" si="10"/>
        <v>0</v>
      </c>
      <c r="V20" s="30">
        <f t="shared" si="11"/>
        <v>0.348354605081996</v>
      </c>
      <c r="W20" s="16">
        <f t="shared" si="12"/>
        <v>0.0363284088156939</v>
      </c>
      <c r="X20" s="29">
        <f t="shared" si="13"/>
        <v>0.00632840881569387</v>
      </c>
    </row>
    <row r="21" ht="16.8" spans="1:24">
      <c r="A21" t="s">
        <v>135</v>
      </c>
      <c r="B21" s="16">
        <f>DE_Base_Profile!B13</f>
        <v>0.0887</v>
      </c>
      <c r="C21" s="22">
        <f t="shared" si="0"/>
        <v>310.45</v>
      </c>
      <c r="D21" s="27">
        <f>1+IF(OR($B$6="Air conditioning",$B$6="Heat pump (heating &amp; cooling)"),IF(DE_Base_Profile!D13=1,$G$8-1,0),0)+IF(OR($B$6="Electric heating",$B$6="Heat pump (heating &amp; cooling)"),IF(DE_Base_Profile!E13=1,$G$9-1,0),0)</f>
        <v>1</v>
      </c>
      <c r="E21" s="22">
        <f t="shared" si="1"/>
        <v>310.45</v>
      </c>
      <c r="F21" s="28">
        <f>IF($B$6="Electric heating",IF(DE_Base_Profile!E13=1,B21*$G$9,0),IF($B$6="Heat pump (heating &amp; cooling)",IF(DE_Base_Profile!D13=1,B21*$G$8,0)+IF(DE_Base_Profile!E13=1,B21*$G$9,0),0))</f>
        <v>0</v>
      </c>
      <c r="G21" s="22">
        <f t="shared" si="2"/>
        <v>0</v>
      </c>
      <c r="H21" s="22">
        <f t="shared" si="3"/>
        <v>0</v>
      </c>
      <c r="I21" s="22">
        <f t="shared" si="4"/>
        <v>310.45</v>
      </c>
      <c r="J21" s="16">
        <f t="shared" si="5"/>
        <v>0.0887</v>
      </c>
      <c r="K21" s="29">
        <f t="shared" si="6"/>
        <v>0</v>
      </c>
      <c r="M21">
        <v>7</v>
      </c>
      <c r="N21" s="16">
        <f>DE_Base_Profile!I13</f>
        <v>0.0358</v>
      </c>
      <c r="O21" s="27">
        <f>IF(DE_Base_Profile!J13=1,INDEX(DE_Lookups!$B$2:$B$4,MATCH($B$5,DE_Lookups!$A$2:$A$4,0)),1)</f>
        <v>1</v>
      </c>
      <c r="P21" s="27">
        <f>IF(OR($B$6="Air conditioning",$B$6="Heat pump (heating &amp; cooling)"),IF(DE_Base_Profile!K13=1,$G$10,1),1)*IF(OR($B$6="Electric heating",$B$6="Heat pump (heating &amp; cooling)"),IF(DE_Base_Profile!L13=1,$G$11,1),1)</f>
        <v>1</v>
      </c>
      <c r="Q21">
        <f t="shared" si="7"/>
        <v>0.0358</v>
      </c>
      <c r="R21" s="16">
        <f t="shared" si="8"/>
        <v>0.043351901186728</v>
      </c>
      <c r="S21" s="30">
        <f t="shared" si="9"/>
        <v>0.415703162064515</v>
      </c>
      <c r="T21" s="16">
        <f>INDEX(DE_Base_Profile!$N$6:$Q$29,ROW()-13,MATCH($B$9,DE_Base_Profile!$N$5:$Q$5,0))</f>
        <v>0</v>
      </c>
      <c r="U21" s="30">
        <f t="shared" si="10"/>
        <v>0</v>
      </c>
      <c r="V21" s="30">
        <f t="shared" si="11"/>
        <v>0.415703162064515</v>
      </c>
      <c r="W21" s="16">
        <f t="shared" si="12"/>
        <v>0.043351901186728</v>
      </c>
      <c r="X21" s="29">
        <f t="shared" si="13"/>
        <v>0.00755190118672802</v>
      </c>
    </row>
    <row r="22" ht="16.8" spans="1:24">
      <c r="A22" t="s">
        <v>136</v>
      </c>
      <c r="B22" s="16">
        <f>DE_Base_Profile!B14</f>
        <v>0.0853</v>
      </c>
      <c r="C22" s="22">
        <f t="shared" si="0"/>
        <v>298.55</v>
      </c>
      <c r="D22" s="27">
        <f>1+IF(OR($B$6="Air conditioning",$B$6="Heat pump (heating &amp; cooling)"),IF(DE_Base_Profile!D14=1,$G$8-1,0),0)+IF(OR($B$6="Electric heating",$B$6="Heat pump (heating &amp; cooling)"),IF(DE_Base_Profile!E14=1,$G$9-1,0),0)</f>
        <v>1</v>
      </c>
      <c r="E22" s="22">
        <f t="shared" si="1"/>
        <v>298.55</v>
      </c>
      <c r="F22" s="28">
        <f>IF($B$6="Electric heating",IF(DE_Base_Profile!E14=1,B22*$G$9,0),IF($B$6="Heat pump (heating &amp; cooling)",IF(DE_Base_Profile!D14=1,B22*$G$8,0)+IF(DE_Base_Profile!E14=1,B22*$G$9,0),0))</f>
        <v>0</v>
      </c>
      <c r="G22" s="22">
        <f t="shared" si="2"/>
        <v>0</v>
      </c>
      <c r="H22" s="22">
        <f t="shared" si="3"/>
        <v>0</v>
      </c>
      <c r="I22" s="22">
        <f t="shared" si="4"/>
        <v>298.55</v>
      </c>
      <c r="J22" s="16">
        <f t="shared" si="5"/>
        <v>0.0853</v>
      </c>
      <c r="K22" s="29">
        <f t="shared" si="6"/>
        <v>0</v>
      </c>
      <c r="M22">
        <v>8</v>
      </c>
      <c r="N22" s="16">
        <f>DE_Base_Profile!I14</f>
        <v>0.041</v>
      </c>
      <c r="O22" s="27">
        <f>IF(DE_Base_Profile!J14=1,INDEX(DE_Lookups!$B$2:$B$4,MATCH($B$5,DE_Lookups!$A$2:$A$4,0)),1)</f>
        <v>1</v>
      </c>
      <c r="P22" s="27">
        <f>IF(OR($B$6="Air conditioning",$B$6="Heat pump (heating &amp; cooling)"),IF(DE_Base_Profile!K14=1,$G$10,1),1)*IF(OR($B$6="Electric heating",$B$6="Heat pump (heating &amp; cooling)"),IF(DE_Base_Profile!L14=1,$G$11,1),1)</f>
        <v>1</v>
      </c>
      <c r="Q22">
        <f t="shared" si="7"/>
        <v>0.041</v>
      </c>
      <c r="R22" s="16">
        <f t="shared" si="8"/>
        <v>0.0496488253814483</v>
      </c>
      <c r="S22" s="30">
        <f t="shared" si="9"/>
        <v>0.476084626945395</v>
      </c>
      <c r="T22" s="16">
        <f>INDEX(DE_Base_Profile!$N$6:$Q$29,ROW()-13,MATCH($B$9,DE_Base_Profile!$N$5:$Q$5,0))</f>
        <v>0</v>
      </c>
      <c r="U22" s="30">
        <f t="shared" si="10"/>
        <v>0</v>
      </c>
      <c r="V22" s="30">
        <f t="shared" si="11"/>
        <v>0.476084626945395</v>
      </c>
      <c r="W22" s="16">
        <f t="shared" si="12"/>
        <v>0.0496488253814483</v>
      </c>
      <c r="X22" s="29">
        <f t="shared" si="13"/>
        <v>0.0086488253814483</v>
      </c>
    </row>
    <row r="23" ht="16.8" spans="1:24">
      <c r="A23" t="s">
        <v>137</v>
      </c>
      <c r="B23" s="16">
        <f>DE_Base_Profile!B15</f>
        <v>0.0838</v>
      </c>
      <c r="C23" s="22">
        <f t="shared" si="0"/>
        <v>293.3</v>
      </c>
      <c r="D23" s="27">
        <f>1+IF(OR($B$6="Air conditioning",$B$6="Heat pump (heating &amp; cooling)"),IF(DE_Base_Profile!D15=1,$G$8-1,0),0)+IF(OR($B$6="Electric heating",$B$6="Heat pump (heating &amp; cooling)"),IF(DE_Base_Profile!E15=1,$G$9-1,0),0)</f>
        <v>1</v>
      </c>
      <c r="E23" s="22">
        <f t="shared" si="1"/>
        <v>293.3</v>
      </c>
      <c r="F23" s="28">
        <f>IF($B$6="Electric heating",IF(DE_Base_Profile!E15=1,B23*$G$9,0),IF($B$6="Heat pump (heating &amp; cooling)",IF(DE_Base_Profile!D15=1,B23*$G$8,0)+IF(DE_Base_Profile!E15=1,B23*$G$9,0),0))</f>
        <v>0</v>
      </c>
      <c r="G23" s="22">
        <f t="shared" si="2"/>
        <v>0</v>
      </c>
      <c r="H23" s="22">
        <f t="shared" si="3"/>
        <v>0</v>
      </c>
      <c r="I23" s="22">
        <f t="shared" si="4"/>
        <v>293.3</v>
      </c>
      <c r="J23" s="16">
        <f t="shared" si="5"/>
        <v>0.0838</v>
      </c>
      <c r="K23" s="29">
        <f t="shared" si="6"/>
        <v>0</v>
      </c>
      <c r="M23">
        <v>9</v>
      </c>
      <c r="N23" s="16">
        <f>DE_Base_Profile!I15</f>
        <v>0.0446</v>
      </c>
      <c r="O23" s="27">
        <f>IF(DE_Base_Profile!J15=1,INDEX(DE_Lookups!$B$2:$B$4,MATCH($B$5,DE_Lookups!$A$2:$A$4,0)),1)</f>
        <v>0.6</v>
      </c>
      <c r="P23" s="27">
        <f>IF(OR($B$6="Air conditioning",$B$6="Heat pump (heating &amp; cooling)"),IF(DE_Base_Profile!K15=1,$G$10,1),1)*IF(OR($B$6="Electric heating",$B$6="Heat pump (heating &amp; cooling)"),IF(DE_Base_Profile!L15=1,$G$11,1),1)</f>
        <v>1</v>
      </c>
      <c r="Q23">
        <f t="shared" si="7"/>
        <v>0.02676</v>
      </c>
      <c r="R23" s="16">
        <f t="shared" si="8"/>
        <v>0.0324049406635989</v>
      </c>
      <c r="S23" s="30">
        <f t="shared" si="9"/>
        <v>0.31073230773314</v>
      </c>
      <c r="T23" s="16">
        <f>INDEX(DE_Base_Profile!$N$6:$Q$29,ROW()-13,MATCH($B$9,DE_Base_Profile!$N$5:$Q$5,0))</f>
        <v>0</v>
      </c>
      <c r="U23" s="30">
        <f t="shared" si="10"/>
        <v>0</v>
      </c>
      <c r="V23" s="30">
        <f t="shared" si="11"/>
        <v>0.31073230773314</v>
      </c>
      <c r="W23" s="16">
        <f t="shared" si="12"/>
        <v>0.0324049406635989</v>
      </c>
      <c r="X23" s="29">
        <f t="shared" si="13"/>
        <v>-0.0121950593364011</v>
      </c>
    </row>
    <row r="24" ht="16.8" spans="1:24">
      <c r="A24" t="s">
        <v>138</v>
      </c>
      <c r="B24" s="16">
        <f>DE_Base_Profile!B16</f>
        <v>0.0819</v>
      </c>
      <c r="C24" s="22">
        <f t="shared" si="0"/>
        <v>286.65</v>
      </c>
      <c r="D24" s="27">
        <f>1+IF(OR($B$6="Air conditioning",$B$6="Heat pump (heating &amp; cooling)"),IF(DE_Base_Profile!D16=1,$G$8-1,0),0)+IF(OR($B$6="Electric heating",$B$6="Heat pump (heating &amp; cooling)"),IF(DE_Base_Profile!E16=1,$G$9-1,0),0)</f>
        <v>1</v>
      </c>
      <c r="E24" s="22">
        <f t="shared" si="1"/>
        <v>286.65</v>
      </c>
      <c r="F24" s="28">
        <f>IF($B$6="Electric heating",IF(DE_Base_Profile!E16=1,B24*$G$9,0),IF($B$6="Heat pump (heating &amp; cooling)",IF(DE_Base_Profile!D16=1,B24*$G$8,0)+IF(DE_Base_Profile!E16=1,B24*$G$9,0),0))</f>
        <v>0</v>
      </c>
      <c r="G24" s="22">
        <f t="shared" si="2"/>
        <v>0</v>
      </c>
      <c r="H24" s="22">
        <f t="shared" si="3"/>
        <v>0</v>
      </c>
      <c r="I24" s="22">
        <f t="shared" si="4"/>
        <v>286.65</v>
      </c>
      <c r="J24" s="16">
        <f t="shared" si="5"/>
        <v>0.0819</v>
      </c>
      <c r="K24" s="29">
        <f t="shared" si="6"/>
        <v>0</v>
      </c>
      <c r="M24">
        <v>10</v>
      </c>
      <c r="N24" s="16">
        <f>DE_Base_Profile!I16</f>
        <v>0.0474</v>
      </c>
      <c r="O24" s="27">
        <f>IF(DE_Base_Profile!J16=1,INDEX(DE_Lookups!$B$2:$B$4,MATCH($B$5,DE_Lookups!$A$2:$A$4,0)),1)</f>
        <v>0.6</v>
      </c>
      <c r="P24" s="27">
        <f>IF(OR($B$6="Air conditioning",$B$6="Heat pump (heating &amp; cooling)"),IF(DE_Base_Profile!K16=1,$G$10,1),1)*IF(OR($B$6="Electric heating",$B$6="Heat pump (heating &amp; cooling)"),IF(DE_Base_Profile!L16=1,$G$11,1),1)</f>
        <v>1</v>
      </c>
      <c r="Q24">
        <f t="shared" si="7"/>
        <v>0.02844</v>
      </c>
      <c r="R24" s="16">
        <f t="shared" si="8"/>
        <v>0.0344393315572778</v>
      </c>
      <c r="S24" s="30">
        <f t="shared" si="9"/>
        <v>0.330240165617732</v>
      </c>
      <c r="T24" s="16">
        <f>INDEX(DE_Base_Profile!$N$6:$Q$29,ROW()-13,MATCH($B$9,DE_Base_Profile!$N$5:$Q$5,0))</f>
        <v>0</v>
      </c>
      <c r="U24" s="30">
        <f t="shared" si="10"/>
        <v>0</v>
      </c>
      <c r="V24" s="30">
        <f t="shared" si="11"/>
        <v>0.330240165617732</v>
      </c>
      <c r="W24" s="16">
        <f t="shared" si="12"/>
        <v>0.0344393315572778</v>
      </c>
      <c r="X24" s="29">
        <f t="shared" si="13"/>
        <v>-0.0129606684427222</v>
      </c>
    </row>
    <row r="25" ht="16.8" spans="1:24">
      <c r="A25" t="s">
        <v>139</v>
      </c>
      <c r="B25" s="16">
        <f>DE_Base_Profile!B17</f>
        <v>0.0796</v>
      </c>
      <c r="C25" s="22">
        <f t="shared" si="0"/>
        <v>278.6</v>
      </c>
      <c r="D25" s="27">
        <f>1+IF(OR($B$6="Air conditioning",$B$6="Heat pump (heating &amp; cooling)"),IF(DE_Base_Profile!D17=1,$G$8-1,0),0)+IF(OR($B$6="Electric heating",$B$6="Heat pump (heating &amp; cooling)"),IF(DE_Base_Profile!E17=1,$G$9-1,0),0)</f>
        <v>1</v>
      </c>
      <c r="E25" s="22">
        <f t="shared" si="1"/>
        <v>278.6</v>
      </c>
      <c r="F25" s="28">
        <f>IF($B$6="Electric heating",IF(DE_Base_Profile!E17=1,B25*$G$9,0),IF($B$6="Heat pump (heating &amp; cooling)",IF(DE_Base_Profile!D17=1,B25*$G$8,0)+IF(DE_Base_Profile!E17=1,B25*$G$9,0),0))</f>
        <v>0</v>
      </c>
      <c r="G25" s="22">
        <f t="shared" si="2"/>
        <v>0</v>
      </c>
      <c r="H25" s="22">
        <f t="shared" si="3"/>
        <v>0</v>
      </c>
      <c r="I25" s="22">
        <f t="shared" si="4"/>
        <v>278.6</v>
      </c>
      <c r="J25" s="16">
        <f t="shared" si="5"/>
        <v>0.0796</v>
      </c>
      <c r="K25" s="29">
        <f t="shared" si="6"/>
        <v>0</v>
      </c>
      <c r="M25">
        <v>11</v>
      </c>
      <c r="N25" s="16">
        <f>DE_Base_Profile!I17</f>
        <v>0.0518</v>
      </c>
      <c r="O25" s="27">
        <f>IF(DE_Base_Profile!J17=1,INDEX(DE_Lookups!$B$2:$B$4,MATCH($B$5,DE_Lookups!$A$2:$A$4,0)),1)</f>
        <v>0.6</v>
      </c>
      <c r="P25" s="27">
        <f>IF(OR($B$6="Air conditioning",$B$6="Heat pump (heating &amp; cooling)"),IF(DE_Base_Profile!K17=1,$G$10,1),1)*IF(OR($B$6="Electric heating",$B$6="Heat pump (heating &amp; cooling)"),IF(DE_Base_Profile!L17=1,$G$11,1),1)</f>
        <v>1</v>
      </c>
      <c r="Q25">
        <f t="shared" si="7"/>
        <v>0.03108</v>
      </c>
      <c r="R25" s="16">
        <f t="shared" si="8"/>
        <v>0.0376362315330588</v>
      </c>
      <c r="S25" s="30">
        <f t="shared" si="9"/>
        <v>0.360895370864948</v>
      </c>
      <c r="T25" s="16">
        <f>INDEX(DE_Base_Profile!$N$6:$Q$29,ROW()-13,MATCH($B$9,DE_Base_Profile!$N$5:$Q$5,0))</f>
        <v>0</v>
      </c>
      <c r="U25" s="30">
        <f t="shared" si="10"/>
        <v>0</v>
      </c>
      <c r="V25" s="30">
        <f t="shared" si="11"/>
        <v>0.360895370864948</v>
      </c>
      <c r="W25" s="16">
        <f t="shared" si="12"/>
        <v>0.0376362315330588</v>
      </c>
      <c r="X25" s="29">
        <f t="shared" si="13"/>
        <v>-0.0141637684669412</v>
      </c>
    </row>
    <row r="26" ht="16.8" spans="1:24">
      <c r="A26" s="31" t="s">
        <v>140</v>
      </c>
      <c r="B26" s="32">
        <f>SUM(B14:B25)</f>
        <v>1</v>
      </c>
      <c r="C26" s="33">
        <f>SUM(C14:C25)</f>
        <v>3500</v>
      </c>
      <c r="D26" t="s">
        <v>180</v>
      </c>
      <c r="E26" s="33">
        <f t="shared" ref="E26:K26" si="14">SUM(E14:E25)</f>
        <v>3500</v>
      </c>
      <c r="F26" s="34">
        <f t="shared" si="14"/>
        <v>0</v>
      </c>
      <c r="G26" s="33">
        <f t="shared" si="14"/>
        <v>0</v>
      </c>
      <c r="H26" s="33">
        <f t="shared" si="14"/>
        <v>0</v>
      </c>
      <c r="I26" s="33">
        <f t="shared" si="14"/>
        <v>3500</v>
      </c>
      <c r="J26" s="32">
        <f t="shared" si="14"/>
        <v>1</v>
      </c>
      <c r="K26" s="35">
        <f t="shared" si="14"/>
        <v>0</v>
      </c>
      <c r="M26">
        <v>12</v>
      </c>
      <c r="N26" s="16">
        <f>DE_Base_Profile!I18</f>
        <v>0.0513</v>
      </c>
      <c r="O26" s="27">
        <f>IF(DE_Base_Profile!J18=1,INDEX(DE_Lookups!$B$2:$B$4,MATCH($B$5,DE_Lookups!$A$2:$A$4,0)),1)</f>
        <v>0.6</v>
      </c>
      <c r="P26" s="27">
        <f>IF(OR($B$6="Air conditioning",$B$6="Heat pump (heating &amp; cooling)"),IF(DE_Base_Profile!K18=1,$G$10,1),1)*IF(OR($B$6="Electric heating",$B$6="Heat pump (heating &amp; cooling)"),IF(DE_Base_Profile!L18=1,$G$11,1),1)</f>
        <v>1</v>
      </c>
      <c r="Q26">
        <f t="shared" si="7"/>
        <v>0.03078</v>
      </c>
      <c r="R26" s="16">
        <f t="shared" si="8"/>
        <v>0.0372729474449019</v>
      </c>
      <c r="S26" s="30">
        <f t="shared" si="9"/>
        <v>0.357411824814128</v>
      </c>
      <c r="T26" s="16">
        <f>INDEX(DE_Base_Profile!$N$6:$Q$29,ROW()-13,MATCH($B$9,DE_Base_Profile!$N$5:$Q$5,0))</f>
        <v>0</v>
      </c>
      <c r="U26" s="30">
        <f t="shared" si="10"/>
        <v>0</v>
      </c>
      <c r="V26" s="30">
        <f t="shared" si="11"/>
        <v>0.357411824814128</v>
      </c>
      <c r="W26" s="16">
        <f t="shared" si="12"/>
        <v>0.0372729474449019</v>
      </c>
      <c r="X26" s="29">
        <f t="shared" si="13"/>
        <v>-0.0140270525550981</v>
      </c>
    </row>
    <row r="27" ht="16.8" spans="1:24">
      <c r="M27">
        <v>13</v>
      </c>
      <c r="N27" s="16">
        <f>DE_Base_Profile!I19</f>
        <v>0.0481</v>
      </c>
      <c r="O27" s="27">
        <f>IF(DE_Base_Profile!J19=1,INDEX(DE_Lookups!$B$2:$B$4,MATCH($B$5,DE_Lookups!$A$2:$A$4,0)),1)</f>
        <v>0.6</v>
      </c>
      <c r="P27" s="27">
        <f>IF(OR($B$6="Air conditioning",$B$6="Heat pump (heating &amp; cooling)"),IF(DE_Base_Profile!K19=1,$G$10,1),1)*IF(OR($B$6="Electric heating",$B$6="Heat pump (heating &amp; cooling)"),IF(DE_Base_Profile!L19=1,$G$11,1),1)</f>
        <v>1</v>
      </c>
      <c r="Q27">
        <f t="shared" si="7"/>
        <v>0.02886</v>
      </c>
      <c r="R27" s="16">
        <f t="shared" si="8"/>
        <v>0.0349479292806975</v>
      </c>
      <c r="S27" s="30">
        <f t="shared" si="9"/>
        <v>0.33511713008888</v>
      </c>
      <c r="T27" s="16">
        <f>INDEX(DE_Base_Profile!$N$6:$Q$29,ROW()-13,MATCH($B$9,DE_Base_Profile!$N$5:$Q$5,0))</f>
        <v>0</v>
      </c>
      <c r="U27" s="30">
        <f t="shared" si="10"/>
        <v>0</v>
      </c>
      <c r="V27" s="30">
        <f t="shared" si="11"/>
        <v>0.33511713008888</v>
      </c>
      <c r="W27" s="16">
        <f t="shared" si="12"/>
        <v>0.0349479292806975</v>
      </c>
      <c r="X27" s="29">
        <f t="shared" si="13"/>
        <v>-0.0131520707193025</v>
      </c>
    </row>
    <row r="28" ht="16.8" spans="1:24">
      <c r="M28">
        <v>14</v>
      </c>
      <c r="N28" s="16">
        <f>DE_Base_Profile!I20</f>
        <v>0.0459</v>
      </c>
      <c r="O28" s="27">
        <f>IF(DE_Base_Profile!J20=1,INDEX(DE_Lookups!$B$2:$B$4,MATCH($B$5,DE_Lookups!$A$2:$A$4,0)),1)</f>
        <v>0.6</v>
      </c>
      <c r="P28" s="27">
        <f>IF(OR($B$6="Air conditioning",$B$6="Heat pump (heating &amp; cooling)"),IF(DE_Base_Profile!K20=1,$G$10,1),1)*IF(OR($B$6="Electric heating",$B$6="Heat pump (heating &amp; cooling)"),IF(DE_Base_Profile!L20=1,$G$11,1),1)</f>
        <v>1</v>
      </c>
      <c r="Q28">
        <f t="shared" si="7"/>
        <v>0.02754</v>
      </c>
      <c r="R28" s="16">
        <f t="shared" si="8"/>
        <v>0.033349479292807</v>
      </c>
      <c r="S28" s="30">
        <f t="shared" si="9"/>
        <v>0.319789527465272</v>
      </c>
      <c r="T28" s="16">
        <f>INDEX(DE_Base_Profile!$N$6:$Q$29,ROW()-13,MATCH($B$9,DE_Base_Profile!$N$5:$Q$5,0))</f>
        <v>0</v>
      </c>
      <c r="U28" s="30">
        <f t="shared" si="10"/>
        <v>0</v>
      </c>
      <c r="V28" s="30">
        <f t="shared" si="11"/>
        <v>0.319789527465272</v>
      </c>
      <c r="W28" s="16">
        <f t="shared" si="12"/>
        <v>0.033349479292807</v>
      </c>
      <c r="X28" s="29">
        <f t="shared" si="13"/>
        <v>-0.012550520707193</v>
      </c>
    </row>
    <row r="29" ht="16.8" spans="1:24">
      <c r="M29">
        <v>15</v>
      </c>
      <c r="N29" s="16">
        <f>DE_Base_Profile!I21</f>
        <v>0.0454</v>
      </c>
      <c r="O29" s="27">
        <f>IF(DE_Base_Profile!J21=1,INDEX(DE_Lookups!$B$2:$B$4,MATCH($B$5,DE_Lookups!$A$2:$A$4,0)),1)</f>
        <v>0.6</v>
      </c>
      <c r="P29" s="27">
        <f>IF(OR($B$6="Air conditioning",$B$6="Heat pump (heating &amp; cooling)"),IF(DE_Base_Profile!K21=1,$G$10,1),1)*IF(OR($B$6="Electric heating",$B$6="Heat pump (heating &amp; cooling)"),IF(DE_Base_Profile!L21=1,$G$11,1),1)</f>
        <v>1</v>
      </c>
      <c r="Q29">
        <f t="shared" si="7"/>
        <v>0.02724</v>
      </c>
      <c r="R29" s="16">
        <f t="shared" si="8"/>
        <v>0.03298619520465</v>
      </c>
      <c r="S29" s="30">
        <f t="shared" si="9"/>
        <v>0.316305981414452</v>
      </c>
      <c r="T29" s="16">
        <f>INDEX(DE_Base_Profile!$N$6:$Q$29,ROW()-13,MATCH($B$9,DE_Base_Profile!$N$5:$Q$5,0))</f>
        <v>0</v>
      </c>
      <c r="U29" s="30">
        <f t="shared" si="10"/>
        <v>0</v>
      </c>
      <c r="V29" s="30">
        <f t="shared" si="11"/>
        <v>0.316305981414452</v>
      </c>
      <c r="W29" s="16">
        <f t="shared" si="12"/>
        <v>0.03298619520465</v>
      </c>
      <c r="X29" s="29">
        <f t="shared" si="13"/>
        <v>-0.01241380479535</v>
      </c>
    </row>
    <row r="30" ht="16.8" spans="1:24">
      <c r="M30">
        <v>16</v>
      </c>
      <c r="N30" s="16">
        <f>DE_Base_Profile!I22</f>
        <v>0.0475</v>
      </c>
      <c r="O30" s="27">
        <f>IF(DE_Base_Profile!J22=1,INDEX(DE_Lookups!$B$2:$B$4,MATCH($B$5,DE_Lookups!$A$2:$A$4,0)),1)</f>
        <v>0.6</v>
      </c>
      <c r="P30" s="27">
        <f>IF(OR($B$6="Air conditioning",$B$6="Heat pump (heating &amp; cooling)"),IF(DE_Base_Profile!K22=1,$G$10,1),1)*IF(OR($B$6="Electric heating",$B$6="Heat pump (heating &amp; cooling)"),IF(DE_Base_Profile!L22=1,$G$11,1),1)</f>
        <v>1</v>
      </c>
      <c r="Q30">
        <f t="shared" si="7"/>
        <v>0.0285</v>
      </c>
      <c r="R30" s="16">
        <f t="shared" si="8"/>
        <v>0.0345119883749092</v>
      </c>
      <c r="S30" s="30">
        <f t="shared" si="9"/>
        <v>0.330936874827896</v>
      </c>
      <c r="T30" s="16">
        <f>INDEX(DE_Base_Profile!$N$6:$Q$29,ROW()-13,MATCH($B$9,DE_Base_Profile!$N$5:$Q$5,0))</f>
        <v>0</v>
      </c>
      <c r="U30" s="30">
        <f t="shared" si="10"/>
        <v>0</v>
      </c>
      <c r="V30" s="30">
        <f t="shared" si="11"/>
        <v>0.330936874827896</v>
      </c>
      <c r="W30" s="16">
        <f t="shared" si="12"/>
        <v>0.0345119883749092</v>
      </c>
      <c r="X30" s="29">
        <f t="shared" si="13"/>
        <v>-0.0129880116250908</v>
      </c>
    </row>
    <row r="31" ht="16.8" spans="1:24">
      <c r="M31">
        <v>17</v>
      </c>
      <c r="N31" s="16">
        <f>DE_Base_Profile!I23</f>
        <v>0.0535</v>
      </c>
      <c r="O31" s="27">
        <f>IF(DE_Base_Profile!J23=1,INDEX(DE_Lookups!$B$2:$B$4,MATCH($B$5,DE_Lookups!$A$2:$A$4,0)),1)</f>
        <v>0.6</v>
      </c>
      <c r="P31" s="27">
        <f>IF(OR($B$6="Air conditioning",$B$6="Heat pump (heating &amp; cooling)"),IF(DE_Base_Profile!K23=1,$G$10,1),1)*IF(OR($B$6="Electric heating",$B$6="Heat pump (heating &amp; cooling)"),IF(DE_Base_Profile!L23=1,$G$11,1),1)</f>
        <v>1</v>
      </c>
      <c r="Q31">
        <f t="shared" si="7"/>
        <v>0.0321</v>
      </c>
      <c r="R31" s="16">
        <f t="shared" si="8"/>
        <v>0.0388713974327924</v>
      </c>
      <c r="S31" s="30">
        <f t="shared" si="9"/>
        <v>0.372739427437736</v>
      </c>
      <c r="T31" s="16">
        <f>INDEX(DE_Base_Profile!$N$6:$Q$29,ROW()-13,MATCH($B$9,DE_Base_Profile!$N$5:$Q$5,0))</f>
        <v>0</v>
      </c>
      <c r="U31" s="30">
        <f t="shared" si="10"/>
        <v>0</v>
      </c>
      <c r="V31" s="30">
        <f t="shared" si="11"/>
        <v>0.372739427437736</v>
      </c>
      <c r="W31" s="16">
        <f t="shared" si="12"/>
        <v>0.0388713974327924</v>
      </c>
      <c r="X31" s="29">
        <f t="shared" si="13"/>
        <v>-0.0146286025672076</v>
      </c>
    </row>
    <row r="32" ht="16.8" spans="1:24">
      <c r="M32">
        <v>18</v>
      </c>
      <c r="N32" s="16">
        <f>DE_Base_Profile!I24</f>
        <v>0.0587</v>
      </c>
      <c r="O32" s="27">
        <f>IF(DE_Base_Profile!J24=1,INDEX(DE_Lookups!$B$2:$B$4,MATCH($B$5,DE_Lookups!$A$2:$A$4,0)),1)</f>
        <v>1</v>
      </c>
      <c r="P32" s="27">
        <f>IF(OR($B$6="Air conditioning",$B$6="Heat pump (heating &amp; cooling)"),IF(DE_Base_Profile!K24=1,$G$10,1),1)*IF(OR($B$6="Electric heating",$B$6="Heat pump (heating &amp; cooling)"),IF(DE_Base_Profile!L24=1,$G$11,1),1)</f>
        <v>1</v>
      </c>
      <c r="Q32">
        <f t="shared" si="7"/>
        <v>0.0587</v>
      </c>
      <c r="R32" s="16">
        <f t="shared" si="8"/>
        <v>0.0710825865827077</v>
      </c>
      <c r="S32" s="30">
        <f t="shared" si="9"/>
        <v>0.681613843943772</v>
      </c>
      <c r="T32" s="16">
        <f>INDEX(DE_Base_Profile!$N$6:$Q$29,ROW()-13,MATCH($B$9,DE_Base_Profile!$N$5:$Q$5,0))</f>
        <v>0</v>
      </c>
      <c r="U32" s="30">
        <f t="shared" si="10"/>
        <v>0</v>
      </c>
      <c r="V32" s="30">
        <f t="shared" si="11"/>
        <v>0.681613843943772</v>
      </c>
      <c r="W32" s="16">
        <f t="shared" si="12"/>
        <v>0.0710825865827077</v>
      </c>
      <c r="X32" s="29">
        <f t="shared" si="13"/>
        <v>0.0123825865827077</v>
      </c>
    </row>
    <row r="33" ht="16.8" spans="1:24">
      <c r="M33">
        <v>19</v>
      </c>
      <c r="N33" s="16">
        <f>DE_Base_Profile!I25</f>
        <v>0.0591</v>
      </c>
      <c r="O33" s="27">
        <f>IF(DE_Base_Profile!J25=1,INDEX(DE_Lookups!$B$2:$B$4,MATCH($B$5,DE_Lookups!$A$2:$A$4,0)),1)</f>
        <v>1</v>
      </c>
      <c r="P33" s="27">
        <f>IF(OR($B$6="Air conditioning",$B$6="Heat pump (heating &amp; cooling)"),IF(DE_Base_Profile!K25=1,$G$10,1),1)*IF(OR($B$6="Electric heating",$B$6="Heat pump (heating &amp; cooling)"),IF(DE_Base_Profile!L25=1,$G$11,1),1)</f>
        <v>1</v>
      </c>
      <c r="Q33">
        <f t="shared" si="7"/>
        <v>0.0591</v>
      </c>
      <c r="R33" s="16">
        <f t="shared" si="8"/>
        <v>0.0715669653669169</v>
      </c>
      <c r="S33" s="30">
        <f t="shared" si="9"/>
        <v>0.686258572011532</v>
      </c>
      <c r="T33" s="16">
        <f>INDEX(DE_Base_Profile!$N$6:$Q$29,ROW()-13,MATCH($B$9,DE_Base_Profile!$N$5:$Q$5,0))</f>
        <v>0</v>
      </c>
      <c r="U33" s="30">
        <f t="shared" si="10"/>
        <v>0</v>
      </c>
      <c r="V33" s="30">
        <f t="shared" si="11"/>
        <v>0.686258572011532</v>
      </c>
      <c r="W33" s="16">
        <f t="shared" si="12"/>
        <v>0.0715669653669169</v>
      </c>
      <c r="X33" s="29">
        <f t="shared" si="13"/>
        <v>0.0124669653669169</v>
      </c>
    </row>
    <row r="34" ht="16.8" spans="1:24">
      <c r="M34">
        <v>20</v>
      </c>
      <c r="N34" s="16">
        <f>DE_Base_Profile!I26</f>
        <v>0.0556</v>
      </c>
      <c r="O34" s="27">
        <f>IF(DE_Base_Profile!J26=1,INDEX(DE_Lookups!$B$2:$B$4,MATCH($B$5,DE_Lookups!$A$2:$A$4,0)),1)</f>
        <v>1</v>
      </c>
      <c r="P34" s="27">
        <f>IF(OR($B$6="Air conditioning",$B$6="Heat pump (heating &amp; cooling)"),IF(DE_Base_Profile!K26=1,$G$10,1),1)*IF(OR($B$6="Electric heating",$B$6="Heat pump (heating &amp; cooling)"),IF(DE_Base_Profile!L26=1,$G$11,1),1)</f>
        <v>1</v>
      </c>
      <c r="Q34">
        <f t="shared" si="7"/>
        <v>0.0556</v>
      </c>
      <c r="R34" s="16">
        <f t="shared" si="8"/>
        <v>0.067328651005086</v>
      </c>
      <c r="S34" s="30">
        <f t="shared" si="9"/>
        <v>0.645617201418633</v>
      </c>
      <c r="T34" s="16">
        <f>INDEX(DE_Base_Profile!$N$6:$Q$29,ROW()-13,MATCH($B$9,DE_Base_Profile!$N$5:$Q$5,0))</f>
        <v>0</v>
      </c>
      <c r="U34" s="30">
        <f t="shared" si="10"/>
        <v>0</v>
      </c>
      <c r="V34" s="30">
        <f t="shared" si="11"/>
        <v>0.645617201418633</v>
      </c>
      <c r="W34" s="16">
        <f t="shared" si="12"/>
        <v>0.067328651005086</v>
      </c>
      <c r="X34" s="29">
        <f t="shared" si="13"/>
        <v>0.011728651005086</v>
      </c>
    </row>
    <row r="35" ht="16.8" spans="1:24">
      <c r="M35">
        <v>21</v>
      </c>
      <c r="N35" s="16">
        <f>DE_Base_Profile!I27</f>
        <v>0.0508</v>
      </c>
      <c r="O35" s="27">
        <f>IF(DE_Base_Profile!J27=1,INDEX(DE_Lookups!$B$2:$B$4,MATCH($B$5,DE_Lookups!$A$2:$A$4,0)),1)</f>
        <v>1</v>
      </c>
      <c r="P35" s="27">
        <f>IF(OR($B$6="Air conditioning",$B$6="Heat pump (heating &amp; cooling)"),IF(DE_Base_Profile!K27=1,$G$10,1),1)*IF(OR($B$6="Electric heating",$B$6="Heat pump (heating &amp; cooling)"),IF(DE_Base_Profile!L27=1,$G$11,1),1)</f>
        <v>1</v>
      </c>
      <c r="Q35">
        <f t="shared" si="7"/>
        <v>0.0508</v>
      </c>
      <c r="R35" s="16">
        <f t="shared" si="8"/>
        <v>0.061516105594575</v>
      </c>
      <c r="S35" s="30">
        <f t="shared" si="9"/>
        <v>0.589880464605513</v>
      </c>
      <c r="T35" s="16">
        <f>INDEX(DE_Base_Profile!$N$6:$Q$29,ROW()-13,MATCH($B$9,DE_Base_Profile!$N$5:$Q$5,0))</f>
        <v>0</v>
      </c>
      <c r="U35" s="30">
        <f t="shared" si="10"/>
        <v>0</v>
      </c>
      <c r="V35" s="30">
        <f t="shared" si="11"/>
        <v>0.589880464605513</v>
      </c>
      <c r="W35" s="16">
        <f t="shared" si="12"/>
        <v>0.061516105594575</v>
      </c>
      <c r="X35" s="29">
        <f t="shared" si="13"/>
        <v>0.010716105594575</v>
      </c>
    </row>
    <row r="36" ht="16.8" spans="1:24">
      <c r="M36">
        <v>22</v>
      </c>
      <c r="N36" s="16">
        <f>DE_Base_Profile!I28</f>
        <v>0.0451</v>
      </c>
      <c r="O36" s="27">
        <f>IF(DE_Base_Profile!J28=1,INDEX(DE_Lookups!$B$2:$B$4,MATCH($B$5,DE_Lookups!$A$2:$A$4,0)),1)</f>
        <v>1</v>
      </c>
      <c r="P36" s="27">
        <f>IF(OR($B$6="Air conditioning",$B$6="Heat pump (heating &amp; cooling)"),IF(DE_Base_Profile!K28=1,$G$10,1),1)*IF(OR($B$6="Electric heating",$B$6="Heat pump (heating &amp; cooling)"),IF(DE_Base_Profile!L28=1,$G$11,1),1)</f>
        <v>1</v>
      </c>
      <c r="Q36">
        <f t="shared" si="7"/>
        <v>0.0451</v>
      </c>
      <c r="R36" s="16">
        <f t="shared" si="8"/>
        <v>0.0546137079195931</v>
      </c>
      <c r="S36" s="30">
        <f t="shared" si="9"/>
        <v>0.523693089639934</v>
      </c>
      <c r="T36" s="16">
        <f>INDEX(DE_Base_Profile!$N$6:$Q$29,ROW()-13,MATCH($B$9,DE_Base_Profile!$N$5:$Q$5,0))</f>
        <v>0.125</v>
      </c>
      <c r="U36" s="30">
        <f t="shared" si="10"/>
        <v>0</v>
      </c>
      <c r="V36" s="30">
        <f t="shared" si="11"/>
        <v>0.523693089639934</v>
      </c>
      <c r="W36" s="16">
        <f t="shared" si="12"/>
        <v>0.0546137079195931</v>
      </c>
      <c r="X36" s="29">
        <f t="shared" si="13"/>
        <v>0.00951370791959312</v>
      </c>
    </row>
    <row r="37" ht="16.8" spans="1:24">
      <c r="M37">
        <v>23</v>
      </c>
      <c r="N37" s="16">
        <f>DE_Base_Profile!I29</f>
        <v>0.0366</v>
      </c>
      <c r="O37" s="27">
        <f>IF(DE_Base_Profile!J29=1,INDEX(DE_Lookups!$B$2:$B$4,MATCH($B$5,DE_Lookups!$A$2:$A$4,0)),1)</f>
        <v>1</v>
      </c>
      <c r="P37" s="27">
        <f>IF(OR($B$6="Air conditioning",$B$6="Heat pump (heating &amp; cooling)"),IF(DE_Base_Profile!K29=1,$G$10,1),1)*IF(OR($B$6="Electric heating",$B$6="Heat pump (heating &amp; cooling)"),IF(DE_Base_Profile!L29=1,$G$11,1),1)</f>
        <v>1</v>
      </c>
      <c r="Q37">
        <f t="shared" si="7"/>
        <v>0.0366</v>
      </c>
      <c r="R37" s="16">
        <f t="shared" si="8"/>
        <v>0.0443206587551465</v>
      </c>
      <c r="S37" s="30">
        <f t="shared" si="9"/>
        <v>0.424992618200035</v>
      </c>
      <c r="T37" s="16">
        <f>INDEX(DE_Base_Profile!$N$6:$Q$29,ROW()-13,MATCH($B$9,DE_Base_Profile!$N$5:$Q$5,0))</f>
        <v>0.125</v>
      </c>
      <c r="U37" s="30">
        <f t="shared" si="10"/>
        <v>0</v>
      </c>
      <c r="V37" s="30">
        <f t="shared" si="11"/>
        <v>0.424992618200035</v>
      </c>
      <c r="W37" s="16">
        <f t="shared" si="12"/>
        <v>0.0443206587551465</v>
      </c>
      <c r="X37" s="29">
        <f t="shared" si="13"/>
        <v>0.00772065875514653</v>
      </c>
    </row>
    <row r="38" ht="16.8" spans="1:24">
      <c r="M38" s="31" t="s">
        <v>140</v>
      </c>
      <c r="N38" s="32">
        <f>SUM(N14:N37)</f>
        <v>1</v>
      </c>
      <c r="O38" t="s">
        <v>180</v>
      </c>
      <c r="P38" t="s">
        <v>180</v>
      </c>
      <c r="Q38">
        <f t="shared" ref="Q38:X38" si="15">SUM(Q14:Q37)</f>
        <v>0.8258</v>
      </c>
      <c r="R38" s="32">
        <f t="shared" si="15"/>
        <v>1</v>
      </c>
      <c r="S38" s="36">
        <f t="shared" si="15"/>
        <v>9.58904109589041</v>
      </c>
      <c r="T38" s="32">
        <f t="shared" si="15"/>
        <v>1</v>
      </c>
      <c r="U38" s="36">
        <f t="shared" si="15"/>
        <v>0</v>
      </c>
      <c r="V38" s="36">
        <f t="shared" si="15"/>
        <v>9.58904109589041</v>
      </c>
      <c r="W38" s="32">
        <f t="shared" si="15"/>
        <v>1</v>
      </c>
      <c r="X38" s="35">
        <f t="shared" si="15"/>
        <v>-6.93889390390723e-18</v>
      </c>
    </row>
    <row r="40" ht="16.8" spans="1:24">
      <c r="A40" s="37" t="s">
        <v>181</v>
      </c>
    </row>
    <row r="41" spans="1:24">
      <c r="A41" s="17" t="s">
        <v>182</v>
      </c>
    </row>
    <row r="42" spans="1:24">
      <c r="A42" s="17" t="s">
        <v>183</v>
      </c>
    </row>
  </sheetData>
  <mergeCells count="9">
    <mergeCell ref="A1:L1"/>
    <mergeCell ref="A2:L2"/>
    <mergeCell ref="I4:L4"/>
    <mergeCell ref="I5:L5"/>
    <mergeCell ref="I6:L6"/>
    <mergeCell ref="I7:L7"/>
    <mergeCell ref="A40:L40"/>
    <mergeCell ref="A41:L41"/>
    <mergeCell ref="A42:L42"/>
  </mergeCells>
  <dataValidations count="5">
    <dataValidation type="list" sqref="B5">
      <formula1>DE_Lookups!$A$2:$A$4</formula1>
    </dataValidation>
    <dataValidation type="list" sqref="B6">
      <formula1>DE_Lookups!$K$2:$K$5</formula1>
    </dataValidation>
    <dataValidation type="list" sqref="B7">
      <formula1>DE_Lookups!$D$2:$D$5</formula1>
    </dataValidation>
    <dataValidation type="list" sqref="B8">
      <formula1>DE_Lookups!$N$2:$N$7</formula1>
    </dataValidation>
    <dataValidation type="list" sqref="B9">
      <formula1>DE_Lookups!$Q$2:$Q$5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"/>
  <sheetViews>
    <sheetView workbookViewId="0">
      <selection activeCell="A1" sqref="A1"/>
    </sheetView>
  </sheetViews>
  <sheetFormatPr defaultColWidth="9" defaultRowHeight="15.2"/>
  <cols>
    <col min="1" max="1" width="24" style="1" customWidth="1"/>
    <col min="2" max="2" width="28" style="1" customWidth="1"/>
    <col min="3" max="3" width="26" style="1" customWidth="1"/>
    <col min="4" max="4" width="30" style="1" customWidth="1"/>
    <col min="5" max="5" width="16" style="1" customWidth="1"/>
    <col min="6" max="6" width="18" style="1" customWidth="1"/>
    <col min="7" max="7" width="24" style="1" customWidth="1"/>
    <col min="8" max="8" width="14" style="1" customWidth="1"/>
    <col min="9" max="20" width="10" style="1" customWidth="1"/>
    <col min="21" max="32" width="11" style="1" customWidth="1"/>
    <col min="33" max="33" width="30" style="1" customWidth="1"/>
  </cols>
  <sheetData>
    <row r="1" ht="16.8" spans="1:33">
      <c r="A1" s="20" t="s">
        <v>184</v>
      </c>
      <c r="B1" s="21">
        <v>3500</v>
      </c>
    </row>
    <row r="2" spans="1:33">
      <c r="A2" s="11" t="s">
        <v>185</v>
      </c>
    </row>
    <row r="3" ht="34" spans="1:33">
      <c r="A3" s="12" t="s">
        <v>186</v>
      </c>
      <c r="B3" s="12" t="s">
        <v>187</v>
      </c>
      <c r="C3" s="12" t="s">
        <v>51</v>
      </c>
      <c r="D3" s="12" t="s">
        <v>188</v>
      </c>
      <c r="E3" s="12" t="s">
        <v>68</v>
      </c>
      <c r="F3" s="12" t="s">
        <v>189</v>
      </c>
      <c r="G3" s="12" t="s">
        <v>190</v>
      </c>
      <c r="H3" s="12" t="s">
        <v>191</v>
      </c>
      <c r="I3" s="12" t="s">
        <v>192</v>
      </c>
      <c r="J3" s="12" t="s">
        <v>193</v>
      </c>
      <c r="K3" s="12" t="s">
        <v>194</v>
      </c>
      <c r="L3" s="12" t="s">
        <v>195</v>
      </c>
      <c r="M3" s="12" t="s">
        <v>196</v>
      </c>
      <c r="N3" s="12" t="s">
        <v>197</v>
      </c>
      <c r="O3" s="12" t="s">
        <v>198</v>
      </c>
      <c r="P3" s="12" t="s">
        <v>199</v>
      </c>
      <c r="Q3" s="12" t="s">
        <v>200</v>
      </c>
      <c r="R3" s="12" t="s">
        <v>201</v>
      </c>
      <c r="S3" s="12" t="s">
        <v>202</v>
      </c>
      <c r="T3" s="12" t="s">
        <v>203</v>
      </c>
      <c r="U3" s="12" t="s">
        <v>204</v>
      </c>
      <c r="V3" s="12" t="s">
        <v>205</v>
      </c>
      <c r="W3" s="12" t="s">
        <v>206</v>
      </c>
      <c r="X3" s="12" t="s">
        <v>207</v>
      </c>
      <c r="Y3" s="12" t="s">
        <v>208</v>
      </c>
      <c r="Z3" s="12" t="s">
        <v>209</v>
      </c>
      <c r="AA3" s="12" t="s">
        <v>210</v>
      </c>
      <c r="AB3" s="12" t="s">
        <v>211</v>
      </c>
      <c r="AC3" s="12" t="s">
        <v>212</v>
      </c>
      <c r="AD3" s="12" t="s">
        <v>213</v>
      </c>
      <c r="AE3" s="12" t="s">
        <v>214</v>
      </c>
      <c r="AF3" s="12" t="s">
        <v>215</v>
      </c>
      <c r="AG3" s="12" t="s">
        <v>216</v>
      </c>
    </row>
    <row r="4" ht="16.8" spans="1:33">
      <c r="A4" s="13" t="s">
        <v>51</v>
      </c>
      <c r="B4" s="13" t="s">
        <v>52</v>
      </c>
      <c r="C4" s="14" t="s">
        <v>52</v>
      </c>
      <c r="D4" s="14" t="s">
        <v>150</v>
      </c>
      <c r="E4" s="14" t="s">
        <v>75</v>
      </c>
      <c r="F4" s="14" t="s">
        <v>157</v>
      </c>
      <c r="G4" s="14" t="s">
        <v>121</v>
      </c>
      <c r="H4" s="15">
        <f>DE_Calc_Compare!H2</f>
        <v>3500</v>
      </c>
      <c r="I4" s="16">
        <f>DE_Calc_Compare!J4</f>
        <v>0.0789</v>
      </c>
      <c r="J4" s="16">
        <f>DE_Calc_Compare!J5</f>
        <v>0.0791</v>
      </c>
      <c r="K4" s="16">
        <f>DE_Calc_Compare!J6</f>
        <v>0.0773</v>
      </c>
      <c r="L4" s="16">
        <f>DE_Calc_Compare!J7</f>
        <v>0.0822</v>
      </c>
      <c r="M4" s="16">
        <f>DE_Calc_Compare!J8</f>
        <v>0.0839</v>
      </c>
      <c r="N4" s="16">
        <f>DE_Calc_Compare!J9</f>
        <v>0.0876</v>
      </c>
      <c r="O4" s="16">
        <f>DE_Calc_Compare!J10</f>
        <v>0.0917</v>
      </c>
      <c r="P4" s="16">
        <f>DE_Calc_Compare!J11</f>
        <v>0.0887</v>
      </c>
      <c r="Q4" s="16">
        <f>DE_Calc_Compare!J12</f>
        <v>0.0853</v>
      </c>
      <c r="R4" s="16">
        <f>DE_Calc_Compare!J13</f>
        <v>0.0838</v>
      </c>
      <c r="S4" s="16">
        <f>DE_Calc_Compare!J14</f>
        <v>0.0819</v>
      </c>
      <c r="T4" s="16">
        <f>DE_Calc_Compare!J15</f>
        <v>0.0796</v>
      </c>
      <c r="U4" s="22">
        <f>DE_Calc_Compare!I4</f>
        <v>276.15</v>
      </c>
      <c r="V4" s="22">
        <f>DE_Calc_Compare!I5</f>
        <v>276.85</v>
      </c>
      <c r="W4" s="22">
        <f>DE_Calc_Compare!I6</f>
        <v>270.55</v>
      </c>
      <c r="X4" s="22">
        <f>DE_Calc_Compare!I7</f>
        <v>287.7</v>
      </c>
      <c r="Y4" s="22">
        <f>DE_Calc_Compare!I8</f>
        <v>293.65</v>
      </c>
      <c r="Z4" s="22">
        <f>DE_Calc_Compare!I9</f>
        <v>306.6</v>
      </c>
      <c r="AA4" s="22">
        <f>DE_Calc_Compare!I10</f>
        <v>320.95</v>
      </c>
      <c r="AB4" s="22">
        <f>DE_Calc_Compare!I11</f>
        <v>310.45</v>
      </c>
      <c r="AC4" s="22">
        <f>DE_Calc_Compare!I12</f>
        <v>298.55</v>
      </c>
      <c r="AD4" s="22">
        <f>DE_Calc_Compare!I13</f>
        <v>293.3</v>
      </c>
      <c r="AE4" s="22">
        <f>DE_Calc_Compare!I14</f>
        <v>286.65</v>
      </c>
      <c r="AF4" s="22">
        <f>DE_Calc_Compare!I15</f>
        <v>278.6</v>
      </c>
      <c r="AG4" s="17" t="s">
        <v>217</v>
      </c>
    </row>
    <row r="5" ht="16.8" spans="1:33">
      <c r="A5" s="13" t="s">
        <v>51</v>
      </c>
      <c r="B5" s="13" t="s">
        <v>58</v>
      </c>
      <c r="C5" s="14" t="s">
        <v>58</v>
      </c>
      <c r="D5" s="14" t="s">
        <v>150</v>
      </c>
      <c r="E5" s="14" t="s">
        <v>75</v>
      </c>
      <c r="F5" s="14" t="s">
        <v>157</v>
      </c>
      <c r="G5" s="14" t="s">
        <v>121</v>
      </c>
      <c r="H5" s="15">
        <f>DE_Calc_Compare!H47</f>
        <v>3500</v>
      </c>
      <c r="I5" s="16">
        <f>DE_Calc_Compare!J49</f>
        <v>0.0789</v>
      </c>
      <c r="J5" s="16">
        <f>DE_Calc_Compare!J50</f>
        <v>0.0791</v>
      </c>
      <c r="K5" s="16">
        <f>DE_Calc_Compare!J51</f>
        <v>0.0773</v>
      </c>
      <c r="L5" s="16">
        <f>DE_Calc_Compare!J52</f>
        <v>0.0822</v>
      </c>
      <c r="M5" s="16">
        <f>DE_Calc_Compare!J53</f>
        <v>0.0839</v>
      </c>
      <c r="N5" s="16">
        <f>DE_Calc_Compare!J54</f>
        <v>0.0876</v>
      </c>
      <c r="O5" s="16">
        <f>DE_Calc_Compare!J55</f>
        <v>0.0917</v>
      </c>
      <c r="P5" s="16">
        <f>DE_Calc_Compare!J56</f>
        <v>0.0887</v>
      </c>
      <c r="Q5" s="16">
        <f>DE_Calc_Compare!J57</f>
        <v>0.0853</v>
      </c>
      <c r="R5" s="16">
        <f>DE_Calc_Compare!J58</f>
        <v>0.0838</v>
      </c>
      <c r="S5" s="16">
        <f>DE_Calc_Compare!J59</f>
        <v>0.0819</v>
      </c>
      <c r="T5" s="16">
        <f>DE_Calc_Compare!J60</f>
        <v>0.0796</v>
      </c>
      <c r="U5" s="22">
        <f>DE_Calc_Compare!I49</f>
        <v>276.15</v>
      </c>
      <c r="V5" s="22">
        <f>DE_Calc_Compare!I50</f>
        <v>276.85</v>
      </c>
      <c r="W5" s="22">
        <f>DE_Calc_Compare!I51</f>
        <v>270.55</v>
      </c>
      <c r="X5" s="22">
        <f>DE_Calc_Compare!I52</f>
        <v>287.7</v>
      </c>
      <c r="Y5" s="22">
        <f>DE_Calc_Compare!I53</f>
        <v>293.65</v>
      </c>
      <c r="Z5" s="22">
        <f>DE_Calc_Compare!I54</f>
        <v>306.6</v>
      </c>
      <c r="AA5" s="22">
        <f>DE_Calc_Compare!I55</f>
        <v>320.95</v>
      </c>
      <c r="AB5" s="22">
        <f>DE_Calc_Compare!I56</f>
        <v>310.45</v>
      </c>
      <c r="AC5" s="22">
        <f>DE_Calc_Compare!I57</f>
        <v>298.55</v>
      </c>
      <c r="AD5" s="22">
        <f>DE_Calc_Compare!I58</f>
        <v>293.3</v>
      </c>
      <c r="AE5" s="22">
        <f>DE_Calc_Compare!I59</f>
        <v>286.65</v>
      </c>
      <c r="AF5" s="22">
        <f>DE_Calc_Compare!I60</f>
        <v>278.6</v>
      </c>
      <c r="AG5" s="17" t="s">
        <v>217</v>
      </c>
    </row>
    <row r="6" ht="16.8" spans="1:33">
      <c r="A6" s="13" t="s">
        <v>51</v>
      </c>
      <c r="B6" s="13" t="s">
        <v>63</v>
      </c>
      <c r="C6" s="14" t="s">
        <v>63</v>
      </c>
      <c r="D6" s="14" t="s">
        <v>150</v>
      </c>
      <c r="E6" s="14" t="s">
        <v>75</v>
      </c>
      <c r="F6" s="14" t="s">
        <v>157</v>
      </c>
      <c r="G6" s="14" t="s">
        <v>121</v>
      </c>
      <c r="H6" s="15">
        <f>DE_Calc_Compare!H92</f>
        <v>3500</v>
      </c>
      <c r="I6" s="16">
        <f>DE_Calc_Compare!J94</f>
        <v>0.0789</v>
      </c>
      <c r="J6" s="16">
        <f>DE_Calc_Compare!J95</f>
        <v>0.0791</v>
      </c>
      <c r="K6" s="16">
        <f>DE_Calc_Compare!J96</f>
        <v>0.0773</v>
      </c>
      <c r="L6" s="16">
        <f>DE_Calc_Compare!J97</f>
        <v>0.0822</v>
      </c>
      <c r="M6" s="16">
        <f>DE_Calc_Compare!J98</f>
        <v>0.0839</v>
      </c>
      <c r="N6" s="16">
        <f>DE_Calc_Compare!J99</f>
        <v>0.0876</v>
      </c>
      <c r="O6" s="16">
        <f>DE_Calc_Compare!J100</f>
        <v>0.0917</v>
      </c>
      <c r="P6" s="16">
        <f>DE_Calc_Compare!J101</f>
        <v>0.0887</v>
      </c>
      <c r="Q6" s="16">
        <f>DE_Calc_Compare!J102</f>
        <v>0.0853</v>
      </c>
      <c r="R6" s="16">
        <f>DE_Calc_Compare!J103</f>
        <v>0.0838</v>
      </c>
      <c r="S6" s="16">
        <f>DE_Calc_Compare!J104</f>
        <v>0.0819</v>
      </c>
      <c r="T6" s="16">
        <f>DE_Calc_Compare!J105</f>
        <v>0.0796</v>
      </c>
      <c r="U6" s="22">
        <f>DE_Calc_Compare!I94</f>
        <v>276.15</v>
      </c>
      <c r="V6" s="22">
        <f>DE_Calc_Compare!I95</f>
        <v>276.85</v>
      </c>
      <c r="W6" s="22">
        <f>DE_Calc_Compare!I96</f>
        <v>270.55</v>
      </c>
      <c r="X6" s="22">
        <f>DE_Calc_Compare!I97</f>
        <v>287.7</v>
      </c>
      <c r="Y6" s="22">
        <f>DE_Calc_Compare!I98</f>
        <v>293.65</v>
      </c>
      <c r="Z6" s="22">
        <f>DE_Calc_Compare!I99</f>
        <v>306.6</v>
      </c>
      <c r="AA6" s="22">
        <f>DE_Calc_Compare!I100</f>
        <v>320.95</v>
      </c>
      <c r="AB6" s="22">
        <f>DE_Calc_Compare!I101</f>
        <v>310.45</v>
      </c>
      <c r="AC6" s="22">
        <f>DE_Calc_Compare!I102</f>
        <v>298.55</v>
      </c>
      <c r="AD6" s="22">
        <f>DE_Calc_Compare!I103</f>
        <v>293.3</v>
      </c>
      <c r="AE6" s="22">
        <f>DE_Calc_Compare!I104</f>
        <v>286.65</v>
      </c>
      <c r="AF6" s="22">
        <f>DE_Calc_Compare!I105</f>
        <v>278.6</v>
      </c>
      <c r="AG6" s="17" t="s">
        <v>217</v>
      </c>
    </row>
    <row r="7" ht="31" spans="1:33">
      <c r="A7" s="13" t="s">
        <v>218</v>
      </c>
      <c r="B7" s="13" t="s">
        <v>150</v>
      </c>
      <c r="C7" s="14" t="s">
        <v>52</v>
      </c>
      <c r="D7" s="14" t="s">
        <v>150</v>
      </c>
      <c r="E7" s="14" t="s">
        <v>75</v>
      </c>
      <c r="F7" s="14" t="s">
        <v>157</v>
      </c>
      <c r="G7" s="14" t="s">
        <v>121</v>
      </c>
      <c r="H7" s="15">
        <f>DE_Calc_Compare!H137</f>
        <v>3500</v>
      </c>
      <c r="I7" s="16">
        <f>DE_Calc_Compare!J139</f>
        <v>0.0789</v>
      </c>
      <c r="J7" s="16">
        <f>DE_Calc_Compare!J140</f>
        <v>0.0791</v>
      </c>
      <c r="K7" s="16">
        <f>DE_Calc_Compare!J141</f>
        <v>0.0773</v>
      </c>
      <c r="L7" s="16">
        <f>DE_Calc_Compare!J142</f>
        <v>0.0822</v>
      </c>
      <c r="M7" s="16">
        <f>DE_Calc_Compare!J143</f>
        <v>0.0839</v>
      </c>
      <c r="N7" s="16">
        <f>DE_Calc_Compare!J144</f>
        <v>0.0876</v>
      </c>
      <c r="O7" s="16">
        <f>DE_Calc_Compare!J145</f>
        <v>0.0917</v>
      </c>
      <c r="P7" s="16">
        <f>DE_Calc_Compare!J146</f>
        <v>0.0887</v>
      </c>
      <c r="Q7" s="16">
        <f>DE_Calc_Compare!J147</f>
        <v>0.0853</v>
      </c>
      <c r="R7" s="16">
        <f>DE_Calc_Compare!J148</f>
        <v>0.0838</v>
      </c>
      <c r="S7" s="16">
        <f>DE_Calc_Compare!J149</f>
        <v>0.0819</v>
      </c>
      <c r="T7" s="16">
        <f>DE_Calc_Compare!J150</f>
        <v>0.0796</v>
      </c>
      <c r="U7" s="22">
        <f>DE_Calc_Compare!I139</f>
        <v>276.15</v>
      </c>
      <c r="V7" s="22">
        <f>DE_Calc_Compare!I140</f>
        <v>276.85</v>
      </c>
      <c r="W7" s="22">
        <f>DE_Calc_Compare!I141</f>
        <v>270.55</v>
      </c>
      <c r="X7" s="22">
        <f>DE_Calc_Compare!I142</f>
        <v>287.7</v>
      </c>
      <c r="Y7" s="22">
        <f>DE_Calc_Compare!I143</f>
        <v>293.65</v>
      </c>
      <c r="Z7" s="22">
        <f>DE_Calc_Compare!I144</f>
        <v>306.6</v>
      </c>
      <c r="AA7" s="22">
        <f>DE_Calc_Compare!I145</f>
        <v>320.95</v>
      </c>
      <c r="AB7" s="22">
        <f>DE_Calc_Compare!I146</f>
        <v>310.45</v>
      </c>
      <c r="AC7" s="22">
        <f>DE_Calc_Compare!I147</f>
        <v>298.55</v>
      </c>
      <c r="AD7" s="22">
        <f>DE_Calc_Compare!I148</f>
        <v>293.3</v>
      </c>
      <c r="AE7" s="22">
        <f>DE_Calc_Compare!I149</f>
        <v>286.65</v>
      </c>
      <c r="AF7" s="22">
        <f>DE_Calc_Compare!I150</f>
        <v>278.6</v>
      </c>
      <c r="AG7" s="17" t="s">
        <v>219</v>
      </c>
    </row>
    <row r="8" ht="31" spans="1:33">
      <c r="A8" s="13" t="s">
        <v>218</v>
      </c>
      <c r="B8" s="13" t="s">
        <v>220</v>
      </c>
      <c r="C8" s="14" t="s">
        <v>52</v>
      </c>
      <c r="D8" s="14" t="s">
        <v>220</v>
      </c>
      <c r="E8" s="14" t="s">
        <v>75</v>
      </c>
      <c r="F8" s="14" t="s">
        <v>157</v>
      </c>
      <c r="G8" s="14" t="s">
        <v>121</v>
      </c>
      <c r="H8" s="15">
        <f>DE_Calc_Compare!H182</f>
        <v>3500</v>
      </c>
      <c r="I8" s="16">
        <f>DE_Calc_Compare!J184</f>
        <v>0.0768406700428516</v>
      </c>
      <c r="J8" s="16">
        <f>DE_Calc_Compare!J185</f>
        <v>0.077035449941566</v>
      </c>
      <c r="K8" s="16">
        <f>DE_Calc_Compare!J186</f>
        <v>0.0752824308531359</v>
      </c>
      <c r="L8" s="16">
        <f>DE_Calc_Compare!J187</f>
        <v>0.08005453837164</v>
      </c>
      <c r="M8" s="16">
        <f>DE_Calc_Compare!J188</f>
        <v>0.0817101675107129</v>
      </c>
      <c r="N8" s="16">
        <f>DE_Calc_Compare!J189</f>
        <v>0.0938449552006233</v>
      </c>
      <c r="O8" s="16">
        <f>DE_Calc_Compare!J190</f>
        <v>0.0982372419166342</v>
      </c>
      <c r="P8" s="16">
        <f>DE_Calc_Compare!J191</f>
        <v>0.0950233735878457</v>
      </c>
      <c r="Q8" s="16">
        <f>DE_Calc_Compare!J192</f>
        <v>0.0830736268017141</v>
      </c>
      <c r="R8" s="16">
        <f>DE_Calc_Compare!J193</f>
        <v>0.0816127775613557</v>
      </c>
      <c r="S8" s="16">
        <f>DE_Calc_Compare!J194</f>
        <v>0.0797623685235684</v>
      </c>
      <c r="T8" s="16">
        <f>DE_Calc_Compare!J195</f>
        <v>0.0775223996883522</v>
      </c>
      <c r="U8" s="22">
        <f>DE_Calc_Compare!I184</f>
        <v>268.94234514998</v>
      </c>
      <c r="V8" s="22">
        <f>DE_Calc_Compare!I185</f>
        <v>269.624074795481</v>
      </c>
      <c r="W8" s="22">
        <f>DE_Calc_Compare!I186</f>
        <v>263.488507985976</v>
      </c>
      <c r="X8" s="22">
        <f>DE_Calc_Compare!I187</f>
        <v>280.19088430074</v>
      </c>
      <c r="Y8" s="22">
        <f>DE_Calc_Compare!I188</f>
        <v>285.985586287495</v>
      </c>
      <c r="Z8" s="22">
        <f>DE_Calc_Compare!I189</f>
        <v>328.457343202182</v>
      </c>
      <c r="AA8" s="22">
        <f>DE_Calc_Compare!I190</f>
        <v>343.83034670822</v>
      </c>
      <c r="AB8" s="22">
        <f>DE_Calc_Compare!I191</f>
        <v>332.58180755746</v>
      </c>
      <c r="AC8" s="22">
        <f>DE_Calc_Compare!I192</f>
        <v>290.757693805999</v>
      </c>
      <c r="AD8" s="22">
        <f>DE_Calc_Compare!I193</f>
        <v>285.644721464745</v>
      </c>
      <c r="AE8" s="22">
        <f>DE_Calc_Compare!I194</f>
        <v>279.168289832489</v>
      </c>
      <c r="AF8" s="22">
        <f>DE_Calc_Compare!I195</f>
        <v>271.328398909233</v>
      </c>
      <c r="AG8" s="17" t="s">
        <v>219</v>
      </c>
    </row>
    <row r="9" ht="31" spans="1:33">
      <c r="A9" s="13" t="s">
        <v>218</v>
      </c>
      <c r="B9" s="13" t="s">
        <v>221</v>
      </c>
      <c r="C9" s="14" t="s">
        <v>52</v>
      </c>
      <c r="D9" s="14" t="s">
        <v>221</v>
      </c>
      <c r="E9" s="14" t="s">
        <v>75</v>
      </c>
      <c r="F9" s="14" t="s">
        <v>157</v>
      </c>
      <c r="G9" s="14" t="s">
        <v>121</v>
      </c>
      <c r="H9" s="15">
        <f>DE_Calc_Compare!H227</f>
        <v>6500</v>
      </c>
      <c r="I9" s="16">
        <f>DE_Calc_Compare!J229</f>
        <v>0.109757813530062</v>
      </c>
      <c r="J9" s="16">
        <f>DE_Calc_Compare!J230</f>
        <v>0.110036033589707</v>
      </c>
      <c r="K9" s="16">
        <f>DE_Calc_Compare!J231</f>
        <v>0.1075320530529</v>
      </c>
      <c r="L9" s="16">
        <f>DE_Calc_Compare!J232</f>
        <v>0.114348444514209</v>
      </c>
      <c r="M9" s="16">
        <f>DE_Calc_Compare!J233</f>
        <v>0.0416599869763773</v>
      </c>
      <c r="N9" s="16">
        <f>DE_Calc_Compare!J234</f>
        <v>0.043497197367469</v>
      </c>
      <c r="O9" s="16">
        <f>DE_Calc_Compare!J235</f>
        <v>0.0455330250981382</v>
      </c>
      <c r="P9" s="16">
        <f>DE_Calc_Compare!J236</f>
        <v>0.0440433950513071</v>
      </c>
      <c r="Q9" s="16">
        <f>DE_Calc_Compare!J237</f>
        <v>0.0423551476648985</v>
      </c>
      <c r="R9" s="16">
        <f>DE_Calc_Compare!J238</f>
        <v>0.116574204991371</v>
      </c>
      <c r="S9" s="16">
        <f>DE_Calc_Compare!J239</f>
        <v>0.113931114424741</v>
      </c>
      <c r="T9" s="16">
        <f>DE_Calc_Compare!J240</f>
        <v>0.11073158373882</v>
      </c>
      <c r="U9" s="22">
        <f>DE_Calc_Compare!I229</f>
        <v>713.425787945402</v>
      </c>
      <c r="V9" s="22">
        <f>DE_Calc_Compare!I230</f>
        <v>715.234218333096</v>
      </c>
      <c r="W9" s="22">
        <f>DE_Calc_Compare!I231</f>
        <v>698.958344843847</v>
      </c>
      <c r="X9" s="22">
        <f>DE_Calc_Compare!I232</f>
        <v>743.264889342358</v>
      </c>
      <c r="Y9" s="22">
        <f>DE_Calc_Compare!I233</f>
        <v>270.789915346453</v>
      </c>
      <c r="Z9" s="22">
        <f>DE_Calc_Compare!I234</f>
        <v>282.731782888549</v>
      </c>
      <c r="AA9" s="22">
        <f>DE_Calc_Compare!I235</f>
        <v>295.964663137899</v>
      </c>
      <c r="AB9" s="22">
        <f>DE_Calc_Compare!I236</f>
        <v>286.282067833496</v>
      </c>
      <c r="AC9" s="22">
        <f>DE_Calc_Compare!I237</f>
        <v>275.30845982184</v>
      </c>
      <c r="AD9" s="22">
        <f>DE_Calc_Compare!I238</f>
        <v>757.732332443912</v>
      </c>
      <c r="AE9" s="22">
        <f>DE_Calc_Compare!I239</f>
        <v>740.552243760816</v>
      </c>
      <c r="AF9" s="22">
        <f>DE_Calc_Compare!I240</f>
        <v>719.755294302332</v>
      </c>
      <c r="AG9" s="17" t="s">
        <v>219</v>
      </c>
    </row>
    <row r="10" ht="31" spans="1:33">
      <c r="A10" s="13" t="s">
        <v>218</v>
      </c>
      <c r="B10" s="13" t="s">
        <v>222</v>
      </c>
      <c r="C10" s="14" t="s">
        <v>52</v>
      </c>
      <c r="D10" s="14" t="s">
        <v>222</v>
      </c>
      <c r="E10" s="14" t="s">
        <v>75</v>
      </c>
      <c r="F10" s="14" t="s">
        <v>157</v>
      </c>
      <c r="G10" s="14" t="s">
        <v>121</v>
      </c>
      <c r="H10" s="15">
        <f>DE_Calc_Compare!H272</f>
        <v>5500</v>
      </c>
      <c r="I10" s="16">
        <f>DE_Calc_Compare!J274</f>
        <v>0.0869866299904356</v>
      </c>
      <c r="J10" s="16">
        <f>DE_Calc_Compare!J275</f>
        <v>0.0872071284188018</v>
      </c>
      <c r="K10" s="16">
        <f>DE_Calc_Compare!J276</f>
        <v>0.0852226425635066</v>
      </c>
      <c r="L10" s="16">
        <f>DE_Calc_Compare!J277</f>
        <v>0.0906248540584767</v>
      </c>
      <c r="M10" s="16">
        <f>DE_Calc_Compare!J278</f>
        <v>0.0480471095650808</v>
      </c>
      <c r="N10" s="16">
        <f>DE_Calc_Compare!J279</f>
        <v>0.0923792545972159</v>
      </c>
      <c r="O10" s="16">
        <f>DE_Calc_Compare!J280</f>
        <v>0.0967029411708298</v>
      </c>
      <c r="P10" s="16">
        <f>DE_Calc_Compare!J281</f>
        <v>0.0935392680681855</v>
      </c>
      <c r="Q10" s="16">
        <f>DE_Calc_Compare!J282</f>
        <v>0.0488488491764171</v>
      </c>
      <c r="R10" s="16">
        <f>DE_Calc_Compare!J283</f>
        <v>0.0923888414854057</v>
      </c>
      <c r="S10" s="16">
        <f>DE_Calc_Compare!J284</f>
        <v>0.0902941064159275</v>
      </c>
      <c r="T10" s="16">
        <f>DE_Calc_Compare!J285</f>
        <v>0.0877583744897171</v>
      </c>
      <c r="U10" s="22">
        <f>DE_Calc_Compare!I274</f>
        <v>478.426464947396</v>
      </c>
      <c r="V10" s="22">
        <f>DE_Calc_Compare!I275</f>
        <v>479.63920630341</v>
      </c>
      <c r="W10" s="22">
        <f>DE_Calc_Compare!I276</f>
        <v>468.724534099287</v>
      </c>
      <c r="X10" s="22">
        <f>DE_Calc_Compare!I277</f>
        <v>498.436697321622</v>
      </c>
      <c r="Y10" s="22">
        <f>DE_Calc_Compare!I278</f>
        <v>264.259102607944</v>
      </c>
      <c r="Z10" s="22">
        <f>DE_Calc_Compare!I279</f>
        <v>508.085900284687</v>
      </c>
      <c r="AA10" s="22">
        <f>DE_Calc_Compare!I280</f>
        <v>531.866176439564</v>
      </c>
      <c r="AB10" s="22">
        <f>DE_Calc_Compare!I281</f>
        <v>514.46597437502</v>
      </c>
      <c r="AC10" s="22">
        <f>DE_Calc_Compare!I282</f>
        <v>268.668670470294</v>
      </c>
      <c r="AD10" s="22">
        <f>DE_Calc_Compare!I283</f>
        <v>508.138628169731</v>
      </c>
      <c r="AE10" s="22">
        <f>DE_Calc_Compare!I284</f>
        <v>496.617585287601</v>
      </c>
      <c r="AF10" s="22">
        <f>DE_Calc_Compare!I285</f>
        <v>482.671059693444</v>
      </c>
      <c r="AG10" s="17" t="s">
        <v>219</v>
      </c>
    </row>
    <row r="11" ht="16.8" spans="1:33">
      <c r="A11" s="13" t="s">
        <v>223</v>
      </c>
      <c r="B11" s="13" t="s">
        <v>224</v>
      </c>
      <c r="C11" s="14" t="s">
        <v>52</v>
      </c>
      <c r="D11" s="14" t="s">
        <v>222</v>
      </c>
      <c r="E11" s="14" t="s">
        <v>69</v>
      </c>
      <c r="F11" s="14" t="s">
        <v>157</v>
      </c>
      <c r="G11" s="14" t="s">
        <v>121</v>
      </c>
      <c r="H11" s="15">
        <f>DE_Calc_Compare!H317</f>
        <v>4900</v>
      </c>
      <c r="I11" s="16">
        <f>DE_Calc_Compare!J319</f>
        <v>0.0848852340906844</v>
      </c>
      <c r="J11" s="16">
        <f>DE_Calc_Compare!J320</f>
        <v>0.0851004057867318</v>
      </c>
      <c r="K11" s="16">
        <f>DE_Calc_Compare!J321</f>
        <v>0.0831638605223055</v>
      </c>
      <c r="L11" s="16">
        <f>DE_Calc_Compare!J322</f>
        <v>0.0884355670754659</v>
      </c>
      <c r="M11" s="16">
        <f>DE_Calc_Compare!J323</f>
        <v>0.0566205711780642</v>
      </c>
      <c r="N11" s="16">
        <f>DE_Calc_Compare!J324</f>
        <v>0.0916272805668351</v>
      </c>
      <c r="O11" s="16">
        <f>DE_Calc_Compare!J325</f>
        <v>0.0959157720088902</v>
      </c>
      <c r="P11" s="16">
        <f>DE_Calc_Compare!J326</f>
        <v>0.0927778514415328</v>
      </c>
      <c r="Q11" s="16">
        <f>DE_Calc_Compare!J327</f>
        <v>0.0575653721274002</v>
      </c>
      <c r="R11" s="16">
        <f>DE_Calc_Compare!J328</f>
        <v>0.0901569406438448</v>
      </c>
      <c r="S11" s="16">
        <f>DE_Calc_Compare!J329</f>
        <v>0.0881128095313949</v>
      </c>
      <c r="T11" s="16">
        <f>DE_Calc_Compare!J330</f>
        <v>0.0856383350268502</v>
      </c>
      <c r="U11" s="22">
        <f>DE_Calc_Compare!I319</f>
        <v>415.937647044354</v>
      </c>
      <c r="V11" s="22">
        <f>DE_Calc_Compare!I320</f>
        <v>416.991988354986</v>
      </c>
      <c r="W11" s="22">
        <f>DE_Calc_Compare!I321</f>
        <v>407.502916559297</v>
      </c>
      <c r="X11" s="22">
        <f>DE_Calc_Compare!I322</f>
        <v>433.334278669783</v>
      </c>
      <c r="Y11" s="22">
        <f>DE_Calc_Compare!I323</f>
        <v>277.440798772515</v>
      </c>
      <c r="Z11" s="22">
        <f>DE_Calc_Compare!I324</f>
        <v>448.973674777492</v>
      </c>
      <c r="AA11" s="22">
        <f>DE_Calc_Compare!I325</f>
        <v>469.987282843562</v>
      </c>
      <c r="AB11" s="22">
        <f>DE_Calc_Compare!I326</f>
        <v>454.611472063511</v>
      </c>
      <c r="AC11" s="22">
        <f>DE_Calc_Compare!I327</f>
        <v>282.070323424261</v>
      </c>
      <c r="AD11" s="22">
        <f>DE_Calc_Compare!I328</f>
        <v>441.76900915484</v>
      </c>
      <c r="AE11" s="22">
        <f>DE_Calc_Compare!I329</f>
        <v>431.752766703835</v>
      </c>
      <c r="AF11" s="22">
        <f>DE_Calc_Compare!I330</f>
        <v>419.627841631566</v>
      </c>
      <c r="AG11" s="17" t="s">
        <v>225</v>
      </c>
    </row>
    <row r="12" ht="16.8" spans="1:33">
      <c r="A12" s="13" t="s">
        <v>223</v>
      </c>
      <c r="B12" s="13" t="s">
        <v>226</v>
      </c>
      <c r="C12" s="14" t="s">
        <v>52</v>
      </c>
      <c r="D12" s="14" t="s">
        <v>222</v>
      </c>
      <c r="E12" s="14" t="s">
        <v>75</v>
      </c>
      <c r="F12" s="14" t="s">
        <v>157</v>
      </c>
      <c r="G12" s="14" t="s">
        <v>121</v>
      </c>
      <c r="H12" s="15">
        <f>DE_Calc_Compare!H362</f>
        <v>5500</v>
      </c>
      <c r="I12" s="16">
        <f>DE_Calc_Compare!J364</f>
        <v>0.0869866299904356</v>
      </c>
      <c r="J12" s="16">
        <f>DE_Calc_Compare!J365</f>
        <v>0.0872071284188018</v>
      </c>
      <c r="K12" s="16">
        <f>DE_Calc_Compare!J366</f>
        <v>0.0852226425635066</v>
      </c>
      <c r="L12" s="16">
        <f>DE_Calc_Compare!J367</f>
        <v>0.0906248540584767</v>
      </c>
      <c r="M12" s="16">
        <f>DE_Calc_Compare!J368</f>
        <v>0.0480471095650808</v>
      </c>
      <c r="N12" s="16">
        <f>DE_Calc_Compare!J369</f>
        <v>0.0923792545972159</v>
      </c>
      <c r="O12" s="16">
        <f>DE_Calc_Compare!J370</f>
        <v>0.0967029411708298</v>
      </c>
      <c r="P12" s="16">
        <f>DE_Calc_Compare!J371</f>
        <v>0.0935392680681855</v>
      </c>
      <c r="Q12" s="16">
        <f>DE_Calc_Compare!J372</f>
        <v>0.0488488491764171</v>
      </c>
      <c r="R12" s="16">
        <f>DE_Calc_Compare!J373</f>
        <v>0.0923888414854057</v>
      </c>
      <c r="S12" s="16">
        <f>DE_Calc_Compare!J374</f>
        <v>0.0902941064159275</v>
      </c>
      <c r="T12" s="16">
        <f>DE_Calc_Compare!J375</f>
        <v>0.0877583744897171</v>
      </c>
      <c r="U12" s="22">
        <f>DE_Calc_Compare!I364</f>
        <v>478.426464947396</v>
      </c>
      <c r="V12" s="22">
        <f>DE_Calc_Compare!I365</f>
        <v>479.63920630341</v>
      </c>
      <c r="W12" s="22">
        <f>DE_Calc_Compare!I366</f>
        <v>468.724534099287</v>
      </c>
      <c r="X12" s="22">
        <f>DE_Calc_Compare!I367</f>
        <v>498.436697321622</v>
      </c>
      <c r="Y12" s="22">
        <f>DE_Calc_Compare!I368</f>
        <v>264.259102607944</v>
      </c>
      <c r="Z12" s="22">
        <f>DE_Calc_Compare!I369</f>
        <v>508.085900284687</v>
      </c>
      <c r="AA12" s="22">
        <f>DE_Calc_Compare!I370</f>
        <v>531.866176439564</v>
      </c>
      <c r="AB12" s="22">
        <f>DE_Calc_Compare!I371</f>
        <v>514.46597437502</v>
      </c>
      <c r="AC12" s="22">
        <f>DE_Calc_Compare!I372</f>
        <v>268.668670470294</v>
      </c>
      <c r="AD12" s="22">
        <f>DE_Calc_Compare!I373</f>
        <v>508.138628169731</v>
      </c>
      <c r="AE12" s="22">
        <f>DE_Calc_Compare!I374</f>
        <v>496.617585287601</v>
      </c>
      <c r="AF12" s="22">
        <f>DE_Calc_Compare!I375</f>
        <v>482.671059693444</v>
      </c>
      <c r="AG12" s="17" t="s">
        <v>225</v>
      </c>
    </row>
    <row r="13" ht="16.8" spans="1:33">
      <c r="A13" s="13" t="s">
        <v>223</v>
      </c>
      <c r="B13" s="13" t="s">
        <v>227</v>
      </c>
      <c r="C13" s="14" t="s">
        <v>52</v>
      </c>
      <c r="D13" s="14" t="s">
        <v>222</v>
      </c>
      <c r="E13" s="14" t="s">
        <v>80</v>
      </c>
      <c r="F13" s="14" t="s">
        <v>157</v>
      </c>
      <c r="G13" s="14" t="s">
        <v>121</v>
      </c>
      <c r="H13" s="15">
        <f>DE_Calc_Compare!H407</f>
        <v>6100</v>
      </c>
      <c r="I13" s="16">
        <f>DE_Calc_Compare!J409</f>
        <v>0.0883894205893486</v>
      </c>
      <c r="J13" s="16">
        <f>DE_Calc_Compare!J410</f>
        <v>0.0886134748874205</v>
      </c>
      <c r="K13" s="16">
        <f>DE_Calc_Compare!J411</f>
        <v>0.0865969862047737</v>
      </c>
      <c r="L13" s="16">
        <f>DE_Calc_Compare!J412</f>
        <v>0.0920863165075343</v>
      </c>
      <c r="M13" s="16">
        <f>DE_Calc_Compare!J413</f>
        <v>0.040307581229419</v>
      </c>
      <c r="N13" s="16">
        <f>DE_Calc_Compare!J414</f>
        <v>0.0942103512532556</v>
      </c>
      <c r="O13" s="16">
        <f>DE_Calc_Compare!J415</f>
        <v>0.0986197398393098</v>
      </c>
      <c r="P13" s="16">
        <f>DE_Calc_Compare!J416</f>
        <v>0.095393357947075</v>
      </c>
      <c r="Q13" s="16">
        <f>DE_Calc_Compare!J417</f>
        <v>0.0409801749567275</v>
      </c>
      <c r="R13" s="16">
        <f>DE_Calc_Compare!J418</f>
        <v>0.0938787508921092</v>
      </c>
      <c r="S13" s="16">
        <f>DE_Calc_Compare!J419</f>
        <v>0.0917502350604265</v>
      </c>
      <c r="T13" s="16">
        <f>DE_Calc_Compare!J420</f>
        <v>0.0891736106326002</v>
      </c>
      <c r="U13" s="22">
        <f>DE_Calc_Compare!I409</f>
        <v>539.175465595027</v>
      </c>
      <c r="V13" s="22">
        <f>DE_Calc_Compare!I410</f>
        <v>540.542196813265</v>
      </c>
      <c r="W13" s="22">
        <f>DE_Calc_Compare!I411</f>
        <v>528.24161584912</v>
      </c>
      <c r="X13" s="22">
        <f>DE_Calc_Compare!I412</f>
        <v>561.726530695959</v>
      </c>
      <c r="Y13" s="22">
        <f>DE_Calc_Compare!I413</f>
        <v>245.876245499456</v>
      </c>
      <c r="Z13" s="22">
        <f>DE_Calc_Compare!I414</f>
        <v>574.683142644859</v>
      </c>
      <c r="AA13" s="22">
        <f>DE_Calc_Compare!I415</f>
        <v>601.58041301979</v>
      </c>
      <c r="AB13" s="22">
        <f>DE_Calc_Compare!I416</f>
        <v>581.899483477157</v>
      </c>
      <c r="AC13" s="22">
        <f>DE_Calc_Compare!I417</f>
        <v>249.979067236038</v>
      </c>
      <c r="AD13" s="22">
        <f>DE_Calc_Compare!I418</f>
        <v>572.660380441866</v>
      </c>
      <c r="AE13" s="22">
        <f>DE_Calc_Compare!I419</f>
        <v>559.676433868602</v>
      </c>
      <c r="AF13" s="22">
        <f>DE_Calc_Compare!I420</f>
        <v>543.959024858861</v>
      </c>
      <c r="AG13" s="17" t="s">
        <v>225</v>
      </c>
    </row>
    <row r="14" ht="16.8" spans="1:33">
      <c r="A14" s="13" t="s">
        <v>223</v>
      </c>
      <c r="B14" s="13" t="s">
        <v>228</v>
      </c>
      <c r="C14" s="14" t="s">
        <v>52</v>
      </c>
      <c r="D14" s="14" t="s">
        <v>222</v>
      </c>
      <c r="E14" s="14" t="s">
        <v>84</v>
      </c>
      <c r="F14" s="14" t="s">
        <v>157</v>
      </c>
      <c r="G14" s="14" t="s">
        <v>121</v>
      </c>
      <c r="H14" s="15">
        <f>DE_Calc_Compare!H452</f>
        <v>6700</v>
      </c>
      <c r="I14" s="16">
        <f>DE_Calc_Compare!J454</f>
        <v>0.0896370158325793</v>
      </c>
      <c r="J14" s="16">
        <f>DE_Calc_Compare!J455</f>
        <v>0.0898642326027506</v>
      </c>
      <c r="K14" s="16">
        <f>DE_Calc_Compare!J456</f>
        <v>0.0878192816712088</v>
      </c>
      <c r="L14" s="16">
        <f>DE_Calc_Compare!J457</f>
        <v>0.0933860925404058</v>
      </c>
      <c r="M14" s="16">
        <f>DE_Calc_Compare!J458</f>
        <v>0.033230490256388</v>
      </c>
      <c r="N14" s="16">
        <f>DE_Calc_Compare!J459</f>
        <v>0.0959666258587799</v>
      </c>
      <c r="O14" s="16">
        <f>DE_Calc_Compare!J460</f>
        <v>0.100458214511988</v>
      </c>
      <c r="P14" s="16">
        <f>DE_Calc_Compare!J461</f>
        <v>0.0971716862291527</v>
      </c>
      <c r="Q14" s="16">
        <f>DE_Calc_Compare!J462</f>
        <v>0.0337849918816436</v>
      </c>
      <c r="R14" s="16">
        <f>DE_Calc_Compare!J463</f>
        <v>0.0952038267017762</v>
      </c>
      <c r="S14" s="16">
        <f>DE_Calc_Compare!J464</f>
        <v>0.0930452673851488</v>
      </c>
      <c r="T14" s="16">
        <f>DE_Calc_Compare!J465</f>
        <v>0.0904322745281789</v>
      </c>
      <c r="U14" s="22">
        <f>DE_Calc_Compare!I454</f>
        <v>600.568006078281</v>
      </c>
      <c r="V14" s="22">
        <f>DE_Calc_Compare!I455</f>
        <v>602.090358438429</v>
      </c>
      <c r="W14" s="22">
        <f>DE_Calc_Compare!I456</f>
        <v>588.389187197099</v>
      </c>
      <c r="X14" s="22">
        <f>DE_Calc_Compare!I457</f>
        <v>625.686820020719</v>
      </c>
      <c r="Y14" s="22">
        <f>DE_Calc_Compare!I458</f>
        <v>222.644284717799</v>
      </c>
      <c r="Z14" s="22">
        <f>DE_Calc_Compare!I459</f>
        <v>642.976393253825</v>
      </c>
      <c r="AA14" s="22">
        <f>DE_Calc_Compare!I460</f>
        <v>673.070037230317</v>
      </c>
      <c r="AB14" s="22">
        <f>DE_Calc_Compare!I461</f>
        <v>651.050297735323</v>
      </c>
      <c r="AC14" s="22">
        <f>DE_Calc_Compare!I462</f>
        <v>226.359445607012</v>
      </c>
      <c r="AD14" s="22">
        <f>DE_Calc_Compare!I463</f>
        <v>637.865638901901</v>
      </c>
      <c r="AE14" s="22">
        <f>DE_Calc_Compare!I464</f>
        <v>623.403291480497</v>
      </c>
      <c r="AF14" s="22">
        <f>DE_Calc_Compare!I465</f>
        <v>605.896239338798</v>
      </c>
      <c r="AG14" s="17" t="s">
        <v>225</v>
      </c>
    </row>
    <row r="15" ht="16.8" spans="1:33">
      <c r="A15" s="13" t="s">
        <v>229</v>
      </c>
      <c r="B15" s="13" t="s">
        <v>157</v>
      </c>
      <c r="C15" s="14" t="s">
        <v>52</v>
      </c>
      <c r="D15" s="14" t="s">
        <v>150</v>
      </c>
      <c r="E15" s="14" t="s">
        <v>75</v>
      </c>
      <c r="F15" s="14" t="s">
        <v>157</v>
      </c>
      <c r="G15" s="14" t="s">
        <v>121</v>
      </c>
      <c r="H15" s="15">
        <f>DE_Calc_Compare!H497</f>
        <v>3500</v>
      </c>
      <c r="I15" s="16">
        <f>DE_Calc_Compare!J499</f>
        <v>0.0789</v>
      </c>
      <c r="J15" s="16">
        <f>DE_Calc_Compare!J500</f>
        <v>0.0791</v>
      </c>
      <c r="K15" s="16">
        <f>DE_Calc_Compare!J501</f>
        <v>0.0773</v>
      </c>
      <c r="L15" s="16">
        <f>DE_Calc_Compare!J502</f>
        <v>0.0822</v>
      </c>
      <c r="M15" s="16">
        <f>DE_Calc_Compare!J503</f>
        <v>0.0839</v>
      </c>
      <c r="N15" s="16">
        <f>DE_Calc_Compare!J504</f>
        <v>0.0876</v>
      </c>
      <c r="O15" s="16">
        <f>DE_Calc_Compare!J505</f>
        <v>0.0917</v>
      </c>
      <c r="P15" s="16">
        <f>DE_Calc_Compare!J506</f>
        <v>0.0887</v>
      </c>
      <c r="Q15" s="16">
        <f>DE_Calc_Compare!J507</f>
        <v>0.0853</v>
      </c>
      <c r="R15" s="16">
        <f>DE_Calc_Compare!J508</f>
        <v>0.0838</v>
      </c>
      <c r="S15" s="16">
        <f>DE_Calc_Compare!J509</f>
        <v>0.0819</v>
      </c>
      <c r="T15" s="16">
        <f>DE_Calc_Compare!J510</f>
        <v>0.0796</v>
      </c>
      <c r="U15" s="22">
        <f>DE_Calc_Compare!I499</f>
        <v>276.15</v>
      </c>
      <c r="V15" s="22">
        <f>DE_Calc_Compare!I500</f>
        <v>276.85</v>
      </c>
      <c r="W15" s="22">
        <f>DE_Calc_Compare!I501</f>
        <v>270.55</v>
      </c>
      <c r="X15" s="22">
        <f>DE_Calc_Compare!I502</f>
        <v>287.7</v>
      </c>
      <c r="Y15" s="22">
        <f>DE_Calc_Compare!I503</f>
        <v>293.65</v>
      </c>
      <c r="Z15" s="22">
        <f>DE_Calc_Compare!I504</f>
        <v>306.6</v>
      </c>
      <c r="AA15" s="22">
        <f>DE_Calc_Compare!I505</f>
        <v>320.95</v>
      </c>
      <c r="AB15" s="22">
        <f>DE_Calc_Compare!I506</f>
        <v>310.45</v>
      </c>
      <c r="AC15" s="22">
        <f>DE_Calc_Compare!I507</f>
        <v>298.55</v>
      </c>
      <c r="AD15" s="22">
        <f>DE_Calc_Compare!I508</f>
        <v>293.3</v>
      </c>
      <c r="AE15" s="22">
        <f>DE_Calc_Compare!I509</f>
        <v>286.65</v>
      </c>
      <c r="AF15" s="22">
        <f>DE_Calc_Compare!I510</f>
        <v>278.6</v>
      </c>
      <c r="AG15" s="17" t="s">
        <v>230</v>
      </c>
    </row>
    <row r="16" ht="16.8" spans="1:33">
      <c r="A16" s="13" t="s">
        <v>229</v>
      </c>
      <c r="B16" s="13" t="s">
        <v>231</v>
      </c>
      <c r="C16" s="14" t="s">
        <v>52</v>
      </c>
      <c r="D16" s="14" t="s">
        <v>150</v>
      </c>
      <c r="E16" s="14" t="s">
        <v>75</v>
      </c>
      <c r="F16" s="14" t="s">
        <v>231</v>
      </c>
      <c r="G16" s="14" t="s">
        <v>121</v>
      </c>
      <c r="H16" s="15">
        <f>DE_Calc_Compare!H542</f>
        <v>4400</v>
      </c>
      <c r="I16" s="16">
        <f>DE_Calc_Compare!J544</f>
        <v>0.0798068181818182</v>
      </c>
      <c r="J16" s="16">
        <f>DE_Calc_Compare!J545</f>
        <v>0.0799659090909091</v>
      </c>
      <c r="K16" s="16">
        <f>DE_Calc_Compare!J546</f>
        <v>0.0785340909090909</v>
      </c>
      <c r="L16" s="16">
        <f>DE_Calc_Compare!J547</f>
        <v>0.0824318181818182</v>
      </c>
      <c r="M16" s="16">
        <f>DE_Calc_Compare!J548</f>
        <v>0.0837840909090909</v>
      </c>
      <c r="N16" s="16">
        <f>DE_Calc_Compare!J549</f>
        <v>0.0867272727272727</v>
      </c>
      <c r="O16" s="16">
        <f>DE_Calc_Compare!J550</f>
        <v>0.0899886363636364</v>
      </c>
      <c r="P16" s="16">
        <f>DE_Calc_Compare!J551</f>
        <v>0.0876022727272727</v>
      </c>
      <c r="Q16" s="16">
        <f>DE_Calc_Compare!J552</f>
        <v>0.0848977272727273</v>
      </c>
      <c r="R16" s="16">
        <f>DE_Calc_Compare!J553</f>
        <v>0.0837045454545454</v>
      </c>
      <c r="S16" s="16">
        <f>DE_Calc_Compare!J554</f>
        <v>0.0821931818181818</v>
      </c>
      <c r="T16" s="16">
        <f>DE_Calc_Compare!J555</f>
        <v>0.0803636363636364</v>
      </c>
      <c r="U16" s="22">
        <f>DE_Calc_Compare!I544</f>
        <v>351.15</v>
      </c>
      <c r="V16" s="22">
        <f>DE_Calc_Compare!I545</f>
        <v>351.85</v>
      </c>
      <c r="W16" s="22">
        <f>DE_Calc_Compare!I546</f>
        <v>345.55</v>
      </c>
      <c r="X16" s="22">
        <f>DE_Calc_Compare!I547</f>
        <v>362.7</v>
      </c>
      <c r="Y16" s="22">
        <f>DE_Calc_Compare!I548</f>
        <v>368.65</v>
      </c>
      <c r="Z16" s="22">
        <f>DE_Calc_Compare!I549</f>
        <v>381.6</v>
      </c>
      <c r="AA16" s="22">
        <f>DE_Calc_Compare!I550</f>
        <v>395.95</v>
      </c>
      <c r="AB16" s="22">
        <f>DE_Calc_Compare!I551</f>
        <v>385.45</v>
      </c>
      <c r="AC16" s="22">
        <f>DE_Calc_Compare!I552</f>
        <v>373.55</v>
      </c>
      <c r="AD16" s="22">
        <f>DE_Calc_Compare!I553</f>
        <v>368.3</v>
      </c>
      <c r="AE16" s="22">
        <f>DE_Calc_Compare!I554</f>
        <v>361.65</v>
      </c>
      <c r="AF16" s="22">
        <f>DE_Calc_Compare!I555</f>
        <v>353.6</v>
      </c>
      <c r="AG16" s="17" t="s">
        <v>230</v>
      </c>
    </row>
    <row r="17" ht="16.8" spans="1:33">
      <c r="A17" s="13" t="s">
        <v>229</v>
      </c>
      <c r="B17" s="13" t="s">
        <v>232</v>
      </c>
      <c r="C17" s="14" t="s">
        <v>52</v>
      </c>
      <c r="D17" s="14" t="s">
        <v>150</v>
      </c>
      <c r="E17" s="14" t="s">
        <v>75</v>
      </c>
      <c r="F17" s="14" t="s">
        <v>232</v>
      </c>
      <c r="G17" s="14" t="s">
        <v>121</v>
      </c>
      <c r="H17" s="15">
        <f>DE_Calc_Compare!H587</f>
        <v>5300</v>
      </c>
      <c r="I17" s="16">
        <f>DE_Calc_Compare!J589</f>
        <v>0.0804056603773585</v>
      </c>
      <c r="J17" s="16">
        <f>DE_Calc_Compare!J590</f>
        <v>0.0805377358490566</v>
      </c>
      <c r="K17" s="16">
        <f>DE_Calc_Compare!J591</f>
        <v>0.0793490566037736</v>
      </c>
      <c r="L17" s="16">
        <f>DE_Calc_Compare!J592</f>
        <v>0.0825849056603773</v>
      </c>
      <c r="M17" s="16">
        <f>DE_Calc_Compare!J593</f>
        <v>0.0837075471698113</v>
      </c>
      <c r="N17" s="16">
        <f>DE_Calc_Compare!J594</f>
        <v>0.0861509433962264</v>
      </c>
      <c r="O17" s="16">
        <f>DE_Calc_Compare!J595</f>
        <v>0.0888584905660377</v>
      </c>
      <c r="P17" s="16">
        <f>DE_Calc_Compare!J596</f>
        <v>0.086877358490566</v>
      </c>
      <c r="Q17" s="16">
        <f>DE_Calc_Compare!J597</f>
        <v>0.0846320754716981</v>
      </c>
      <c r="R17" s="16">
        <f>DE_Calc_Compare!J598</f>
        <v>0.0836415094339623</v>
      </c>
      <c r="S17" s="16">
        <f>DE_Calc_Compare!J599</f>
        <v>0.0823867924528302</v>
      </c>
      <c r="T17" s="16">
        <f>DE_Calc_Compare!J600</f>
        <v>0.0808679245283019</v>
      </c>
      <c r="U17" s="22">
        <f>DE_Calc_Compare!I589</f>
        <v>426.15</v>
      </c>
      <c r="V17" s="22">
        <f>DE_Calc_Compare!I590</f>
        <v>426.85</v>
      </c>
      <c r="W17" s="22">
        <f>DE_Calc_Compare!I591</f>
        <v>420.55</v>
      </c>
      <c r="X17" s="22">
        <f>DE_Calc_Compare!I592</f>
        <v>437.7</v>
      </c>
      <c r="Y17" s="22">
        <f>DE_Calc_Compare!I593</f>
        <v>443.65</v>
      </c>
      <c r="Z17" s="22">
        <f>DE_Calc_Compare!I594</f>
        <v>456.6</v>
      </c>
      <c r="AA17" s="22">
        <f>DE_Calc_Compare!I595</f>
        <v>470.95</v>
      </c>
      <c r="AB17" s="22">
        <f>DE_Calc_Compare!I596</f>
        <v>460.45</v>
      </c>
      <c r="AC17" s="22">
        <f>DE_Calc_Compare!I597</f>
        <v>448.55</v>
      </c>
      <c r="AD17" s="22">
        <f>DE_Calc_Compare!I598</f>
        <v>443.3</v>
      </c>
      <c r="AE17" s="22">
        <f>DE_Calc_Compare!I599</f>
        <v>436.65</v>
      </c>
      <c r="AF17" s="22">
        <f>DE_Calc_Compare!I600</f>
        <v>428.6</v>
      </c>
      <c r="AG17" s="17" t="s">
        <v>230</v>
      </c>
    </row>
    <row r="18" ht="16.8" spans="1:33">
      <c r="A18" s="13" t="s">
        <v>229</v>
      </c>
      <c r="B18" s="13" t="s">
        <v>233</v>
      </c>
      <c r="C18" s="14" t="s">
        <v>52</v>
      </c>
      <c r="D18" s="14" t="s">
        <v>150</v>
      </c>
      <c r="E18" s="14" t="s">
        <v>75</v>
      </c>
      <c r="F18" s="14" t="s">
        <v>233</v>
      </c>
      <c r="G18" s="14" t="s">
        <v>121</v>
      </c>
      <c r="H18" s="15">
        <f>DE_Calc_Compare!H632</f>
        <v>6200</v>
      </c>
      <c r="I18" s="16">
        <f>DE_Calc_Compare!J634</f>
        <v>0.0808306451612903</v>
      </c>
      <c r="J18" s="16">
        <f>DE_Calc_Compare!J635</f>
        <v>0.0809435483870968</v>
      </c>
      <c r="K18" s="16">
        <f>DE_Calc_Compare!J636</f>
        <v>0.0799274193548387</v>
      </c>
      <c r="L18" s="16">
        <f>DE_Calc_Compare!J637</f>
        <v>0.0826935483870968</v>
      </c>
      <c r="M18" s="16">
        <f>DE_Calc_Compare!J638</f>
        <v>0.0836532258064516</v>
      </c>
      <c r="N18" s="16">
        <f>DE_Calc_Compare!J639</f>
        <v>0.0857419354838709</v>
      </c>
      <c r="O18" s="16">
        <f>DE_Calc_Compare!J640</f>
        <v>0.0880564516129032</v>
      </c>
      <c r="P18" s="16">
        <f>DE_Calc_Compare!J641</f>
        <v>0.0863629032258064</v>
      </c>
      <c r="Q18" s="16">
        <f>DE_Calc_Compare!J642</f>
        <v>0.0844435483870968</v>
      </c>
      <c r="R18" s="16">
        <f>DE_Calc_Compare!J643</f>
        <v>0.0835967741935484</v>
      </c>
      <c r="S18" s="16">
        <f>DE_Calc_Compare!J644</f>
        <v>0.0825241935483871</v>
      </c>
      <c r="T18" s="16">
        <f>DE_Calc_Compare!J645</f>
        <v>0.0812258064516129</v>
      </c>
      <c r="U18" s="22">
        <f>DE_Calc_Compare!I634</f>
        <v>501.15</v>
      </c>
      <c r="V18" s="22">
        <f>DE_Calc_Compare!I635</f>
        <v>501.85</v>
      </c>
      <c r="W18" s="22">
        <f>DE_Calc_Compare!I636</f>
        <v>495.55</v>
      </c>
      <c r="X18" s="22">
        <f>DE_Calc_Compare!I637</f>
        <v>512.7</v>
      </c>
      <c r="Y18" s="22">
        <f>DE_Calc_Compare!I638</f>
        <v>518.65</v>
      </c>
      <c r="Z18" s="22">
        <f>DE_Calc_Compare!I639</f>
        <v>531.6</v>
      </c>
      <c r="AA18" s="22">
        <f>DE_Calc_Compare!I640</f>
        <v>545.95</v>
      </c>
      <c r="AB18" s="22">
        <f>DE_Calc_Compare!I641</f>
        <v>535.45</v>
      </c>
      <c r="AC18" s="22">
        <f>DE_Calc_Compare!I642</f>
        <v>523.55</v>
      </c>
      <c r="AD18" s="22">
        <f>DE_Calc_Compare!I643</f>
        <v>518.3</v>
      </c>
      <c r="AE18" s="22">
        <f>DE_Calc_Compare!I644</f>
        <v>511.65</v>
      </c>
      <c r="AF18" s="22">
        <f>DE_Calc_Compare!I645</f>
        <v>503.6</v>
      </c>
      <c r="AG18" s="17" t="s">
        <v>230</v>
      </c>
    </row>
    <row r="19" ht="16.8" spans="1:33">
      <c r="A19" s="13" t="s">
        <v>229</v>
      </c>
      <c r="B19" s="13" t="s">
        <v>234</v>
      </c>
      <c r="C19" s="14" t="s">
        <v>52</v>
      </c>
      <c r="D19" s="14" t="s">
        <v>150</v>
      </c>
      <c r="E19" s="14" t="s">
        <v>75</v>
      </c>
      <c r="F19" s="14" t="s">
        <v>234</v>
      </c>
      <c r="G19" s="14" t="s">
        <v>121</v>
      </c>
      <c r="H19" s="15">
        <f>DE_Calc_Compare!H677</f>
        <v>7100</v>
      </c>
      <c r="I19" s="16">
        <f>DE_Calc_Compare!J679</f>
        <v>0.0811478873239436</v>
      </c>
      <c r="J19" s="16">
        <f>DE_Calc_Compare!J680</f>
        <v>0.0812464788732394</v>
      </c>
      <c r="K19" s="16">
        <f>DE_Calc_Compare!J681</f>
        <v>0.0803591549295775</v>
      </c>
      <c r="L19" s="16">
        <f>DE_Calc_Compare!J682</f>
        <v>0.0827746478873239</v>
      </c>
      <c r="M19" s="16">
        <f>DE_Calc_Compare!J683</f>
        <v>0.083612676056338</v>
      </c>
      <c r="N19" s="16">
        <f>DE_Calc_Compare!J684</f>
        <v>0.0854366197183098</v>
      </c>
      <c r="O19" s="16">
        <f>DE_Calc_Compare!J685</f>
        <v>0.0874577464788732</v>
      </c>
      <c r="P19" s="16">
        <f>DE_Calc_Compare!J686</f>
        <v>0.0859788732394366</v>
      </c>
      <c r="Q19" s="16">
        <f>DE_Calc_Compare!J687</f>
        <v>0.0843028169014085</v>
      </c>
      <c r="R19" s="16">
        <f>DE_Calc_Compare!J688</f>
        <v>0.0835633802816901</v>
      </c>
      <c r="S19" s="16">
        <f>DE_Calc_Compare!J689</f>
        <v>0.0826267605633803</v>
      </c>
      <c r="T19" s="16">
        <f>DE_Calc_Compare!J690</f>
        <v>0.0814929577464789</v>
      </c>
      <c r="U19" s="22">
        <f>DE_Calc_Compare!I679</f>
        <v>576.15</v>
      </c>
      <c r="V19" s="22">
        <f>DE_Calc_Compare!I680</f>
        <v>576.85</v>
      </c>
      <c r="W19" s="22">
        <f>DE_Calc_Compare!I681</f>
        <v>570.55</v>
      </c>
      <c r="X19" s="22">
        <f>DE_Calc_Compare!I682</f>
        <v>587.7</v>
      </c>
      <c r="Y19" s="22">
        <f>DE_Calc_Compare!I683</f>
        <v>593.65</v>
      </c>
      <c r="Z19" s="22">
        <f>DE_Calc_Compare!I684</f>
        <v>606.6</v>
      </c>
      <c r="AA19" s="22">
        <f>DE_Calc_Compare!I685</f>
        <v>620.95</v>
      </c>
      <c r="AB19" s="22">
        <f>DE_Calc_Compare!I686</f>
        <v>610.45</v>
      </c>
      <c r="AC19" s="22">
        <f>DE_Calc_Compare!I687</f>
        <v>598.55</v>
      </c>
      <c r="AD19" s="22">
        <f>DE_Calc_Compare!I688</f>
        <v>593.3</v>
      </c>
      <c r="AE19" s="22">
        <f>DE_Calc_Compare!I689</f>
        <v>586.65</v>
      </c>
      <c r="AF19" s="22">
        <f>DE_Calc_Compare!I690</f>
        <v>578.6</v>
      </c>
      <c r="AG19" s="17" t="s">
        <v>230</v>
      </c>
    </row>
    <row r="20" ht="16.8" spans="1:33">
      <c r="A20" s="13" t="s">
        <v>229</v>
      </c>
      <c r="B20" s="13" t="s">
        <v>235</v>
      </c>
      <c r="C20" s="14" t="s">
        <v>52</v>
      </c>
      <c r="D20" s="14" t="s">
        <v>150</v>
      </c>
      <c r="E20" s="14" t="s">
        <v>75</v>
      </c>
      <c r="F20" s="14" t="s">
        <v>235</v>
      </c>
      <c r="G20" s="14" t="s">
        <v>121</v>
      </c>
      <c r="H20" s="15">
        <f>DE_Calc_Compare!H722</f>
        <v>8000</v>
      </c>
      <c r="I20" s="16">
        <f>DE_Calc_Compare!J724</f>
        <v>0.08139375</v>
      </c>
      <c r="J20" s="16">
        <f>DE_Calc_Compare!J725</f>
        <v>0.08148125</v>
      </c>
      <c r="K20" s="16">
        <f>DE_Calc_Compare!J726</f>
        <v>0.08069375</v>
      </c>
      <c r="L20" s="16">
        <f>DE_Calc_Compare!J727</f>
        <v>0.0828375</v>
      </c>
      <c r="M20" s="16">
        <f>DE_Calc_Compare!J728</f>
        <v>0.08358125</v>
      </c>
      <c r="N20" s="16">
        <f>DE_Calc_Compare!J729</f>
        <v>0.0852</v>
      </c>
      <c r="O20" s="16">
        <f>DE_Calc_Compare!J730</f>
        <v>0.08699375</v>
      </c>
      <c r="P20" s="16">
        <f>DE_Calc_Compare!J731</f>
        <v>0.08568125</v>
      </c>
      <c r="Q20" s="16">
        <f>DE_Calc_Compare!J732</f>
        <v>0.08419375</v>
      </c>
      <c r="R20" s="16">
        <f>DE_Calc_Compare!J733</f>
        <v>0.0835375</v>
      </c>
      <c r="S20" s="16">
        <f>DE_Calc_Compare!J734</f>
        <v>0.08270625</v>
      </c>
      <c r="T20" s="16">
        <f>DE_Calc_Compare!J735</f>
        <v>0.0817</v>
      </c>
      <c r="U20" s="22">
        <f>DE_Calc_Compare!I724</f>
        <v>651.15</v>
      </c>
      <c r="V20" s="22">
        <f>DE_Calc_Compare!I725</f>
        <v>651.85</v>
      </c>
      <c r="W20" s="22">
        <f>DE_Calc_Compare!I726</f>
        <v>645.55</v>
      </c>
      <c r="X20" s="22">
        <f>DE_Calc_Compare!I727</f>
        <v>662.7</v>
      </c>
      <c r="Y20" s="22">
        <f>DE_Calc_Compare!I728</f>
        <v>668.65</v>
      </c>
      <c r="Z20" s="22">
        <f>DE_Calc_Compare!I729</f>
        <v>681.6</v>
      </c>
      <c r="AA20" s="22">
        <f>DE_Calc_Compare!I730</f>
        <v>695.95</v>
      </c>
      <c r="AB20" s="22">
        <f>DE_Calc_Compare!I731</f>
        <v>685.45</v>
      </c>
      <c r="AC20" s="22">
        <f>DE_Calc_Compare!I732</f>
        <v>673.55</v>
      </c>
      <c r="AD20" s="22">
        <f>DE_Calc_Compare!I733</f>
        <v>668.3</v>
      </c>
      <c r="AE20" s="22">
        <f>DE_Calc_Compare!I734</f>
        <v>661.65</v>
      </c>
      <c r="AF20" s="22">
        <f>DE_Calc_Compare!I735</f>
        <v>653.6</v>
      </c>
      <c r="AG20" s="17" t="s">
        <v>230</v>
      </c>
    </row>
    <row r="21" ht="16.8" spans="1:33">
      <c r="A21" s="13" t="s">
        <v>236</v>
      </c>
      <c r="B21" s="13" t="s">
        <v>121</v>
      </c>
      <c r="C21" s="14" t="s">
        <v>52</v>
      </c>
      <c r="D21" s="14" t="s">
        <v>150</v>
      </c>
      <c r="E21" s="14" t="s">
        <v>75</v>
      </c>
      <c r="F21" s="14" t="s">
        <v>232</v>
      </c>
      <c r="G21" s="14" t="s">
        <v>121</v>
      </c>
      <c r="H21" s="15">
        <f>DE_Calc_Compare!H767</f>
        <v>5300</v>
      </c>
      <c r="I21" s="16">
        <f>DE_Calc_Compare!J769</f>
        <v>0.0804056603773585</v>
      </c>
      <c r="J21" s="16">
        <f>DE_Calc_Compare!J770</f>
        <v>0.0805377358490566</v>
      </c>
      <c r="K21" s="16">
        <f>DE_Calc_Compare!J771</f>
        <v>0.0793490566037736</v>
      </c>
      <c r="L21" s="16">
        <f>DE_Calc_Compare!J772</f>
        <v>0.0825849056603773</v>
      </c>
      <c r="M21" s="16">
        <f>DE_Calc_Compare!J773</f>
        <v>0.0837075471698113</v>
      </c>
      <c r="N21" s="16">
        <f>DE_Calc_Compare!J774</f>
        <v>0.0861509433962264</v>
      </c>
      <c r="O21" s="16">
        <f>DE_Calc_Compare!J775</f>
        <v>0.0888584905660377</v>
      </c>
      <c r="P21" s="16">
        <f>DE_Calc_Compare!J776</f>
        <v>0.086877358490566</v>
      </c>
      <c r="Q21" s="16">
        <f>DE_Calc_Compare!J777</f>
        <v>0.0846320754716981</v>
      </c>
      <c r="R21" s="16">
        <f>DE_Calc_Compare!J778</f>
        <v>0.0836415094339623</v>
      </c>
      <c r="S21" s="16">
        <f>DE_Calc_Compare!J779</f>
        <v>0.0823867924528302</v>
      </c>
      <c r="T21" s="16">
        <f>DE_Calc_Compare!J780</f>
        <v>0.0808679245283019</v>
      </c>
      <c r="U21" s="22">
        <f>DE_Calc_Compare!I769</f>
        <v>426.15</v>
      </c>
      <c r="V21" s="22">
        <f>DE_Calc_Compare!I770</f>
        <v>426.85</v>
      </c>
      <c r="W21" s="22">
        <f>DE_Calc_Compare!I771</f>
        <v>420.55</v>
      </c>
      <c r="X21" s="22">
        <f>DE_Calc_Compare!I772</f>
        <v>437.7</v>
      </c>
      <c r="Y21" s="22">
        <f>DE_Calc_Compare!I773</f>
        <v>443.65</v>
      </c>
      <c r="Z21" s="22">
        <f>DE_Calc_Compare!I774</f>
        <v>456.6</v>
      </c>
      <c r="AA21" s="22">
        <f>DE_Calc_Compare!I775</f>
        <v>470.95</v>
      </c>
      <c r="AB21" s="22">
        <f>DE_Calc_Compare!I776</f>
        <v>460.45</v>
      </c>
      <c r="AC21" s="22">
        <f>DE_Calc_Compare!I777</f>
        <v>448.55</v>
      </c>
      <c r="AD21" s="22">
        <f>DE_Calc_Compare!I778</f>
        <v>443.3</v>
      </c>
      <c r="AE21" s="22">
        <f>DE_Calc_Compare!I779</f>
        <v>436.65</v>
      </c>
      <c r="AF21" s="22">
        <f>DE_Calc_Compare!I780</f>
        <v>428.6</v>
      </c>
      <c r="AG21" s="17" t="s">
        <v>237</v>
      </c>
    </row>
    <row r="22" ht="16.8" spans="1:33">
      <c r="A22" s="13" t="s">
        <v>236</v>
      </c>
      <c r="B22" s="13" t="s">
        <v>122</v>
      </c>
      <c r="C22" s="14" t="s">
        <v>52</v>
      </c>
      <c r="D22" s="14" t="s">
        <v>150</v>
      </c>
      <c r="E22" s="14" t="s">
        <v>75</v>
      </c>
      <c r="F22" s="14" t="s">
        <v>232</v>
      </c>
      <c r="G22" s="14" t="s">
        <v>122</v>
      </c>
      <c r="H22" s="15">
        <f>DE_Calc_Compare!H812</f>
        <v>5300</v>
      </c>
      <c r="I22" s="16">
        <f>DE_Calc_Compare!J814</f>
        <v>0.0804056603773585</v>
      </c>
      <c r="J22" s="16">
        <f>DE_Calc_Compare!J815</f>
        <v>0.0805377358490566</v>
      </c>
      <c r="K22" s="16">
        <f>DE_Calc_Compare!J816</f>
        <v>0.0793490566037736</v>
      </c>
      <c r="L22" s="16">
        <f>DE_Calc_Compare!J817</f>
        <v>0.0825849056603773</v>
      </c>
      <c r="M22" s="16">
        <f>DE_Calc_Compare!J818</f>
        <v>0.0837075471698113</v>
      </c>
      <c r="N22" s="16">
        <f>DE_Calc_Compare!J819</f>
        <v>0.0861509433962264</v>
      </c>
      <c r="O22" s="16">
        <f>DE_Calc_Compare!J820</f>
        <v>0.0888584905660377</v>
      </c>
      <c r="P22" s="16">
        <f>DE_Calc_Compare!J821</f>
        <v>0.086877358490566</v>
      </c>
      <c r="Q22" s="16">
        <f>DE_Calc_Compare!J822</f>
        <v>0.0846320754716981</v>
      </c>
      <c r="R22" s="16">
        <f>DE_Calc_Compare!J823</f>
        <v>0.0836415094339623</v>
      </c>
      <c r="S22" s="16">
        <f>DE_Calc_Compare!J824</f>
        <v>0.0823867924528302</v>
      </c>
      <c r="T22" s="16">
        <f>DE_Calc_Compare!J825</f>
        <v>0.0808679245283019</v>
      </c>
      <c r="U22" s="22">
        <f>DE_Calc_Compare!I814</f>
        <v>426.15</v>
      </c>
      <c r="V22" s="22">
        <f>DE_Calc_Compare!I815</f>
        <v>426.85</v>
      </c>
      <c r="W22" s="22">
        <f>DE_Calc_Compare!I816</f>
        <v>420.55</v>
      </c>
      <c r="X22" s="22">
        <f>DE_Calc_Compare!I817</f>
        <v>437.7</v>
      </c>
      <c r="Y22" s="22">
        <f>DE_Calc_Compare!I818</f>
        <v>443.65</v>
      </c>
      <c r="Z22" s="22">
        <f>DE_Calc_Compare!I819</f>
        <v>456.6</v>
      </c>
      <c r="AA22" s="22">
        <f>DE_Calc_Compare!I820</f>
        <v>470.95</v>
      </c>
      <c r="AB22" s="22">
        <f>DE_Calc_Compare!I821</f>
        <v>460.45</v>
      </c>
      <c r="AC22" s="22">
        <f>DE_Calc_Compare!I822</f>
        <v>448.55</v>
      </c>
      <c r="AD22" s="22">
        <f>DE_Calc_Compare!I823</f>
        <v>443.3</v>
      </c>
      <c r="AE22" s="22">
        <f>DE_Calc_Compare!I824</f>
        <v>436.65</v>
      </c>
      <c r="AF22" s="22">
        <f>DE_Calc_Compare!I825</f>
        <v>428.6</v>
      </c>
      <c r="AG22" s="17" t="s">
        <v>237</v>
      </c>
    </row>
    <row r="23" ht="16.8" spans="1:33">
      <c r="A23" s="13" t="s">
        <v>236</v>
      </c>
      <c r="B23" s="13" t="s">
        <v>123</v>
      </c>
      <c r="C23" s="14" t="s">
        <v>52</v>
      </c>
      <c r="D23" s="14" t="s">
        <v>150</v>
      </c>
      <c r="E23" s="14" t="s">
        <v>75</v>
      </c>
      <c r="F23" s="14" t="s">
        <v>232</v>
      </c>
      <c r="G23" s="14" t="s">
        <v>123</v>
      </c>
      <c r="H23" s="15">
        <f>DE_Calc_Compare!H857</f>
        <v>5300</v>
      </c>
      <c r="I23" s="16">
        <f>DE_Calc_Compare!J859</f>
        <v>0.0804056603773585</v>
      </c>
      <c r="J23" s="16">
        <f>DE_Calc_Compare!J860</f>
        <v>0.0805377358490566</v>
      </c>
      <c r="K23" s="16">
        <f>DE_Calc_Compare!J861</f>
        <v>0.0793490566037736</v>
      </c>
      <c r="L23" s="16">
        <f>DE_Calc_Compare!J862</f>
        <v>0.0825849056603773</v>
      </c>
      <c r="M23" s="16">
        <f>DE_Calc_Compare!J863</f>
        <v>0.0837075471698113</v>
      </c>
      <c r="N23" s="16">
        <f>DE_Calc_Compare!J864</f>
        <v>0.0861509433962264</v>
      </c>
      <c r="O23" s="16">
        <f>DE_Calc_Compare!J865</f>
        <v>0.0888584905660377</v>
      </c>
      <c r="P23" s="16">
        <f>DE_Calc_Compare!J866</f>
        <v>0.086877358490566</v>
      </c>
      <c r="Q23" s="16">
        <f>DE_Calc_Compare!J867</f>
        <v>0.0846320754716981</v>
      </c>
      <c r="R23" s="16">
        <f>DE_Calc_Compare!J868</f>
        <v>0.0836415094339623</v>
      </c>
      <c r="S23" s="16">
        <f>DE_Calc_Compare!J869</f>
        <v>0.0823867924528302</v>
      </c>
      <c r="T23" s="16">
        <f>DE_Calc_Compare!J870</f>
        <v>0.0808679245283019</v>
      </c>
      <c r="U23" s="22">
        <f>DE_Calc_Compare!I859</f>
        <v>426.15</v>
      </c>
      <c r="V23" s="22">
        <f>DE_Calc_Compare!I860</f>
        <v>426.85</v>
      </c>
      <c r="W23" s="22">
        <f>DE_Calc_Compare!I861</f>
        <v>420.55</v>
      </c>
      <c r="X23" s="22">
        <f>DE_Calc_Compare!I862</f>
        <v>437.7</v>
      </c>
      <c r="Y23" s="22">
        <f>DE_Calc_Compare!I863</f>
        <v>443.65</v>
      </c>
      <c r="Z23" s="22">
        <f>DE_Calc_Compare!I864</f>
        <v>456.6</v>
      </c>
      <c r="AA23" s="22">
        <f>DE_Calc_Compare!I865</f>
        <v>470.95</v>
      </c>
      <c r="AB23" s="22">
        <f>DE_Calc_Compare!I866</f>
        <v>460.45</v>
      </c>
      <c r="AC23" s="22">
        <f>DE_Calc_Compare!I867</f>
        <v>448.55</v>
      </c>
      <c r="AD23" s="22">
        <f>DE_Calc_Compare!I868</f>
        <v>443.3</v>
      </c>
      <c r="AE23" s="22">
        <f>DE_Calc_Compare!I869</f>
        <v>436.65</v>
      </c>
      <c r="AF23" s="22">
        <f>DE_Calc_Compare!I870</f>
        <v>428.6</v>
      </c>
      <c r="AG23" s="17" t="s">
        <v>237</v>
      </c>
    </row>
    <row r="24" ht="16.8" spans="1:33">
      <c r="A24" s="13" t="s">
        <v>236</v>
      </c>
      <c r="B24" s="13" t="s">
        <v>124</v>
      </c>
      <c r="C24" s="14" t="s">
        <v>52</v>
      </c>
      <c r="D24" s="14" t="s">
        <v>150</v>
      </c>
      <c r="E24" s="14" t="s">
        <v>75</v>
      </c>
      <c r="F24" s="14" t="s">
        <v>232</v>
      </c>
      <c r="G24" s="14" t="s">
        <v>124</v>
      </c>
      <c r="H24" s="15">
        <f>DE_Calc_Compare!H902</f>
        <v>5300</v>
      </c>
      <c r="I24" s="16">
        <f>DE_Calc_Compare!J904</f>
        <v>0.0804056603773585</v>
      </c>
      <c r="J24" s="16">
        <f>DE_Calc_Compare!J905</f>
        <v>0.0805377358490566</v>
      </c>
      <c r="K24" s="16">
        <f>DE_Calc_Compare!J906</f>
        <v>0.0793490566037736</v>
      </c>
      <c r="L24" s="16">
        <f>DE_Calc_Compare!J907</f>
        <v>0.0825849056603773</v>
      </c>
      <c r="M24" s="16">
        <f>DE_Calc_Compare!J908</f>
        <v>0.0837075471698113</v>
      </c>
      <c r="N24" s="16">
        <f>DE_Calc_Compare!J909</f>
        <v>0.0861509433962264</v>
      </c>
      <c r="O24" s="16">
        <f>DE_Calc_Compare!J910</f>
        <v>0.0888584905660377</v>
      </c>
      <c r="P24" s="16">
        <f>DE_Calc_Compare!J911</f>
        <v>0.086877358490566</v>
      </c>
      <c r="Q24" s="16">
        <f>DE_Calc_Compare!J912</f>
        <v>0.0846320754716981</v>
      </c>
      <c r="R24" s="16">
        <f>DE_Calc_Compare!J913</f>
        <v>0.0836415094339623</v>
      </c>
      <c r="S24" s="16">
        <f>DE_Calc_Compare!J914</f>
        <v>0.0823867924528302</v>
      </c>
      <c r="T24" s="16">
        <f>DE_Calc_Compare!J915</f>
        <v>0.0808679245283019</v>
      </c>
      <c r="U24" s="22">
        <f>DE_Calc_Compare!I904</f>
        <v>426.15</v>
      </c>
      <c r="V24" s="22">
        <f>DE_Calc_Compare!I905</f>
        <v>426.85</v>
      </c>
      <c r="W24" s="22">
        <f>DE_Calc_Compare!I906</f>
        <v>420.55</v>
      </c>
      <c r="X24" s="22">
        <f>DE_Calc_Compare!I907</f>
        <v>437.7</v>
      </c>
      <c r="Y24" s="22">
        <f>DE_Calc_Compare!I908</f>
        <v>443.65</v>
      </c>
      <c r="Z24" s="22">
        <f>DE_Calc_Compare!I909</f>
        <v>456.6</v>
      </c>
      <c r="AA24" s="22">
        <f>DE_Calc_Compare!I910</f>
        <v>470.95</v>
      </c>
      <c r="AB24" s="22">
        <f>DE_Calc_Compare!I911</f>
        <v>460.45</v>
      </c>
      <c r="AC24" s="22">
        <f>DE_Calc_Compare!I912</f>
        <v>448.55</v>
      </c>
      <c r="AD24" s="22">
        <f>DE_Calc_Compare!I913</f>
        <v>443.3</v>
      </c>
      <c r="AE24" s="22">
        <f>DE_Calc_Compare!I914</f>
        <v>436.65</v>
      </c>
      <c r="AF24" s="22">
        <f>DE_Calc_Compare!I915</f>
        <v>428.6</v>
      </c>
      <c r="AG24" s="17" t="s">
        <v>237</v>
      </c>
    </row>
    <row r="25" ht="16.8" spans="1:33">
      <c r="A25" s="18" t="s">
        <v>238</v>
      </c>
      <c r="I25" s="19">
        <f>SUM(I4:T4)</f>
        <v>1</v>
      </c>
      <c r="U25" s="23">
        <f>SUM(U4:AF4)</f>
        <v>3500</v>
      </c>
    </row>
  </sheetData>
  <mergeCells count="1">
    <mergeCell ref="A2:A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"/>
  <sheetViews>
    <sheetView workbookViewId="0">
      <selection activeCell="A1" sqref="A1:K1"/>
    </sheetView>
  </sheetViews>
  <sheetFormatPr defaultColWidth="9" defaultRowHeight="15.2"/>
  <cols>
    <col min="1" max="1" width="24" style="1" customWidth="1"/>
    <col min="2" max="2" width="28" style="1" customWidth="1"/>
    <col min="3" max="3" width="26" style="1" customWidth="1"/>
    <col min="4" max="4" width="30" style="1" customWidth="1"/>
    <col min="5" max="5" width="16" style="1" customWidth="1"/>
    <col min="6" max="6" width="18" style="1" customWidth="1"/>
    <col min="7" max="7" width="24" style="1" customWidth="1"/>
    <col min="8" max="8" width="14" style="1" customWidth="1"/>
    <col min="9" max="32" width="9" style="1" customWidth="1"/>
    <col min="33" max="33" width="30" style="1" customWidth="1"/>
  </cols>
  <sheetData>
    <row r="1" spans="1:33">
      <c r="A1" s="11" t="s">
        <v>239</v>
      </c>
    </row>
    <row r="2" spans="1:33">
      <c r="A2" s="11" t="s">
        <v>240</v>
      </c>
    </row>
    <row r="3" ht="17" spans="1:33">
      <c r="A3" s="12" t="s">
        <v>186</v>
      </c>
      <c r="B3" s="12" t="s">
        <v>187</v>
      </c>
      <c r="C3" s="12" t="s">
        <v>51</v>
      </c>
      <c r="D3" s="12" t="s">
        <v>188</v>
      </c>
      <c r="E3" s="12" t="s">
        <v>68</v>
      </c>
      <c r="F3" s="12" t="s">
        <v>189</v>
      </c>
      <c r="G3" s="12" t="s">
        <v>190</v>
      </c>
      <c r="H3" s="12" t="s">
        <v>191</v>
      </c>
      <c r="I3" s="12" t="s">
        <v>241</v>
      </c>
      <c r="J3" s="12" t="s">
        <v>242</v>
      </c>
      <c r="K3" s="12" t="s">
        <v>243</v>
      </c>
      <c r="L3" s="12" t="s">
        <v>244</v>
      </c>
      <c r="M3" s="12" t="s">
        <v>245</v>
      </c>
      <c r="N3" s="12" t="s">
        <v>246</v>
      </c>
      <c r="O3" s="12" t="s">
        <v>247</v>
      </c>
      <c r="P3" s="12" t="s">
        <v>248</v>
      </c>
      <c r="Q3" s="12" t="s">
        <v>249</v>
      </c>
      <c r="R3" s="12" t="s">
        <v>250</v>
      </c>
      <c r="S3" s="12" t="s">
        <v>251</v>
      </c>
      <c r="T3" s="12" t="s">
        <v>252</v>
      </c>
      <c r="U3" s="12" t="s">
        <v>253</v>
      </c>
      <c r="V3" s="12" t="s">
        <v>254</v>
      </c>
      <c r="W3" s="12" t="s">
        <v>255</v>
      </c>
      <c r="X3" s="12" t="s">
        <v>256</v>
      </c>
      <c r="Y3" s="12" t="s">
        <v>257</v>
      </c>
      <c r="Z3" s="12" t="s">
        <v>258</v>
      </c>
      <c r="AA3" s="12" t="s">
        <v>259</v>
      </c>
      <c r="AB3" s="12" t="s">
        <v>260</v>
      </c>
      <c r="AC3" s="12" t="s">
        <v>261</v>
      </c>
      <c r="AD3" s="12" t="s">
        <v>262</v>
      </c>
      <c r="AE3" s="12" t="s">
        <v>263</v>
      </c>
      <c r="AF3" s="12" t="s">
        <v>264</v>
      </c>
      <c r="AG3" s="12" t="s">
        <v>216</v>
      </c>
    </row>
    <row r="4" ht="16.8" spans="1:33">
      <c r="A4" s="13" t="str">
        <f>DE_Option_Monthly!A4</f>
        <v>Occupancy</v>
      </c>
      <c r="B4" s="13" t="str">
        <f>DE_Option_Monthly!B4</f>
        <v>Mostly away during the day</v>
      </c>
      <c r="C4" s="14" t="str">
        <f>DE_Option_Monthly!C4</f>
        <v>Mostly away during the day</v>
      </c>
      <c r="D4" s="14" t="str">
        <f>DE_Option_Monthly!D4</f>
        <v>No heating or cooling system</v>
      </c>
      <c r="E4" s="14" t="str">
        <f>DE_Option_Monthly!E4</f>
        <v>Medium</v>
      </c>
      <c r="F4" s="14" t="str">
        <f>DE_Option_Monthly!F4</f>
        <v>No electric vehicle</v>
      </c>
      <c r="G4" s="14" t="str">
        <f>DE_Option_Monthly!G4</f>
        <v>Mostly overnight</v>
      </c>
      <c r="H4" s="15">
        <f>DE_Calc_Compare!H2</f>
        <v>3500</v>
      </c>
      <c r="I4" s="16">
        <f>DE_Calc_Compare!J18</f>
        <v>0.0364495035117462</v>
      </c>
      <c r="J4" s="16">
        <f>DE_Calc_Compare!J19</f>
        <v>0.0312424315814967</v>
      </c>
      <c r="K4" s="16">
        <f>DE_Calc_Compare!J20</f>
        <v>0.0289416323565028</v>
      </c>
      <c r="L4" s="16">
        <f>DE_Calc_Compare!J21</f>
        <v>0.0280939694841366</v>
      </c>
      <c r="M4" s="16">
        <f>DE_Calc_Compare!J22</f>
        <v>0.0285783482683458</v>
      </c>
      <c r="N4" s="16">
        <f>DE_Calc_Compare!J23</f>
        <v>0.0305158634051829</v>
      </c>
      <c r="O4" s="16">
        <f>DE_Calc_Compare!J24</f>
        <v>0.0363284088156939</v>
      </c>
      <c r="P4" s="16">
        <f>DE_Calc_Compare!J25</f>
        <v>0.043351901186728</v>
      </c>
      <c r="Q4" s="16">
        <f>DE_Calc_Compare!J26</f>
        <v>0.0496488253814483</v>
      </c>
      <c r="R4" s="16">
        <f>DE_Calc_Compare!J27</f>
        <v>0.0324049406635989</v>
      </c>
      <c r="S4" s="16">
        <f>DE_Calc_Compare!J28</f>
        <v>0.0344393315572778</v>
      </c>
      <c r="T4" s="16">
        <f>DE_Calc_Compare!J29</f>
        <v>0.0376362315330588</v>
      </c>
      <c r="U4" s="16">
        <f>DE_Calc_Compare!J30</f>
        <v>0.0372729474449019</v>
      </c>
      <c r="V4" s="16">
        <f>DE_Calc_Compare!J31</f>
        <v>0.0349479292806975</v>
      </c>
      <c r="W4" s="16">
        <f>DE_Calc_Compare!J32</f>
        <v>0.033349479292807</v>
      </c>
      <c r="X4" s="16">
        <f>DE_Calc_Compare!J33</f>
        <v>0.03298619520465</v>
      </c>
      <c r="Y4" s="16">
        <f>DE_Calc_Compare!J34</f>
        <v>0.0345119883749092</v>
      </c>
      <c r="Z4" s="16">
        <f>DE_Calc_Compare!J35</f>
        <v>0.0388713974327924</v>
      </c>
      <c r="AA4" s="16">
        <f>DE_Calc_Compare!J36</f>
        <v>0.0710825865827077</v>
      </c>
      <c r="AB4" s="16">
        <f>DE_Calc_Compare!J37</f>
        <v>0.0715669653669169</v>
      </c>
      <c r="AC4" s="16">
        <f>DE_Calc_Compare!J38</f>
        <v>0.067328651005086</v>
      </c>
      <c r="AD4" s="16">
        <f>DE_Calc_Compare!J39</f>
        <v>0.061516105594575</v>
      </c>
      <c r="AE4" s="16">
        <f>DE_Calc_Compare!J40</f>
        <v>0.0546137079195931</v>
      </c>
      <c r="AF4" s="16">
        <f>DE_Calc_Compare!J41</f>
        <v>0.0443206587551465</v>
      </c>
      <c r="AG4" s="17" t="str">
        <f>DE_Option_Monthly!AG4</f>
        <v>No HVAC / no EV</v>
      </c>
    </row>
    <row r="5" ht="16.8" spans="1:33">
      <c r="A5" s="13" t="str">
        <f>DE_Option_Monthly!A5</f>
        <v>Occupancy</v>
      </c>
      <c r="B5" s="13" t="str">
        <f>DE_Option_Monthly!B5</f>
        <v>Working from home</v>
      </c>
      <c r="C5" s="14" t="str">
        <f>DE_Option_Monthly!C5</f>
        <v>Working from home</v>
      </c>
      <c r="D5" s="14" t="str">
        <f>DE_Option_Monthly!D5</f>
        <v>No heating or cooling system</v>
      </c>
      <c r="E5" s="14" t="str">
        <f>DE_Option_Monthly!E5</f>
        <v>Medium</v>
      </c>
      <c r="F5" s="14" t="str">
        <f>DE_Option_Monthly!F5</f>
        <v>No electric vehicle</v>
      </c>
      <c r="G5" s="14" t="str">
        <f>DE_Option_Monthly!G5</f>
        <v>Mostly overnight</v>
      </c>
      <c r="H5" s="15">
        <f>DE_Calc_Compare!H47</f>
        <v>3500</v>
      </c>
      <c r="I5" s="16">
        <f>DE_Calc_Compare!J63</f>
        <v>0.0256344745358542</v>
      </c>
      <c r="J5" s="16">
        <f>DE_Calc_Compare!J64</f>
        <v>0.0219724067450179</v>
      </c>
      <c r="K5" s="16">
        <f>DE_Calc_Compare!J65</f>
        <v>0.0203542837676716</v>
      </c>
      <c r="L5" s="16">
        <f>DE_Calc_Compare!J66</f>
        <v>0.0197581331970704</v>
      </c>
      <c r="M5" s="16">
        <f>DE_Calc_Compare!J67</f>
        <v>0.0200987906659854</v>
      </c>
      <c r="N5" s="16">
        <f>DE_Calc_Compare!J68</f>
        <v>0.0214614205416454</v>
      </c>
      <c r="O5" s="16">
        <f>DE_Calc_Compare!J69</f>
        <v>0.0255493101686255</v>
      </c>
      <c r="P5" s="16">
        <f>DE_Calc_Compare!J70</f>
        <v>0.030488843467893</v>
      </c>
      <c r="Q5" s="16">
        <f>DE_Calc_Compare!J71</f>
        <v>0.0349173905637881</v>
      </c>
      <c r="R5" s="16">
        <f>DE_Calc_Compare!J72</f>
        <v>0.0531766308976324</v>
      </c>
      <c r="S5" s="16">
        <f>DE_Calc_Compare!J73</f>
        <v>0.0565150740929995</v>
      </c>
      <c r="T5" s="16">
        <f>DE_Calc_Compare!J74</f>
        <v>0.0617611991142906</v>
      </c>
      <c r="U5" s="16">
        <f>DE_Calc_Compare!J75</f>
        <v>0.0611650485436893</v>
      </c>
      <c r="V5" s="16">
        <f>DE_Calc_Compare!J76</f>
        <v>0.0573496848918413</v>
      </c>
      <c r="W5" s="16">
        <f>DE_Calc_Compare!J77</f>
        <v>0.0547266223811957</v>
      </c>
      <c r="X5" s="16">
        <f>DE_Calc_Compare!J78</f>
        <v>0.0541304718105945</v>
      </c>
      <c r="Y5" s="16">
        <f>DE_Calc_Compare!J79</f>
        <v>0.0566343042071198</v>
      </c>
      <c r="Z5" s="16">
        <f>DE_Calc_Compare!J80</f>
        <v>0.0637881110543349</v>
      </c>
      <c r="AA5" s="16">
        <f>DE_Calc_Compare!J81</f>
        <v>0.0499914835632771</v>
      </c>
      <c r="AB5" s="16">
        <f>DE_Calc_Compare!J82</f>
        <v>0.0503321410321921</v>
      </c>
      <c r="AC5" s="16">
        <f>DE_Calc_Compare!J83</f>
        <v>0.0473513881791858</v>
      </c>
      <c r="AD5" s="16">
        <f>DE_Calc_Compare!J84</f>
        <v>0.0432634985522058</v>
      </c>
      <c r="AE5" s="16">
        <f>DE_Calc_Compare!J85</f>
        <v>0.0384091296201669</v>
      </c>
      <c r="AF5" s="16">
        <f>DE_Calc_Compare!J86</f>
        <v>0.0311701584057231</v>
      </c>
      <c r="AG5" s="17" t="str">
        <f>DE_Option_Monthly!AG5</f>
        <v>No HVAC / no EV</v>
      </c>
    </row>
    <row r="6" ht="16.8" spans="1:33">
      <c r="A6" s="13" t="str">
        <f>DE_Option_Monthly!A6</f>
        <v>Occupancy</v>
      </c>
      <c r="B6" s="13" t="str">
        <f>DE_Option_Monthly!B6</f>
        <v>Someone always at home</v>
      </c>
      <c r="C6" s="14" t="str">
        <f>DE_Option_Monthly!C6</f>
        <v>Someone always at home</v>
      </c>
      <c r="D6" s="14" t="str">
        <f>DE_Option_Monthly!D6</f>
        <v>No heating or cooling system</v>
      </c>
      <c r="E6" s="14" t="str">
        <f>DE_Option_Monthly!E6</f>
        <v>Medium</v>
      </c>
      <c r="F6" s="14" t="str">
        <f>DE_Option_Monthly!F6</f>
        <v>No electric vehicle</v>
      </c>
      <c r="G6" s="14" t="str">
        <f>DE_Option_Monthly!G6</f>
        <v>Mostly overnight</v>
      </c>
      <c r="H6" s="15">
        <f>DE_Calc_Compare!H92</f>
        <v>3500</v>
      </c>
      <c r="I6" s="16">
        <f>DE_Calc_Compare!J108</f>
        <v>0.0276883451384417</v>
      </c>
      <c r="J6" s="16">
        <f>DE_Calc_Compare!J109</f>
        <v>0.0237328672615215</v>
      </c>
      <c r="K6" s="16">
        <f>DE_Calc_Compare!J110</f>
        <v>0.0219850979670683</v>
      </c>
      <c r="L6" s="16">
        <f>DE_Calc_Compare!J111</f>
        <v>0.0213411829638488</v>
      </c>
      <c r="M6" s="16">
        <f>DE_Calc_Compare!J112</f>
        <v>0.02170913439426</v>
      </c>
      <c r="N6" s="16">
        <f>DE_Calc_Compare!J113</f>
        <v>0.0231809401159047</v>
      </c>
      <c r="O6" s="16">
        <f>DE_Calc_Compare!J114</f>
        <v>0.0275963572808389</v>
      </c>
      <c r="P6" s="16">
        <f>DE_Calc_Compare!J115</f>
        <v>0.0329316530218011</v>
      </c>
      <c r="Q6" s="16">
        <f>DE_Calc_Compare!J116</f>
        <v>0.0377150216171465</v>
      </c>
      <c r="R6" s="16">
        <f>DE_Calc_Compare!J117</f>
        <v>0.0492319013890166</v>
      </c>
      <c r="S6" s="16">
        <f>DE_Calc_Compare!J118</f>
        <v>0.0523226934044706</v>
      </c>
      <c r="T6" s="16">
        <f>DE_Calc_Compare!J119</f>
        <v>0.0571796522858982</v>
      </c>
      <c r="U6" s="16">
        <f>DE_Calc_Compare!J120</f>
        <v>0.0566277251402815</v>
      </c>
      <c r="V6" s="16">
        <f>DE_Calc_Compare!J121</f>
        <v>0.0530953914083341</v>
      </c>
      <c r="W6" s="16">
        <f>DE_Calc_Compare!J122</f>
        <v>0.0506669119676203</v>
      </c>
      <c r="X6" s="16">
        <f>DE_Calc_Compare!J123</f>
        <v>0.0501149848220035</v>
      </c>
      <c r="Y6" s="16">
        <f>DE_Calc_Compare!J124</f>
        <v>0.052433078833594</v>
      </c>
      <c r="Z6" s="16">
        <f>DE_Calc_Compare!J125</f>
        <v>0.0590562045809953</v>
      </c>
      <c r="AA6" s="16">
        <f>DE_Calc_Compare!J126</f>
        <v>0.0539968724128415</v>
      </c>
      <c r="AB6" s="16">
        <f>DE_Calc_Compare!J127</f>
        <v>0.0543648238432527</v>
      </c>
      <c r="AC6" s="16">
        <f>DE_Calc_Compare!J128</f>
        <v>0.0511452488271548</v>
      </c>
      <c r="AD6" s="16">
        <f>DE_Calc_Compare!J129</f>
        <v>0.0467298316622206</v>
      </c>
      <c r="AE6" s="16">
        <f>DE_Calc_Compare!J130</f>
        <v>0.0414865237788612</v>
      </c>
      <c r="AF6" s="16">
        <f>DE_Calc_Compare!J131</f>
        <v>0.0336675558826235</v>
      </c>
      <c r="AG6" s="17" t="str">
        <f>DE_Option_Monthly!AG6</f>
        <v>No HVAC / no EV</v>
      </c>
    </row>
    <row r="7" ht="31" spans="1:33">
      <c r="A7" s="13" t="str">
        <f>DE_Option_Monthly!A7</f>
        <v>Heating/Cooling System</v>
      </c>
      <c r="B7" s="13" t="str">
        <f>DE_Option_Monthly!B7</f>
        <v>No heating or cooling system</v>
      </c>
      <c r="C7" s="14" t="str">
        <f>DE_Option_Monthly!C7</f>
        <v>Mostly away during the day</v>
      </c>
      <c r="D7" s="14" t="str">
        <f>DE_Option_Monthly!D7</f>
        <v>No heating or cooling system</v>
      </c>
      <c r="E7" s="14" t="str">
        <f>DE_Option_Monthly!E7</f>
        <v>Medium</v>
      </c>
      <c r="F7" s="14" t="str">
        <f>DE_Option_Monthly!F7</f>
        <v>No electric vehicle</v>
      </c>
      <c r="G7" s="14" t="str">
        <f>DE_Option_Monthly!G7</f>
        <v>Mostly overnight</v>
      </c>
      <c r="H7" s="15">
        <f>DE_Calc_Compare!H137</f>
        <v>3500</v>
      </c>
      <c r="I7" s="16">
        <f>DE_Calc_Compare!J153</f>
        <v>0.0364495035117462</v>
      </c>
      <c r="J7" s="16">
        <f>DE_Calc_Compare!J154</f>
        <v>0.0312424315814967</v>
      </c>
      <c r="K7" s="16">
        <f>DE_Calc_Compare!J155</f>
        <v>0.0289416323565028</v>
      </c>
      <c r="L7" s="16">
        <f>DE_Calc_Compare!J156</f>
        <v>0.0280939694841366</v>
      </c>
      <c r="M7" s="16">
        <f>DE_Calc_Compare!J157</f>
        <v>0.0285783482683458</v>
      </c>
      <c r="N7" s="16">
        <f>DE_Calc_Compare!J158</f>
        <v>0.0305158634051829</v>
      </c>
      <c r="O7" s="16">
        <f>DE_Calc_Compare!J159</f>
        <v>0.0363284088156939</v>
      </c>
      <c r="P7" s="16">
        <f>DE_Calc_Compare!J160</f>
        <v>0.043351901186728</v>
      </c>
      <c r="Q7" s="16">
        <f>DE_Calc_Compare!J161</f>
        <v>0.0496488253814483</v>
      </c>
      <c r="R7" s="16">
        <f>DE_Calc_Compare!J162</f>
        <v>0.0324049406635989</v>
      </c>
      <c r="S7" s="16">
        <f>DE_Calc_Compare!J163</f>
        <v>0.0344393315572778</v>
      </c>
      <c r="T7" s="16">
        <f>DE_Calc_Compare!J164</f>
        <v>0.0376362315330588</v>
      </c>
      <c r="U7" s="16">
        <f>DE_Calc_Compare!J165</f>
        <v>0.0372729474449019</v>
      </c>
      <c r="V7" s="16">
        <f>DE_Calc_Compare!J166</f>
        <v>0.0349479292806975</v>
      </c>
      <c r="W7" s="16">
        <f>DE_Calc_Compare!J167</f>
        <v>0.033349479292807</v>
      </c>
      <c r="X7" s="16">
        <f>DE_Calc_Compare!J168</f>
        <v>0.03298619520465</v>
      </c>
      <c r="Y7" s="16">
        <f>DE_Calc_Compare!J169</f>
        <v>0.0345119883749092</v>
      </c>
      <c r="Z7" s="16">
        <f>DE_Calc_Compare!J170</f>
        <v>0.0388713974327924</v>
      </c>
      <c r="AA7" s="16">
        <f>DE_Calc_Compare!J171</f>
        <v>0.0710825865827077</v>
      </c>
      <c r="AB7" s="16">
        <f>DE_Calc_Compare!J172</f>
        <v>0.0715669653669169</v>
      </c>
      <c r="AC7" s="16">
        <f>DE_Calc_Compare!J173</f>
        <v>0.067328651005086</v>
      </c>
      <c r="AD7" s="16">
        <f>DE_Calc_Compare!J174</f>
        <v>0.061516105594575</v>
      </c>
      <c r="AE7" s="16">
        <f>DE_Calc_Compare!J175</f>
        <v>0.0546137079195931</v>
      </c>
      <c r="AF7" s="16">
        <f>DE_Calc_Compare!J176</f>
        <v>0.0443206587551465</v>
      </c>
      <c r="AG7" s="17" t="str">
        <f>DE_Option_Monthly!AG7</f>
        <v>Occupancy fixed at Mostly away; no EV</v>
      </c>
    </row>
    <row r="8" ht="31" spans="1:33">
      <c r="A8" s="13" t="str">
        <f>DE_Option_Monthly!A8</f>
        <v>Heating/Cooling System</v>
      </c>
      <c r="B8" s="13" t="str">
        <f>DE_Option_Monthly!B8</f>
        <v>Air conditioning</v>
      </c>
      <c r="C8" s="14" t="str">
        <f>DE_Option_Monthly!C8</f>
        <v>Mostly away during the day</v>
      </c>
      <c r="D8" s="14" t="str">
        <f>DE_Option_Monthly!D8</f>
        <v>Air conditioning</v>
      </c>
      <c r="E8" s="14" t="str">
        <f>DE_Option_Monthly!E8</f>
        <v>Medium</v>
      </c>
      <c r="F8" s="14" t="str">
        <f>DE_Option_Monthly!F8</f>
        <v>No electric vehicle</v>
      </c>
      <c r="G8" s="14" t="str">
        <f>DE_Option_Monthly!G8</f>
        <v>Mostly overnight</v>
      </c>
      <c r="H8" s="15">
        <f>DE_Calc_Compare!H182</f>
        <v>3500</v>
      </c>
      <c r="I8" s="16">
        <f>DE_Calc_Compare!J198</f>
        <v>0.0345010980748158</v>
      </c>
      <c r="J8" s="16">
        <f>DE_Calc_Compare!J199</f>
        <v>0.0295723697784136</v>
      </c>
      <c r="K8" s="16">
        <f>DE_Calc_Compare!J200</f>
        <v>0.0273945596009335</v>
      </c>
      <c r="L8" s="16">
        <f>DE_Calc_Compare!J201</f>
        <v>0.0265922084829145</v>
      </c>
      <c r="M8" s="16">
        <f>DE_Calc_Compare!J202</f>
        <v>0.0270506948360682</v>
      </c>
      <c r="N8" s="16">
        <f>DE_Calc_Compare!J203</f>
        <v>0.028884640248683</v>
      </c>
      <c r="O8" s="16">
        <f>DE_Calc_Compare!J204</f>
        <v>0.0343864764865274</v>
      </c>
      <c r="P8" s="16">
        <f>DE_Calc_Compare!J205</f>
        <v>0.041034528607256</v>
      </c>
      <c r="Q8" s="16">
        <f>DE_Calc_Compare!J206</f>
        <v>0.0469948511982541</v>
      </c>
      <c r="R8" s="16">
        <f>DE_Calc_Compare!J207</f>
        <v>0.0306727370259824</v>
      </c>
      <c r="S8" s="16">
        <f>DE_Calc_Compare!J208</f>
        <v>0.032598379709228</v>
      </c>
      <c r="T8" s="16">
        <f>DE_Calc_Compare!J209</f>
        <v>0.0356243896400424</v>
      </c>
      <c r="U8" s="16">
        <f>DE_Calc_Compare!J210</f>
        <v>0.0352805248751771</v>
      </c>
      <c r="V8" s="16">
        <f>DE_Calc_Compare!J211</f>
        <v>0.0330797903800393</v>
      </c>
      <c r="W8" s="16">
        <f>DE_Calc_Compare!J212</f>
        <v>0.0378801424975586</v>
      </c>
      <c r="X8" s="16">
        <f>DE_Calc_Compare!J213</f>
        <v>0.0374675047797202</v>
      </c>
      <c r="Y8" s="16">
        <f>DE_Calc_Compare!J214</f>
        <v>0.0392005831946412</v>
      </c>
      <c r="Z8" s="16">
        <f>DE_Calc_Compare!J215</f>
        <v>0.0441522358087012</v>
      </c>
      <c r="AA8" s="16">
        <f>DE_Calc_Compare!J216</f>
        <v>0.0807394467903663</v>
      </c>
      <c r="AB8" s="16">
        <f>DE_Calc_Compare!J217</f>
        <v>0.0812896304141507</v>
      </c>
      <c r="AC8" s="16">
        <f>DE_Calc_Compare!J218</f>
        <v>0.0637296030883641</v>
      </c>
      <c r="AD8" s="16">
        <f>DE_Calc_Compare!J219</f>
        <v>0.0582277668505197</v>
      </c>
      <c r="AE8" s="16">
        <f>DE_Calc_Compare!J220</f>
        <v>0.0516943363180795</v>
      </c>
      <c r="AF8" s="16">
        <f>DE_Calc_Compare!J221</f>
        <v>0.0419515013135634</v>
      </c>
      <c r="AG8" s="17" t="str">
        <f>DE_Option_Monthly!AG8</f>
        <v>Occupancy fixed at Mostly away; no EV</v>
      </c>
    </row>
    <row r="9" ht="31" spans="1:33">
      <c r="A9" s="13" t="str">
        <f>DE_Option_Monthly!A9</f>
        <v>Heating/Cooling System</v>
      </c>
      <c r="B9" s="13" t="str">
        <f>DE_Option_Monthly!B9</f>
        <v>Electric heating</v>
      </c>
      <c r="C9" s="14" t="str">
        <f>DE_Option_Monthly!C9</f>
        <v>Mostly away during the day</v>
      </c>
      <c r="D9" s="14" t="str">
        <f>DE_Option_Monthly!D9</f>
        <v>Electric heating</v>
      </c>
      <c r="E9" s="14" t="str">
        <f>DE_Option_Monthly!E9</f>
        <v>Medium</v>
      </c>
      <c r="F9" s="14" t="str">
        <f>DE_Option_Monthly!F9</f>
        <v>No electric vehicle</v>
      </c>
      <c r="G9" s="14" t="str">
        <f>DE_Option_Monthly!G9</f>
        <v>Mostly overnight</v>
      </c>
      <c r="H9" s="15">
        <f>DE_Calc_Compare!H227</f>
        <v>6500</v>
      </c>
      <c r="I9" s="16">
        <f>DE_Calc_Compare!J243</f>
        <v>0.0339641334237539</v>
      </c>
      <c r="J9" s="16">
        <f>DE_Calc_Compare!J244</f>
        <v>0.0291121143632176</v>
      </c>
      <c r="K9" s="16">
        <f>DE_Calc_Compare!J245</f>
        <v>0.026968198964376</v>
      </c>
      <c r="L9" s="16">
        <f>DE_Calc_Compare!J246</f>
        <v>0.0261783353963817</v>
      </c>
      <c r="M9" s="16">
        <f>DE_Calc_Compare!J247</f>
        <v>0.0266296860066642</v>
      </c>
      <c r="N9" s="16">
        <f>DE_Calc_Compare!J248</f>
        <v>0.028435088447794</v>
      </c>
      <c r="O9" s="16">
        <f>DE_Calc_Compare!J249</f>
        <v>0.0389289901368608</v>
      </c>
      <c r="P9" s="16">
        <f>DE_Calc_Compare!J250</f>
        <v>0.0464552615633205</v>
      </c>
      <c r="Q9" s="16">
        <f>DE_Calc_Compare!J251</f>
        <v>0.0532029531870431</v>
      </c>
      <c r="R9" s="16">
        <f>DE_Calc_Compare!J252</f>
        <v>0.0347246592020798</v>
      </c>
      <c r="S9" s="16">
        <f>DE_Calc_Compare!J253</f>
        <v>0.0320910283910818</v>
      </c>
      <c r="T9" s="16">
        <f>DE_Calc_Compare!J254</f>
        <v>0.0350699424189459</v>
      </c>
      <c r="U9" s="16">
        <f>DE_Calc_Compare!J255</f>
        <v>0.0347314294612341</v>
      </c>
      <c r="V9" s="16">
        <f>DE_Calc_Compare!J256</f>
        <v>0.0325649465318783</v>
      </c>
      <c r="W9" s="16">
        <f>DE_Calc_Compare!J257</f>
        <v>0.0310754895179463</v>
      </c>
      <c r="X9" s="16">
        <f>DE_Calc_Compare!J258</f>
        <v>0.0307369765602344</v>
      </c>
      <c r="Y9" s="16">
        <f>DE_Calc_Compare!J259</f>
        <v>0.0321587309826241</v>
      </c>
      <c r="Z9" s="16">
        <f>DE_Calc_Compare!J260</f>
        <v>0.0362208864751661</v>
      </c>
      <c r="AA9" s="16">
        <f>DE_Calc_Compare!J261</f>
        <v>0.076171057367791</v>
      </c>
      <c r="AB9" s="16">
        <f>DE_Calc_Compare!J262</f>
        <v>0.0766901105696158</v>
      </c>
      <c r="AC9" s="16">
        <f>DE_Calc_Compare!J263</f>
        <v>0.0721483950536487</v>
      </c>
      <c r="AD9" s="16">
        <f>DE_Calc_Compare!J264</f>
        <v>0.0659197566317509</v>
      </c>
      <c r="AE9" s="16">
        <f>DE_Calc_Compare!J265</f>
        <v>0.0585232485057474</v>
      </c>
      <c r="AF9" s="16">
        <f>DE_Calc_Compare!J266</f>
        <v>0.0412985808408436</v>
      </c>
      <c r="AG9" s="17" t="str">
        <f>DE_Option_Monthly!AG9</f>
        <v>Occupancy fixed at Mostly away; no EV</v>
      </c>
    </row>
    <row r="10" ht="31" spans="1:33">
      <c r="A10" s="13" t="str">
        <f>DE_Option_Monthly!A10</f>
        <v>Heating/Cooling System</v>
      </c>
      <c r="B10" s="13" t="str">
        <f>DE_Option_Monthly!B10</f>
        <v>Heat pump (heating &amp; cooling)</v>
      </c>
      <c r="C10" s="14" t="str">
        <f>DE_Option_Monthly!C10</f>
        <v>Mostly away during the day</v>
      </c>
      <c r="D10" s="14" t="str">
        <f>DE_Option_Monthly!D10</f>
        <v>Heat pump (heating &amp; cooling)</v>
      </c>
      <c r="E10" s="14" t="str">
        <f>DE_Option_Monthly!E10</f>
        <v>Medium</v>
      </c>
      <c r="F10" s="14" t="str">
        <f>DE_Option_Monthly!F10</f>
        <v>No electric vehicle</v>
      </c>
      <c r="G10" s="14" t="str">
        <f>DE_Option_Monthly!G10</f>
        <v>Mostly overnight</v>
      </c>
      <c r="H10" s="15">
        <f>DE_Calc_Compare!H272</f>
        <v>5500</v>
      </c>
      <c r="I10" s="16">
        <f>DE_Calc_Compare!J288</f>
        <v>0.0321444170700738</v>
      </c>
      <c r="J10" s="16">
        <f>DE_Calc_Compare!J289</f>
        <v>0.0275523574886347</v>
      </c>
      <c r="K10" s="16">
        <f>DE_Calc_Compare!J290</f>
        <v>0.0255233079061383</v>
      </c>
      <c r="L10" s="16">
        <f>DE_Calc_Compare!J291</f>
        <v>0.0247757633231133</v>
      </c>
      <c r="M10" s="16">
        <f>DE_Calc_Compare!J292</f>
        <v>0.0252029316562705</v>
      </c>
      <c r="N10" s="16">
        <f>DE_Calc_Compare!J293</f>
        <v>0.026911604988899</v>
      </c>
      <c r="O10" s="16">
        <f>DE_Calc_Compare!J294</f>
        <v>0.0368432687348021</v>
      </c>
      <c r="P10" s="16">
        <f>DE_Calc_Compare!J295</f>
        <v>0.0439663006901972</v>
      </c>
      <c r="Q10" s="16">
        <f>DE_Calc_Compare!J296</f>
        <v>0.0503524672708963</v>
      </c>
      <c r="R10" s="16">
        <f>DE_Calc_Compare!J297</f>
        <v>0.0328641957114435</v>
      </c>
      <c r="S10" s="16">
        <f>DE_Calc_Compare!J298</f>
        <v>0.0303716684874717</v>
      </c>
      <c r="T10" s="16">
        <f>DE_Calc_Compare!J299</f>
        <v>0.0331909794863087</v>
      </c>
      <c r="U10" s="16">
        <f>DE_Calc_Compare!J300</f>
        <v>0.0328706032364409</v>
      </c>
      <c r="V10" s="16">
        <f>DE_Calc_Compare!J301</f>
        <v>0.0308201952372867</v>
      </c>
      <c r="W10" s="16">
        <f>DE_Calc_Compare!J302</f>
        <v>0.0352926476854418</v>
      </c>
      <c r="X10" s="16">
        <f>DE_Calc_Compare!J303</f>
        <v>0.0349081961856004</v>
      </c>
      <c r="Y10" s="16">
        <f>DE_Calc_Compare!J304</f>
        <v>0.0365228924849343</v>
      </c>
      <c r="Z10" s="16">
        <f>DE_Calc_Compare!J305</f>
        <v>0.0411363104830313</v>
      </c>
      <c r="AA10" s="16">
        <f>DE_Calc_Compare!J306</f>
        <v>0.0865079949893155</v>
      </c>
      <c r="AB10" s="16">
        <f>DE_Calc_Compare!J307</f>
        <v>0.0870974872890723</v>
      </c>
      <c r="AC10" s="16">
        <f>DE_Calc_Compare!J308</f>
        <v>0.0682828580551667</v>
      </c>
      <c r="AD10" s="16">
        <f>DE_Calc_Compare!J309</f>
        <v>0.0623879350575983</v>
      </c>
      <c r="AE10" s="16">
        <f>DE_Calc_Compare!J310</f>
        <v>0.0553877139979859</v>
      </c>
      <c r="AF10" s="16">
        <f>DE_Calc_Compare!J311</f>
        <v>0.0390859024838771</v>
      </c>
      <c r="AG10" s="17" t="str">
        <f>DE_Option_Monthly!AG10</f>
        <v>Occupancy fixed at Mostly away; no EV</v>
      </c>
    </row>
    <row r="11" ht="16.8" spans="1:33">
      <c r="A11" s="13" t="str">
        <f>DE_Option_Monthly!A11</f>
        <v>Heating/Cooling Usage</v>
      </c>
      <c r="B11" s="13" t="str">
        <f>DE_Option_Monthly!B11</f>
        <v>Heat pump - Low</v>
      </c>
      <c r="C11" s="14" t="str">
        <f>DE_Option_Monthly!C11</f>
        <v>Mostly away during the day</v>
      </c>
      <c r="D11" s="14" t="str">
        <f>DE_Option_Monthly!D11</f>
        <v>Heat pump (heating &amp; cooling)</v>
      </c>
      <c r="E11" s="14" t="str">
        <f>DE_Option_Monthly!E11</f>
        <v>Low</v>
      </c>
      <c r="F11" s="14" t="str">
        <f>DE_Option_Monthly!F11</f>
        <v>No electric vehicle</v>
      </c>
      <c r="G11" s="14" t="str">
        <f>DE_Option_Monthly!G11</f>
        <v>Mostly overnight</v>
      </c>
      <c r="H11" s="15">
        <f>DE_Calc_Compare!H317</f>
        <v>4900</v>
      </c>
      <c r="I11" s="16">
        <f>DE_Calc_Compare!J333</f>
        <v>0.0341157978585706</v>
      </c>
      <c r="J11" s="16">
        <f>DE_Calc_Compare!J334</f>
        <v>0.0292421124502034</v>
      </c>
      <c r="K11" s="16">
        <f>DE_Calc_Compare!J335</f>
        <v>0.0270886235488318</v>
      </c>
      <c r="L11" s="16">
        <f>DE_Calc_Compare!J336</f>
        <v>0.0262952329009581</v>
      </c>
      <c r="M11" s="16">
        <f>DE_Calc_Compare!J337</f>
        <v>0.0267485989854574</v>
      </c>
      <c r="N11" s="16">
        <f>DE_Calc_Compare!J338</f>
        <v>0.0285620633234545</v>
      </c>
      <c r="O11" s="16">
        <f>DE_Calc_Compare!J339</f>
        <v>0.0367226528444415</v>
      </c>
      <c r="P11" s="16">
        <f>DE_Calc_Compare!J340</f>
        <v>0.0438223657277002</v>
      </c>
      <c r="Q11" s="16">
        <f>DE_Calc_Compare!J341</f>
        <v>0.05018762555407</v>
      </c>
      <c r="R11" s="16">
        <f>DE_Calc_Compare!J342</f>
        <v>0.0327566063372418</v>
      </c>
      <c r="S11" s="16">
        <f>DE_Calc_Compare!J343</f>
        <v>0.0322343286078986</v>
      </c>
      <c r="T11" s="16">
        <f>DE_Calc_Compare!J344</f>
        <v>0.0352265447655939</v>
      </c>
      <c r="U11" s="16">
        <f>DE_Calc_Compare!J345</f>
        <v>0.0348865202022194</v>
      </c>
      <c r="V11" s="16">
        <f>DE_Calc_Compare!J346</f>
        <v>0.0327103629966229</v>
      </c>
      <c r="W11" s="16">
        <f>DE_Calc_Compare!J347</f>
        <v>0.0343356804095528</v>
      </c>
      <c r="X11" s="16">
        <f>DE_Calc_Compare!J348</f>
        <v>0.0339616533898409</v>
      </c>
      <c r="Y11" s="16">
        <f>DE_Calc_Compare!J349</f>
        <v>0.0355325668726309</v>
      </c>
      <c r="Z11" s="16">
        <f>DE_Calc_Compare!J350</f>
        <v>0.0400208911091737</v>
      </c>
      <c r="AA11" s="16">
        <f>DE_Calc_Compare!J351</f>
        <v>0.0790393898055196</v>
      </c>
      <c r="AB11" s="16">
        <f>DE_Calc_Compare!J352</f>
        <v>0.0795779887139047</v>
      </c>
      <c r="AC11" s="16">
        <f>DE_Calc_Compare!J353</f>
        <v>0.0680593166050315</v>
      </c>
      <c r="AD11" s="16">
        <f>DE_Calc_Compare!J354</f>
        <v>0.0621836921499209</v>
      </c>
      <c r="AE11" s="16">
        <f>DE_Calc_Compare!J355</f>
        <v>0.055206388109477</v>
      </c>
      <c r="AF11" s="16">
        <f>DE_Calc_Compare!J356</f>
        <v>0.0414829967316839</v>
      </c>
      <c r="AG11" s="17" t="str">
        <f>DE_Option_Monthly!AG11</f>
        <v>System fixed at Heat pump; no EV</v>
      </c>
    </row>
    <row r="12" ht="16.8" spans="1:33">
      <c r="A12" s="13" t="str">
        <f>DE_Option_Monthly!A12</f>
        <v>Heating/Cooling Usage</v>
      </c>
      <c r="B12" s="13" t="str">
        <f>DE_Option_Monthly!B12</f>
        <v>Heat pump - Medium</v>
      </c>
      <c r="C12" s="14" t="str">
        <f>DE_Option_Monthly!C12</f>
        <v>Mostly away during the day</v>
      </c>
      <c r="D12" s="14" t="str">
        <f>DE_Option_Monthly!D12</f>
        <v>Heat pump (heating &amp; cooling)</v>
      </c>
      <c r="E12" s="14" t="str">
        <f>DE_Option_Monthly!E12</f>
        <v>Medium</v>
      </c>
      <c r="F12" s="14" t="str">
        <f>DE_Option_Monthly!F12</f>
        <v>No electric vehicle</v>
      </c>
      <c r="G12" s="14" t="str">
        <f>DE_Option_Monthly!G12</f>
        <v>Mostly overnight</v>
      </c>
      <c r="H12" s="15">
        <f>DE_Calc_Compare!H362</f>
        <v>5500</v>
      </c>
      <c r="I12" s="16">
        <f>DE_Calc_Compare!J378</f>
        <v>0.0321444170700738</v>
      </c>
      <c r="J12" s="16">
        <f>DE_Calc_Compare!J379</f>
        <v>0.0275523574886347</v>
      </c>
      <c r="K12" s="16">
        <f>DE_Calc_Compare!J380</f>
        <v>0.0255233079061383</v>
      </c>
      <c r="L12" s="16">
        <f>DE_Calc_Compare!J381</f>
        <v>0.0247757633231133</v>
      </c>
      <c r="M12" s="16">
        <f>DE_Calc_Compare!J382</f>
        <v>0.0252029316562705</v>
      </c>
      <c r="N12" s="16">
        <f>DE_Calc_Compare!J383</f>
        <v>0.026911604988899</v>
      </c>
      <c r="O12" s="16">
        <f>DE_Calc_Compare!J384</f>
        <v>0.0368432687348021</v>
      </c>
      <c r="P12" s="16">
        <f>DE_Calc_Compare!J385</f>
        <v>0.0439663006901972</v>
      </c>
      <c r="Q12" s="16">
        <f>DE_Calc_Compare!J386</f>
        <v>0.0503524672708963</v>
      </c>
      <c r="R12" s="16">
        <f>DE_Calc_Compare!J387</f>
        <v>0.0328641957114435</v>
      </c>
      <c r="S12" s="16">
        <f>DE_Calc_Compare!J388</f>
        <v>0.0303716684874717</v>
      </c>
      <c r="T12" s="16">
        <f>DE_Calc_Compare!J389</f>
        <v>0.0331909794863087</v>
      </c>
      <c r="U12" s="16">
        <f>DE_Calc_Compare!J390</f>
        <v>0.0328706032364409</v>
      </c>
      <c r="V12" s="16">
        <f>DE_Calc_Compare!J391</f>
        <v>0.0308201952372867</v>
      </c>
      <c r="W12" s="16">
        <f>DE_Calc_Compare!J392</f>
        <v>0.0352926476854418</v>
      </c>
      <c r="X12" s="16">
        <f>DE_Calc_Compare!J393</f>
        <v>0.0349081961856004</v>
      </c>
      <c r="Y12" s="16">
        <f>DE_Calc_Compare!J394</f>
        <v>0.0365228924849343</v>
      </c>
      <c r="Z12" s="16">
        <f>DE_Calc_Compare!J395</f>
        <v>0.0411363104830313</v>
      </c>
      <c r="AA12" s="16">
        <f>DE_Calc_Compare!J396</f>
        <v>0.0865079949893155</v>
      </c>
      <c r="AB12" s="16">
        <f>DE_Calc_Compare!J397</f>
        <v>0.0870974872890723</v>
      </c>
      <c r="AC12" s="16">
        <f>DE_Calc_Compare!J398</f>
        <v>0.0682828580551667</v>
      </c>
      <c r="AD12" s="16">
        <f>DE_Calc_Compare!J399</f>
        <v>0.0623879350575983</v>
      </c>
      <c r="AE12" s="16">
        <f>DE_Calc_Compare!J400</f>
        <v>0.0553877139979859</v>
      </c>
      <c r="AF12" s="16">
        <f>DE_Calc_Compare!J401</f>
        <v>0.0390859024838771</v>
      </c>
      <c r="AG12" s="17" t="str">
        <f>DE_Option_Monthly!AG12</f>
        <v>System fixed at Heat pump; no EV</v>
      </c>
    </row>
    <row r="13" ht="16.8" spans="1:33">
      <c r="A13" s="13" t="str">
        <f>DE_Option_Monthly!A13</f>
        <v>Heating/Cooling Usage</v>
      </c>
      <c r="B13" s="13" t="str">
        <f>DE_Option_Monthly!B13</f>
        <v>Heat pump - High</v>
      </c>
      <c r="C13" s="14" t="str">
        <f>DE_Option_Monthly!C13</f>
        <v>Mostly away during the day</v>
      </c>
      <c r="D13" s="14" t="str">
        <f>DE_Option_Monthly!D13</f>
        <v>Heat pump (heating &amp; cooling)</v>
      </c>
      <c r="E13" s="14" t="str">
        <f>DE_Option_Monthly!E13</f>
        <v>High</v>
      </c>
      <c r="F13" s="14" t="str">
        <f>DE_Option_Monthly!F13</f>
        <v>No electric vehicle</v>
      </c>
      <c r="G13" s="14" t="str">
        <f>DE_Option_Monthly!G13</f>
        <v>Mostly overnight</v>
      </c>
      <c r="H13" s="15">
        <f>DE_Calc_Compare!H407</f>
        <v>6100</v>
      </c>
      <c r="I13" s="16">
        <f>DE_Calc_Compare!J423</f>
        <v>0.0295551362850176</v>
      </c>
      <c r="J13" s="16">
        <f>DE_Calc_Compare!J424</f>
        <v>0.0253329739585865</v>
      </c>
      <c r="K13" s="16">
        <f>DE_Calc_Compare!J425</f>
        <v>0.0234673673492332</v>
      </c>
      <c r="L13" s="16">
        <f>DE_Calc_Compare!J426</f>
        <v>0.0227800385984188</v>
      </c>
      <c r="M13" s="16">
        <f>DE_Calc_Compare!J427</f>
        <v>0.0231727978845985</v>
      </c>
      <c r="N13" s="16">
        <f>DE_Calc_Compare!J428</f>
        <v>0.024743835029317</v>
      </c>
      <c r="O13" s="16">
        <f>DE_Calc_Compare!J429</f>
        <v>0.0368211830793408</v>
      </c>
      <c r="P13" s="16">
        <f>DE_Calc_Compare!J430</f>
        <v>0.0439399451413467</v>
      </c>
      <c r="Q13" s="16">
        <f>DE_Calc_Compare!J431</f>
        <v>0.0503222835417658</v>
      </c>
      <c r="R13" s="16">
        <f>DE_Calc_Compare!J432</f>
        <v>0.032844495306772</v>
      </c>
      <c r="S13" s="16">
        <f>DE_Calc_Compare!J433</f>
        <v>0.0279251852473721</v>
      </c>
      <c r="T13" s="16">
        <f>DE_Calc_Compare!J434</f>
        <v>0.0305173965361577</v>
      </c>
      <c r="U13" s="16">
        <f>DE_Calc_Compare!J435</f>
        <v>0.0302228270715229</v>
      </c>
      <c r="V13" s="16">
        <f>DE_Calc_Compare!J436</f>
        <v>0.0283375824978607</v>
      </c>
      <c r="W13" s="16">
        <f>DE_Calc_Compare!J437</f>
        <v>0.0365059937521817</v>
      </c>
      <c r="X13" s="16">
        <f>DE_Calc_Compare!J438</f>
        <v>0.0361083249749248</v>
      </c>
      <c r="Y13" s="16">
        <f>DE_Calc_Compare!J439</f>
        <v>0.0377785338394037</v>
      </c>
      <c r="Z13" s="16">
        <f>DE_Calc_Compare!J440</f>
        <v>0.0425505591664862</v>
      </c>
      <c r="AA13" s="16">
        <f>DE_Calc_Compare!J441</f>
        <v>0.0972631551040787</v>
      </c>
      <c r="AB13" s="16">
        <f>DE_Calc_Compare!J442</f>
        <v>0.0979259363995069</v>
      </c>
      <c r="AC13" s="16">
        <f>DE_Calc_Compare!J443</f>
        <v>0.0682419259737116</v>
      </c>
      <c r="AD13" s="16">
        <f>DE_Calc_Compare!J444</f>
        <v>0.0623505366810171</v>
      </c>
      <c r="AE13" s="16">
        <f>DE_Calc_Compare!J445</f>
        <v>0.0553545118959424</v>
      </c>
      <c r="AF13" s="16">
        <f>DE_Calc_Compare!J446</f>
        <v>0.0359374746854366</v>
      </c>
      <c r="AG13" s="17" t="str">
        <f>DE_Option_Monthly!AG13</f>
        <v>System fixed at Heat pump; no EV</v>
      </c>
    </row>
    <row r="14" ht="16.8" spans="1:33">
      <c r="A14" s="13" t="str">
        <f>DE_Option_Monthly!A14</f>
        <v>Heating/Cooling Usage</v>
      </c>
      <c r="B14" s="13" t="str">
        <f>DE_Option_Monthly!B14</f>
        <v>Heat pump - Very high</v>
      </c>
      <c r="C14" s="14" t="str">
        <f>DE_Option_Monthly!C14</f>
        <v>Mostly away during the day</v>
      </c>
      <c r="D14" s="14" t="str">
        <f>DE_Option_Monthly!D14</f>
        <v>Heat pump (heating &amp; cooling)</v>
      </c>
      <c r="E14" s="14" t="str">
        <f>DE_Option_Monthly!E14</f>
        <v>Very high</v>
      </c>
      <c r="F14" s="14" t="str">
        <f>DE_Option_Monthly!F14</f>
        <v>No electric vehicle</v>
      </c>
      <c r="G14" s="14" t="str">
        <f>DE_Option_Monthly!G14</f>
        <v>Mostly overnight</v>
      </c>
      <c r="H14" s="15">
        <f>DE_Calc_Compare!H452</f>
        <v>6700</v>
      </c>
      <c r="I14" s="16">
        <f>DE_Calc_Compare!J468</f>
        <v>0.0267058470722052</v>
      </c>
      <c r="J14" s="16">
        <f>DE_Calc_Compare!J469</f>
        <v>0.0228907260618901</v>
      </c>
      <c r="K14" s="16">
        <f>DE_Calc_Compare!J470</f>
        <v>0.0212049749177975</v>
      </c>
      <c r="L14" s="16">
        <f>DE_Calc_Compare!J471</f>
        <v>0.0205839087068159</v>
      </c>
      <c r="M14" s="16">
        <f>DE_Calc_Compare!J472</f>
        <v>0.0209388036845197</v>
      </c>
      <c r="N14" s="16">
        <f>DE_Calc_Compare!J473</f>
        <v>0.0223583835953346</v>
      </c>
      <c r="O14" s="16">
        <f>DE_Calc_Compare!J474</f>
        <v>0.0372639726588909</v>
      </c>
      <c r="P14" s="16">
        <f>DE_Calc_Compare!J475</f>
        <v>0.0444683407062765</v>
      </c>
      <c r="Q14" s="16">
        <f>DE_Calc_Compare!J476</f>
        <v>0.0509274293004843</v>
      </c>
      <c r="R14" s="16">
        <f>DE_Calc_Compare!J477</f>
        <v>0.0332394636117307</v>
      </c>
      <c r="S14" s="16">
        <f>DE_Calc_Compare!J478</f>
        <v>0.0252330329147347</v>
      </c>
      <c r="T14" s="16">
        <f>DE_Calc_Compare!J479</f>
        <v>0.0275753397675793</v>
      </c>
      <c r="U14" s="16">
        <f>DE_Calc_Compare!J480</f>
        <v>0.0273091685343015</v>
      </c>
      <c r="V14" s="16">
        <f>DE_Calc_Compare!J481</f>
        <v>0.0256056726413236</v>
      </c>
      <c r="W14" s="16">
        <f>DE_Calc_Compare!J482</f>
        <v>0.036651778822352</v>
      </c>
      <c r="X14" s="16">
        <f>DE_Calc_Compare!J483</f>
        <v>0.0362525219724353</v>
      </c>
      <c r="Y14" s="16">
        <f>DE_Calc_Compare!J484</f>
        <v>0.0379294007420854</v>
      </c>
      <c r="Z14" s="16">
        <f>DE_Calc_Compare!J485</f>
        <v>0.0427204829410857</v>
      </c>
      <c r="AA14" s="16">
        <f>DE_Calc_Compare!J486</f>
        <v>0.109369759753845</v>
      </c>
      <c r="AB14" s="16">
        <f>DE_Calc_Compare!J487</f>
        <v>0.110115039207023</v>
      </c>
      <c r="AC14" s="16">
        <f>DE_Calc_Compare!J488</f>
        <v>0.0690625626611445</v>
      </c>
      <c r="AD14" s="16">
        <f>DE_Calc_Compare!J489</f>
        <v>0.063100327035722</v>
      </c>
      <c r="AE14" s="16">
        <f>DE_Calc_Compare!J490</f>
        <v>0.0560201722305327</v>
      </c>
      <c r="AF14" s="16">
        <f>DE_Calc_Compare!J491</f>
        <v>0.0324728904598907</v>
      </c>
      <c r="AG14" s="17" t="str">
        <f>DE_Option_Monthly!AG14</f>
        <v>System fixed at Heat pump; no EV</v>
      </c>
    </row>
    <row r="15" ht="16.8" spans="1:33">
      <c r="A15" s="13" t="str">
        <f>DE_Option_Monthly!A15</f>
        <v>EV Annual Driving</v>
      </c>
      <c r="B15" s="13" t="str">
        <f>DE_Option_Monthly!B15</f>
        <v>No electric vehicle</v>
      </c>
      <c r="C15" s="14" t="str">
        <f>DE_Option_Monthly!C15</f>
        <v>Mostly away during the day</v>
      </c>
      <c r="D15" s="14" t="str">
        <f>DE_Option_Monthly!D15</f>
        <v>No heating or cooling system</v>
      </c>
      <c r="E15" s="14" t="str">
        <f>DE_Option_Monthly!E15</f>
        <v>Medium</v>
      </c>
      <c r="F15" s="14" t="str">
        <f>DE_Option_Monthly!F15</f>
        <v>No electric vehicle</v>
      </c>
      <c r="G15" s="14" t="str">
        <f>DE_Option_Monthly!G15</f>
        <v>Mostly overnight</v>
      </c>
      <c r="H15" s="15">
        <f>DE_Calc_Compare!H497</f>
        <v>3500</v>
      </c>
      <c r="I15" s="16">
        <f>DE_Calc_Compare!J513</f>
        <v>0.0364495035117462</v>
      </c>
      <c r="J15" s="16">
        <f>DE_Calc_Compare!J514</f>
        <v>0.0312424315814967</v>
      </c>
      <c r="K15" s="16">
        <f>DE_Calc_Compare!J515</f>
        <v>0.0289416323565028</v>
      </c>
      <c r="L15" s="16">
        <f>DE_Calc_Compare!J516</f>
        <v>0.0280939694841366</v>
      </c>
      <c r="M15" s="16">
        <f>DE_Calc_Compare!J517</f>
        <v>0.0285783482683458</v>
      </c>
      <c r="N15" s="16">
        <f>DE_Calc_Compare!J518</f>
        <v>0.0305158634051829</v>
      </c>
      <c r="O15" s="16">
        <f>DE_Calc_Compare!J519</f>
        <v>0.0363284088156939</v>
      </c>
      <c r="P15" s="16">
        <f>DE_Calc_Compare!J520</f>
        <v>0.043351901186728</v>
      </c>
      <c r="Q15" s="16">
        <f>DE_Calc_Compare!J521</f>
        <v>0.0496488253814483</v>
      </c>
      <c r="R15" s="16">
        <f>DE_Calc_Compare!J522</f>
        <v>0.0324049406635989</v>
      </c>
      <c r="S15" s="16">
        <f>DE_Calc_Compare!J523</f>
        <v>0.0344393315572778</v>
      </c>
      <c r="T15" s="16">
        <f>DE_Calc_Compare!J524</f>
        <v>0.0376362315330588</v>
      </c>
      <c r="U15" s="16">
        <f>DE_Calc_Compare!J525</f>
        <v>0.0372729474449019</v>
      </c>
      <c r="V15" s="16">
        <f>DE_Calc_Compare!J526</f>
        <v>0.0349479292806975</v>
      </c>
      <c r="W15" s="16">
        <f>DE_Calc_Compare!J527</f>
        <v>0.033349479292807</v>
      </c>
      <c r="X15" s="16">
        <f>DE_Calc_Compare!J528</f>
        <v>0.03298619520465</v>
      </c>
      <c r="Y15" s="16">
        <f>DE_Calc_Compare!J529</f>
        <v>0.0345119883749092</v>
      </c>
      <c r="Z15" s="16">
        <f>DE_Calc_Compare!J530</f>
        <v>0.0388713974327924</v>
      </c>
      <c r="AA15" s="16">
        <f>DE_Calc_Compare!J531</f>
        <v>0.0710825865827077</v>
      </c>
      <c r="AB15" s="16">
        <f>DE_Calc_Compare!J532</f>
        <v>0.0715669653669169</v>
      </c>
      <c r="AC15" s="16">
        <f>DE_Calc_Compare!J533</f>
        <v>0.067328651005086</v>
      </c>
      <c r="AD15" s="16">
        <f>DE_Calc_Compare!J534</f>
        <v>0.061516105594575</v>
      </c>
      <c r="AE15" s="16">
        <f>DE_Calc_Compare!J535</f>
        <v>0.0546137079195931</v>
      </c>
      <c r="AF15" s="16">
        <f>DE_Calc_Compare!J536</f>
        <v>0.0443206587551465</v>
      </c>
      <c r="AG15" s="17" t="str">
        <f>DE_Option_Monthly!AG15</f>
        <v>No HVAC; overnight charging</v>
      </c>
    </row>
    <row r="16" ht="16.8" spans="1:33">
      <c r="A16" s="13" t="str">
        <f>DE_Option_Monthly!A16</f>
        <v>EV Annual Driving</v>
      </c>
      <c r="B16" s="13" t="str">
        <f>DE_Option_Monthly!B16</f>
        <v>5,000 km</v>
      </c>
      <c r="C16" s="14" t="str">
        <f>DE_Option_Monthly!C16</f>
        <v>Mostly away during the day</v>
      </c>
      <c r="D16" s="14" t="str">
        <f>DE_Option_Monthly!D16</f>
        <v>No heating or cooling system</v>
      </c>
      <c r="E16" s="14" t="str">
        <f>DE_Option_Monthly!E16</f>
        <v>Medium</v>
      </c>
      <c r="F16" s="14" t="str">
        <f>DE_Option_Monthly!F16</f>
        <v>5,000 km</v>
      </c>
      <c r="G16" s="14" t="str">
        <f>DE_Option_Monthly!G16</f>
        <v>Mostly overnight</v>
      </c>
      <c r="H16" s="15">
        <f>DE_Calc_Compare!H542</f>
        <v>4400</v>
      </c>
      <c r="I16" s="16">
        <f>DE_Calc_Compare!J558</f>
        <v>0.0545621050661617</v>
      </c>
      <c r="J16" s="16">
        <f>DE_Calc_Compare!J559</f>
        <v>0.050420116030736</v>
      </c>
      <c r="K16" s="16">
        <f>DE_Calc_Compare!J560</f>
        <v>0.0485899348290363</v>
      </c>
      <c r="L16" s="16">
        <f>DE_Calc_Compare!J561</f>
        <v>0.0479156575441996</v>
      </c>
      <c r="M16" s="16">
        <f>DE_Calc_Compare!J562</f>
        <v>0.0483009588498206</v>
      </c>
      <c r="N16" s="16">
        <f>DE_Calc_Compare!J563</f>
        <v>0.0498421640723045</v>
      </c>
      <c r="O16" s="16">
        <f>DE_Calc_Compare!J564</f>
        <v>0.0288975979215747</v>
      </c>
      <c r="P16" s="16">
        <f>DE_Calc_Compare!J565</f>
        <v>0.0344844668530791</v>
      </c>
      <c r="Q16" s="16">
        <f>DE_Calc_Compare!J566</f>
        <v>0.039493383826152</v>
      </c>
      <c r="R16" s="16">
        <f>DE_Calc_Compare!J567</f>
        <v>0.0257766573460446</v>
      </c>
      <c r="S16" s="16">
        <f>DE_Calc_Compare!J568</f>
        <v>0.0273949228296528</v>
      </c>
      <c r="T16" s="16">
        <f>DE_Calc_Compare!J569</f>
        <v>0.0299379114467514</v>
      </c>
      <c r="U16" s="16">
        <f>DE_Calc_Compare!J570</f>
        <v>0.0296489354675356</v>
      </c>
      <c r="V16" s="16">
        <f>DE_Calc_Compare!J571</f>
        <v>0.0277994892005548</v>
      </c>
      <c r="W16" s="16">
        <f>DE_Calc_Compare!J572</f>
        <v>0.0265279948920056</v>
      </c>
      <c r="X16" s="16">
        <f>DE_Calc_Compare!J573</f>
        <v>0.0262390189127898</v>
      </c>
      <c r="Y16" s="16">
        <f>DE_Calc_Compare!J574</f>
        <v>0.0274527180254959</v>
      </c>
      <c r="Z16" s="16">
        <f>DE_Calc_Compare!J575</f>
        <v>0.0309204297760849</v>
      </c>
      <c r="AA16" s="16">
        <f>DE_Calc_Compare!J576</f>
        <v>0.0565429665998811</v>
      </c>
      <c r="AB16" s="16">
        <f>DE_Calc_Compare!J577</f>
        <v>0.0569282679055021</v>
      </c>
      <c r="AC16" s="16">
        <f>DE_Calc_Compare!J578</f>
        <v>0.0535568814813184</v>
      </c>
      <c r="AD16" s="16">
        <f>DE_Calc_Compare!J579</f>
        <v>0.0489332658138664</v>
      </c>
      <c r="AE16" s="16">
        <f>DE_Calc_Compare!J580</f>
        <v>0.0690109040269491</v>
      </c>
      <c r="AF16" s="16">
        <f>DE_Calc_Compare!J581</f>
        <v>0.0608232512825029</v>
      </c>
      <c r="AG16" s="17" t="str">
        <f>DE_Option_Monthly!AG16</f>
        <v>No HVAC; overnight charging</v>
      </c>
    </row>
    <row r="17" ht="16.8" spans="1:33">
      <c r="A17" s="13" t="str">
        <f>DE_Option_Monthly!A17</f>
        <v>EV Annual Driving</v>
      </c>
      <c r="B17" s="13" t="str">
        <f>DE_Option_Monthly!B17</f>
        <v>10,000 km</v>
      </c>
      <c r="C17" s="14" t="str">
        <f>DE_Option_Monthly!C17</f>
        <v>Mostly away during the day</v>
      </c>
      <c r="D17" s="14" t="str">
        <f>DE_Option_Monthly!D17</f>
        <v>No heating or cooling system</v>
      </c>
      <c r="E17" s="14" t="str">
        <f>DE_Option_Monthly!E17</f>
        <v>Medium</v>
      </c>
      <c r="F17" s="14" t="str">
        <f>DE_Option_Monthly!F17</f>
        <v>10,000 km</v>
      </c>
      <c r="G17" s="14" t="str">
        <f>DE_Option_Monthly!G17</f>
        <v>Mostly overnight</v>
      </c>
      <c r="H17" s="15">
        <f>DE_Calc_Compare!H587</f>
        <v>5300</v>
      </c>
      <c r="I17" s="16">
        <f>DE_Calc_Compare!J603</f>
        <v>0.0665232570360588</v>
      </c>
      <c r="J17" s="16">
        <f>DE_Calc_Compare!J604</f>
        <v>0.0630846246292903</v>
      </c>
      <c r="K17" s="16">
        <f>DE_Calc_Compare!J605</f>
        <v>0.0615652289146717</v>
      </c>
      <c r="L17" s="16">
        <f>DE_Calc_Compare!J606</f>
        <v>0.0610054515461279</v>
      </c>
      <c r="M17" s="16">
        <f>DE_Calc_Compare!J607</f>
        <v>0.0613253243281529</v>
      </c>
      <c r="N17" s="16">
        <f>DE_Calc_Compare!J608</f>
        <v>0.0626048154562528</v>
      </c>
      <c r="O17" s="16">
        <f>DE_Calc_Compare!J609</f>
        <v>0.0239904586518733</v>
      </c>
      <c r="P17" s="16">
        <f>DE_Calc_Compare!J610</f>
        <v>0.0286286139912355</v>
      </c>
      <c r="Q17" s="16">
        <f>DE_Calc_Compare!J611</f>
        <v>0.0327869601575602</v>
      </c>
      <c r="R17" s="16">
        <f>DE_Calc_Compare!J612</f>
        <v>0.021399489117471</v>
      </c>
      <c r="S17" s="16">
        <f>DE_Calc_Compare!J613</f>
        <v>0.0227429548019759</v>
      </c>
      <c r="T17" s="16">
        <f>DE_Calc_Compare!J614</f>
        <v>0.0248541151633407</v>
      </c>
      <c r="U17" s="16">
        <f>DE_Calc_Compare!J615</f>
        <v>0.024614210576822</v>
      </c>
      <c r="V17" s="16">
        <f>DE_Calc_Compare!J616</f>
        <v>0.0230788212231021</v>
      </c>
      <c r="W17" s="16">
        <f>DE_Calc_Compare!J617</f>
        <v>0.0220232410424197</v>
      </c>
      <c r="X17" s="16">
        <f>DE_Calc_Compare!J618</f>
        <v>0.021783336455901</v>
      </c>
      <c r="Y17" s="16">
        <f>DE_Calc_Compare!J619</f>
        <v>0.0227909357192796</v>
      </c>
      <c r="Z17" s="16">
        <f>DE_Calc_Compare!J620</f>
        <v>0.0256697907575044</v>
      </c>
      <c r="AA17" s="16">
        <f>DE_Calc_Compare!J621</f>
        <v>0.0469413307621654</v>
      </c>
      <c r="AB17" s="16">
        <f>DE_Calc_Compare!J622</f>
        <v>0.0472612035441904</v>
      </c>
      <c r="AC17" s="16">
        <f>DE_Calc_Compare!J623</f>
        <v>0.0444623167014719</v>
      </c>
      <c r="AD17" s="16">
        <f>DE_Calc_Compare!J624</f>
        <v>0.0406238433171721</v>
      </c>
      <c r="AE17" s="16">
        <f>DE_Calc_Compare!J625</f>
        <v>0.0785184863619955</v>
      </c>
      <c r="AF17" s="16">
        <f>DE_Calc_Compare!J626</f>
        <v>0.0717211897439647</v>
      </c>
      <c r="AG17" s="17" t="str">
        <f>DE_Option_Monthly!AG17</f>
        <v>No HVAC; overnight charging</v>
      </c>
    </row>
    <row r="18" ht="16.8" spans="1:33">
      <c r="A18" s="13" t="str">
        <f>DE_Option_Monthly!A18</f>
        <v>EV Annual Driving</v>
      </c>
      <c r="B18" s="13" t="str">
        <f>DE_Option_Monthly!B18</f>
        <v>15,000 km</v>
      </c>
      <c r="C18" s="14" t="str">
        <f>DE_Option_Monthly!C18</f>
        <v>Mostly away during the day</v>
      </c>
      <c r="D18" s="14" t="str">
        <f>DE_Option_Monthly!D18</f>
        <v>No heating or cooling system</v>
      </c>
      <c r="E18" s="14" t="str">
        <f>DE_Option_Monthly!E18</f>
        <v>Medium</v>
      </c>
      <c r="F18" s="14" t="str">
        <f>DE_Option_Monthly!F18</f>
        <v>15,000 km</v>
      </c>
      <c r="G18" s="14" t="str">
        <f>DE_Option_Monthly!G18</f>
        <v>Mostly overnight</v>
      </c>
      <c r="H18" s="15">
        <f>DE_Calc_Compare!H632</f>
        <v>6200</v>
      </c>
      <c r="I18" s="16">
        <f>DE_Calc_Compare!J648</f>
        <v>0.0750118164985664</v>
      </c>
      <c r="J18" s="16">
        <f>DE_Calc_Compare!J649</f>
        <v>0.0720723404089094</v>
      </c>
      <c r="K18" s="16">
        <f>DE_Calc_Compare!J650</f>
        <v>0.0707735021367354</v>
      </c>
      <c r="L18" s="16">
        <f>DE_Calc_Compare!J651</f>
        <v>0.0702949827733029</v>
      </c>
      <c r="M18" s="16">
        <f>DE_Calc_Compare!J652</f>
        <v>0.0705684224095501</v>
      </c>
      <c r="N18" s="16">
        <f>DE_Calc_Compare!J653</f>
        <v>0.0716621809545387</v>
      </c>
      <c r="O18" s="16">
        <f>DE_Calc_Compare!J654</f>
        <v>0.0205079727185369</v>
      </c>
      <c r="P18" s="16">
        <f>DE_Calc_Compare!J655</f>
        <v>0.0244728474441207</v>
      </c>
      <c r="Q18" s="16">
        <f>DE_Calc_Compare!J656</f>
        <v>0.0280275627153337</v>
      </c>
      <c r="R18" s="16">
        <f>DE_Calc_Compare!J657</f>
        <v>0.0182931116649349</v>
      </c>
      <c r="S18" s="16">
        <f>DE_Calc_Compare!J658</f>
        <v>0.0194415581371729</v>
      </c>
      <c r="T18" s="16">
        <f>DE_Calc_Compare!J659</f>
        <v>0.0212462597364042</v>
      </c>
      <c r="U18" s="16">
        <f>DE_Calc_Compare!J660</f>
        <v>0.0210411800092188</v>
      </c>
      <c r="V18" s="16">
        <f>DE_Calc_Compare!J661</f>
        <v>0.0197286697552325</v>
      </c>
      <c r="W18" s="16">
        <f>DE_Calc_Compare!J662</f>
        <v>0.0188263189556168</v>
      </c>
      <c r="X18" s="16">
        <f>DE_Calc_Compare!J663</f>
        <v>0.0186212392284315</v>
      </c>
      <c r="Y18" s="16">
        <f>DE_Calc_Compare!J664</f>
        <v>0.01948257408261</v>
      </c>
      <c r="Z18" s="16">
        <f>DE_Calc_Compare!J665</f>
        <v>0.0219435308088344</v>
      </c>
      <c r="AA18" s="16">
        <f>DE_Calc_Compare!J666</f>
        <v>0.0401272666192705</v>
      </c>
      <c r="AB18" s="16">
        <f>DE_Calc_Compare!J667</f>
        <v>0.0404007062555176</v>
      </c>
      <c r="AC18" s="16">
        <f>DE_Calc_Compare!J668</f>
        <v>0.038008109438355</v>
      </c>
      <c r="AD18" s="16">
        <f>DE_Calc_Compare!J669</f>
        <v>0.0347268338033891</v>
      </c>
      <c r="AE18" s="16">
        <f>DE_Calc_Compare!J670</f>
        <v>0.0852658028578348</v>
      </c>
      <c r="AF18" s="16">
        <f>DE_Calc_Compare!J671</f>
        <v>0.0794552105875827</v>
      </c>
      <c r="AG18" s="17" t="str">
        <f>DE_Option_Monthly!AG18</f>
        <v>No HVAC; overnight charging</v>
      </c>
    </row>
    <row r="19" ht="16.8" spans="1:33">
      <c r="A19" s="13" t="str">
        <f>DE_Option_Monthly!A19</f>
        <v>EV Annual Driving</v>
      </c>
      <c r="B19" s="13" t="str">
        <f>DE_Option_Monthly!B19</f>
        <v>20,000 km</v>
      </c>
      <c r="C19" s="14" t="str">
        <f>DE_Option_Monthly!C19</f>
        <v>Mostly away during the day</v>
      </c>
      <c r="D19" s="14" t="str">
        <f>DE_Option_Monthly!D19</f>
        <v>No heating or cooling system</v>
      </c>
      <c r="E19" s="14" t="str">
        <f>DE_Option_Monthly!E19</f>
        <v>Medium</v>
      </c>
      <c r="F19" s="14" t="str">
        <f>DE_Option_Monthly!F19</f>
        <v>20,000 km</v>
      </c>
      <c r="G19" s="14" t="str">
        <f>DE_Option_Monthly!G19</f>
        <v>Mostly overnight</v>
      </c>
      <c r="H19" s="15">
        <f>DE_Calc_Compare!H677</f>
        <v>7100</v>
      </c>
      <c r="I19" s="16">
        <f>DE_Calc_Compare!J693</f>
        <v>0.081348346801565</v>
      </c>
      <c r="J19" s="16">
        <f>DE_Calc_Compare!J694</f>
        <v>0.0787814803570758</v>
      </c>
      <c r="K19" s="16">
        <f>DE_Calc_Compare!J695</f>
        <v>0.0776472835560225</v>
      </c>
      <c r="L19" s="16">
        <f>DE_Calc_Compare!J696</f>
        <v>0.0772294215766871</v>
      </c>
      <c r="M19" s="16">
        <f>DE_Calc_Compare!J697</f>
        <v>0.077468199850593</v>
      </c>
      <c r="N19" s="16">
        <f>DE_Calc_Compare!J698</f>
        <v>0.0784233129462169</v>
      </c>
      <c r="O19" s="16">
        <f>DE_Calc_Compare!J699</f>
        <v>0.0179083705429477</v>
      </c>
      <c r="P19" s="16">
        <f>DE_Calc_Compare!J700</f>
        <v>0.0213706555145842</v>
      </c>
      <c r="Q19" s="16">
        <f>DE_Calc_Compare!J701</f>
        <v>0.0244747730753618</v>
      </c>
      <c r="R19" s="16">
        <f>DE_Calc_Compare!J702</f>
        <v>0.0159742665243093</v>
      </c>
      <c r="S19" s="16">
        <f>DE_Calc_Compare!J703</f>
        <v>0.0169771352747144</v>
      </c>
      <c r="T19" s="16">
        <f>DE_Calc_Compare!J704</f>
        <v>0.0185530718824938</v>
      </c>
      <c r="U19" s="16">
        <f>DE_Calc_Compare!J705</f>
        <v>0.0183739881770643</v>
      </c>
      <c r="V19" s="16">
        <f>DE_Calc_Compare!J706</f>
        <v>0.0172278524623157</v>
      </c>
      <c r="W19" s="16">
        <f>DE_Calc_Compare!J707</f>
        <v>0.016439884158426</v>
      </c>
      <c r="X19" s="16">
        <f>DE_Calc_Compare!J708</f>
        <v>0.0162608004529965</v>
      </c>
      <c r="Y19" s="16">
        <f>DE_Calc_Compare!J709</f>
        <v>0.0170129520158003</v>
      </c>
      <c r="Z19" s="16">
        <f>DE_Calc_Compare!J710</f>
        <v>0.019161956480954</v>
      </c>
      <c r="AA19" s="16">
        <f>DE_Calc_Compare!J711</f>
        <v>0.035040711695701</v>
      </c>
      <c r="AB19" s="16">
        <f>DE_Calc_Compare!J712</f>
        <v>0.0352794899696069</v>
      </c>
      <c r="AC19" s="16">
        <f>DE_Calc_Compare!J713</f>
        <v>0.0331901800729297</v>
      </c>
      <c r="AD19" s="16">
        <f>DE_Calc_Compare!J714</f>
        <v>0.0303248407860581</v>
      </c>
      <c r="AE19" s="16">
        <f>DE_Calc_Compare!J715</f>
        <v>0.0903025320730388</v>
      </c>
      <c r="AF19" s="16">
        <f>DE_Calc_Compare!J716</f>
        <v>0.085228493752537</v>
      </c>
      <c r="AG19" s="17" t="str">
        <f>DE_Option_Monthly!AG19</f>
        <v>No HVAC; overnight charging</v>
      </c>
    </row>
    <row r="20" ht="16.8" spans="1:33">
      <c r="A20" s="13" t="str">
        <f>DE_Option_Monthly!A20</f>
        <v>EV Annual Driving</v>
      </c>
      <c r="B20" s="13" t="str">
        <f>DE_Option_Monthly!B20</f>
        <v>25,000+ km</v>
      </c>
      <c r="C20" s="14" t="str">
        <f>DE_Option_Monthly!C20</f>
        <v>Mostly away during the day</v>
      </c>
      <c r="D20" s="14" t="str">
        <f>DE_Option_Monthly!D20</f>
        <v>No heating or cooling system</v>
      </c>
      <c r="E20" s="14" t="str">
        <f>DE_Option_Monthly!E20</f>
        <v>Medium</v>
      </c>
      <c r="F20" s="14" t="str">
        <f>DE_Option_Monthly!F20</f>
        <v>25,000+ km</v>
      </c>
      <c r="G20" s="14" t="str">
        <f>DE_Option_Monthly!G20</f>
        <v>Mostly overnight</v>
      </c>
      <c r="H20" s="15">
        <f>DE_Calc_Compare!H722</f>
        <v>8000</v>
      </c>
      <c r="I20" s="16">
        <f>DE_Calc_Compare!J738</f>
        <v>0.0862591577863889</v>
      </c>
      <c r="J20" s="16">
        <f>DE_Calc_Compare!J739</f>
        <v>0.0839810638169048</v>
      </c>
      <c r="K20" s="16">
        <f>DE_Calc_Compare!J740</f>
        <v>0.08297446415597</v>
      </c>
      <c r="L20" s="16">
        <f>DE_Calc_Compare!J741</f>
        <v>0.0826036116493098</v>
      </c>
      <c r="M20" s="16">
        <f>DE_Calc_Compare!J742</f>
        <v>0.0828155273674013</v>
      </c>
      <c r="N20" s="16">
        <f>DE_Calc_Compare!J743</f>
        <v>0.0836631902397675</v>
      </c>
      <c r="O20" s="16">
        <f>DE_Calc_Compare!J744</f>
        <v>0.0158936788568661</v>
      </c>
      <c r="P20" s="16">
        <f>DE_Calc_Compare!J745</f>
        <v>0.0189664567691935</v>
      </c>
      <c r="Q20" s="16">
        <f>DE_Calc_Compare!J746</f>
        <v>0.0217213611043836</v>
      </c>
      <c r="R20" s="16">
        <f>DE_Calc_Compare!J747</f>
        <v>0.0141771615403245</v>
      </c>
      <c r="S20" s="16">
        <f>DE_Calc_Compare!J748</f>
        <v>0.015067207556309</v>
      </c>
      <c r="T20" s="16">
        <f>DE_Calc_Compare!J749</f>
        <v>0.0164658512957132</v>
      </c>
      <c r="U20" s="16">
        <f>DE_Calc_Compare!J750</f>
        <v>0.0163069145071446</v>
      </c>
      <c r="V20" s="16">
        <f>DE_Calc_Compare!J751</f>
        <v>0.0152897190603052</v>
      </c>
      <c r="W20" s="16">
        <f>DE_Calc_Compare!J752</f>
        <v>0.0145903971906031</v>
      </c>
      <c r="X20" s="16">
        <f>DE_Calc_Compare!J753</f>
        <v>0.0144314604020344</v>
      </c>
      <c r="Y20" s="16">
        <f>DE_Calc_Compare!J754</f>
        <v>0.0150989949140228</v>
      </c>
      <c r="Z20" s="16">
        <f>DE_Calc_Compare!J755</f>
        <v>0.0170062363768467</v>
      </c>
      <c r="AA20" s="16">
        <f>DE_Calc_Compare!J756</f>
        <v>0.0310986316299346</v>
      </c>
      <c r="AB20" s="16">
        <f>DE_Calc_Compare!J757</f>
        <v>0.0313105473480262</v>
      </c>
      <c r="AC20" s="16">
        <f>DE_Calc_Compare!J758</f>
        <v>0.0294562848147251</v>
      </c>
      <c r="AD20" s="16">
        <f>DE_Calc_Compare!J759</f>
        <v>0.0269132961976265</v>
      </c>
      <c r="AE20" s="16">
        <f>DE_Calc_Compare!J760</f>
        <v>0.094205997214822</v>
      </c>
      <c r="AF20" s="16">
        <f>DE_Calc_Compare!J761</f>
        <v>0.0897027882053766</v>
      </c>
      <c r="AG20" s="17" t="str">
        <f>DE_Option_Monthly!AG20</f>
        <v>No HVAC; overnight charging</v>
      </c>
    </row>
    <row r="21" ht="16.8" spans="1:33">
      <c r="A21" s="13" t="str">
        <f>DE_Option_Monthly!A21</f>
        <v>EV Charging Pattern</v>
      </c>
      <c r="B21" s="13" t="str">
        <f>DE_Option_Monthly!B21</f>
        <v>Mostly overnight</v>
      </c>
      <c r="C21" s="14" t="str">
        <f>DE_Option_Monthly!C21</f>
        <v>Mostly away during the day</v>
      </c>
      <c r="D21" s="14" t="str">
        <f>DE_Option_Monthly!D21</f>
        <v>No heating or cooling system</v>
      </c>
      <c r="E21" s="14" t="str">
        <f>DE_Option_Monthly!E21</f>
        <v>Medium</v>
      </c>
      <c r="F21" s="14" t="str">
        <f>DE_Option_Monthly!F21</f>
        <v>10,000 km</v>
      </c>
      <c r="G21" s="14" t="str">
        <f>DE_Option_Monthly!G21</f>
        <v>Mostly overnight</v>
      </c>
      <c r="H21" s="15">
        <f>DE_Calc_Compare!H767</f>
        <v>5300</v>
      </c>
      <c r="I21" s="16">
        <f>DE_Calc_Compare!J783</f>
        <v>0.0665232570360588</v>
      </c>
      <c r="J21" s="16">
        <f>DE_Calc_Compare!J784</f>
        <v>0.0630846246292903</v>
      </c>
      <c r="K21" s="16">
        <f>DE_Calc_Compare!J785</f>
        <v>0.0615652289146717</v>
      </c>
      <c r="L21" s="16">
        <f>DE_Calc_Compare!J786</f>
        <v>0.0610054515461279</v>
      </c>
      <c r="M21" s="16">
        <f>DE_Calc_Compare!J787</f>
        <v>0.0613253243281529</v>
      </c>
      <c r="N21" s="16">
        <f>DE_Calc_Compare!J788</f>
        <v>0.0626048154562528</v>
      </c>
      <c r="O21" s="16">
        <f>DE_Calc_Compare!J789</f>
        <v>0.0239904586518733</v>
      </c>
      <c r="P21" s="16">
        <f>DE_Calc_Compare!J790</f>
        <v>0.0286286139912355</v>
      </c>
      <c r="Q21" s="16">
        <f>DE_Calc_Compare!J791</f>
        <v>0.0327869601575602</v>
      </c>
      <c r="R21" s="16">
        <f>DE_Calc_Compare!J792</f>
        <v>0.021399489117471</v>
      </c>
      <c r="S21" s="16">
        <f>DE_Calc_Compare!J793</f>
        <v>0.0227429548019759</v>
      </c>
      <c r="T21" s="16">
        <f>DE_Calc_Compare!J794</f>
        <v>0.0248541151633407</v>
      </c>
      <c r="U21" s="16">
        <f>DE_Calc_Compare!J795</f>
        <v>0.024614210576822</v>
      </c>
      <c r="V21" s="16">
        <f>DE_Calc_Compare!J796</f>
        <v>0.0230788212231021</v>
      </c>
      <c r="W21" s="16">
        <f>DE_Calc_Compare!J797</f>
        <v>0.0220232410424197</v>
      </c>
      <c r="X21" s="16">
        <f>DE_Calc_Compare!J798</f>
        <v>0.021783336455901</v>
      </c>
      <c r="Y21" s="16">
        <f>DE_Calc_Compare!J799</f>
        <v>0.0227909357192796</v>
      </c>
      <c r="Z21" s="16">
        <f>DE_Calc_Compare!J800</f>
        <v>0.0256697907575044</v>
      </c>
      <c r="AA21" s="16">
        <f>DE_Calc_Compare!J801</f>
        <v>0.0469413307621654</v>
      </c>
      <c r="AB21" s="16">
        <f>DE_Calc_Compare!J802</f>
        <v>0.0472612035441904</v>
      </c>
      <c r="AC21" s="16">
        <f>DE_Calc_Compare!J803</f>
        <v>0.0444623167014719</v>
      </c>
      <c r="AD21" s="16">
        <f>DE_Calc_Compare!J804</f>
        <v>0.0406238433171721</v>
      </c>
      <c r="AE21" s="16">
        <f>DE_Calc_Compare!J805</f>
        <v>0.0785184863619955</v>
      </c>
      <c r="AF21" s="16">
        <f>DE_Calc_Compare!J806</f>
        <v>0.0717211897439647</v>
      </c>
      <c r="AG21" s="17" t="str">
        <f>DE_Option_Monthly!AG21</f>
        <v>10,000 km EV fixed</v>
      </c>
    </row>
    <row r="22" ht="16.8" spans="1:33">
      <c r="A22" s="13" t="str">
        <f>DE_Option_Monthly!A22</f>
        <v>EV Charging Pattern</v>
      </c>
      <c r="B22" s="13" t="str">
        <f>DE_Option_Monthly!B22</f>
        <v>Mixed day and night</v>
      </c>
      <c r="C22" s="14" t="str">
        <f>DE_Option_Monthly!C22</f>
        <v>Mostly away during the day</v>
      </c>
      <c r="D22" s="14" t="str">
        <f>DE_Option_Monthly!D22</f>
        <v>No heating or cooling system</v>
      </c>
      <c r="E22" s="14" t="str">
        <f>DE_Option_Monthly!E22</f>
        <v>Medium</v>
      </c>
      <c r="F22" s="14" t="str">
        <f>DE_Option_Monthly!F22</f>
        <v>10,000 km</v>
      </c>
      <c r="G22" s="14" t="str">
        <f>DE_Option_Monthly!G22</f>
        <v>Mixed day and night</v>
      </c>
      <c r="H22" s="15">
        <f>DE_Calc_Compare!H812</f>
        <v>5300</v>
      </c>
      <c r="I22" s="16">
        <f>DE_Calc_Compare!J828</f>
        <v>0.0495421249605871</v>
      </c>
      <c r="J22" s="16">
        <f>DE_Calc_Compare!J829</f>
        <v>0.0461034925538186</v>
      </c>
      <c r="K22" s="16">
        <f>DE_Calc_Compare!J830</f>
        <v>0.0445840968392</v>
      </c>
      <c r="L22" s="16">
        <f>DE_Calc_Compare!J831</f>
        <v>0.0440243194706562</v>
      </c>
      <c r="M22" s="16">
        <f>DE_Calc_Compare!J832</f>
        <v>0.0443441922526812</v>
      </c>
      <c r="N22" s="16">
        <f>DE_Calc_Compare!J833</f>
        <v>0.0456236833807811</v>
      </c>
      <c r="O22" s="16">
        <f>DE_Calc_Compare!J834</f>
        <v>0.0239904586518733</v>
      </c>
      <c r="P22" s="16">
        <f>DE_Calc_Compare!J835</f>
        <v>0.0286286139912355</v>
      </c>
      <c r="Q22" s="16">
        <f>DE_Calc_Compare!J836</f>
        <v>0.0327869601575602</v>
      </c>
      <c r="R22" s="16">
        <f>DE_Calc_Compare!J837</f>
        <v>0.021399489117471</v>
      </c>
      <c r="S22" s="16">
        <f>DE_Calc_Compare!J838</f>
        <v>0.0453844642359382</v>
      </c>
      <c r="T22" s="16">
        <f>DE_Calc_Compare!J839</f>
        <v>0.047495624597303</v>
      </c>
      <c r="U22" s="16">
        <f>DE_Calc_Compare!J840</f>
        <v>0.0472557200107843</v>
      </c>
      <c r="V22" s="16">
        <f>DE_Calc_Compare!J841</f>
        <v>0.0457203306570644</v>
      </c>
      <c r="W22" s="16">
        <f>DE_Calc_Compare!J842</f>
        <v>0.044664750476382</v>
      </c>
      <c r="X22" s="16">
        <f>DE_Calc_Compare!J843</f>
        <v>0.0444248458898632</v>
      </c>
      <c r="Y22" s="16">
        <f>DE_Calc_Compare!J844</f>
        <v>0.0227909357192796</v>
      </c>
      <c r="Z22" s="16">
        <f>DE_Calc_Compare!J845</f>
        <v>0.0256697907575044</v>
      </c>
      <c r="AA22" s="16">
        <f>DE_Calc_Compare!J846</f>
        <v>0.0469413307621654</v>
      </c>
      <c r="AB22" s="16">
        <f>DE_Calc_Compare!J847</f>
        <v>0.0472612035441904</v>
      </c>
      <c r="AC22" s="16">
        <f>DE_Calc_Compare!J848</f>
        <v>0.0444623167014719</v>
      </c>
      <c r="AD22" s="16">
        <f>DE_Calc_Compare!J849</f>
        <v>0.0406238433171721</v>
      </c>
      <c r="AE22" s="16">
        <f>DE_Calc_Compare!J850</f>
        <v>0.0615373542865238</v>
      </c>
      <c r="AF22" s="16">
        <f>DE_Calc_Compare!J851</f>
        <v>0.054740057668493</v>
      </c>
      <c r="AG22" s="17" t="str">
        <f>DE_Option_Monthly!AG22</f>
        <v>10,000 km EV fixed</v>
      </c>
    </row>
    <row r="23" ht="16.8" spans="1:33">
      <c r="A23" s="13" t="str">
        <f>DE_Option_Monthly!A23</f>
        <v>EV Charging Pattern</v>
      </c>
      <c r="B23" s="13" t="str">
        <f>DE_Option_Monthly!B23</f>
        <v>Mostly daytime</v>
      </c>
      <c r="C23" s="14" t="str">
        <f>DE_Option_Monthly!C23</f>
        <v>Mostly away during the day</v>
      </c>
      <c r="D23" s="14" t="str">
        <f>DE_Option_Monthly!D23</f>
        <v>No heating or cooling system</v>
      </c>
      <c r="E23" s="14" t="str">
        <f>DE_Option_Monthly!E23</f>
        <v>Medium</v>
      </c>
      <c r="F23" s="14" t="str">
        <f>DE_Option_Monthly!F23</f>
        <v>10,000 km</v>
      </c>
      <c r="G23" s="14" t="str">
        <f>DE_Option_Monthly!G23</f>
        <v>Mostly daytime</v>
      </c>
      <c r="H23" s="15">
        <f>DE_Calc_Compare!H857</f>
        <v>5300</v>
      </c>
      <c r="I23" s="16">
        <f>DE_Calc_Compare!J873</f>
        <v>0.0240704268473796</v>
      </c>
      <c r="J23" s="16">
        <f>DE_Calc_Compare!J874</f>
        <v>0.020631794440611</v>
      </c>
      <c r="K23" s="16">
        <f>DE_Calc_Compare!J875</f>
        <v>0.0191123987259924</v>
      </c>
      <c r="L23" s="16">
        <f>DE_Calc_Compare!J876</f>
        <v>0.0185526213574487</v>
      </c>
      <c r="M23" s="16">
        <f>DE_Calc_Compare!J877</f>
        <v>0.0188724941394737</v>
      </c>
      <c r="N23" s="16">
        <f>DE_Calc_Compare!J878</f>
        <v>0.0201519852675736</v>
      </c>
      <c r="O23" s="16">
        <f>DE_Calc_Compare!J879</f>
        <v>0.0239904586518733</v>
      </c>
      <c r="P23" s="16">
        <f>DE_Calc_Compare!J880</f>
        <v>0.0286286139912355</v>
      </c>
      <c r="Q23" s="16">
        <f>DE_Calc_Compare!J881</f>
        <v>0.0327869601575602</v>
      </c>
      <c r="R23" s="16">
        <f>DE_Calc_Compare!J882</f>
        <v>0.021399489117471</v>
      </c>
      <c r="S23" s="16">
        <f>DE_Calc_Compare!J883</f>
        <v>0.0793467283868816</v>
      </c>
      <c r="T23" s="16">
        <f>DE_Calc_Compare!J884</f>
        <v>0.0814578887482464</v>
      </c>
      <c r="U23" s="16">
        <f>DE_Calc_Compare!J885</f>
        <v>0.0812179841617277</v>
      </c>
      <c r="V23" s="16">
        <f>DE_Calc_Compare!J886</f>
        <v>0.0796825948080078</v>
      </c>
      <c r="W23" s="16">
        <f>DE_Calc_Compare!J887</f>
        <v>0.0786270146273254</v>
      </c>
      <c r="X23" s="16">
        <f>DE_Calc_Compare!J888</f>
        <v>0.0783871100408066</v>
      </c>
      <c r="Y23" s="16">
        <f>DE_Calc_Compare!J889</f>
        <v>0.0227909357192796</v>
      </c>
      <c r="Z23" s="16">
        <f>DE_Calc_Compare!J890</f>
        <v>0.0256697907575044</v>
      </c>
      <c r="AA23" s="16">
        <f>DE_Calc_Compare!J891</f>
        <v>0.0469413307621654</v>
      </c>
      <c r="AB23" s="16">
        <f>DE_Calc_Compare!J892</f>
        <v>0.0472612035441904</v>
      </c>
      <c r="AC23" s="16">
        <f>DE_Calc_Compare!J893</f>
        <v>0.0444623167014719</v>
      </c>
      <c r="AD23" s="16">
        <f>DE_Calc_Compare!J894</f>
        <v>0.0406238433171721</v>
      </c>
      <c r="AE23" s="16">
        <f>DE_Calc_Compare!J895</f>
        <v>0.0360656561733162</v>
      </c>
      <c r="AF23" s="16">
        <f>DE_Calc_Compare!J896</f>
        <v>0.0292683595552854</v>
      </c>
      <c r="AG23" s="17" t="str">
        <f>DE_Option_Monthly!AG23</f>
        <v>10,000 km EV fixed</v>
      </c>
    </row>
    <row r="24" ht="16.8" spans="1:33">
      <c r="A24" s="13" t="str">
        <f>DE_Option_Monthly!A24</f>
        <v>EV Charging Pattern</v>
      </c>
      <c r="B24" s="13" t="str">
        <f>DE_Option_Monthly!B24</f>
        <v>Solar-optimized charging</v>
      </c>
      <c r="C24" s="14" t="str">
        <f>DE_Option_Monthly!C24</f>
        <v>Mostly away during the day</v>
      </c>
      <c r="D24" s="14" t="str">
        <f>DE_Option_Monthly!D24</f>
        <v>No heating or cooling system</v>
      </c>
      <c r="E24" s="14" t="str">
        <f>DE_Option_Monthly!E24</f>
        <v>Medium</v>
      </c>
      <c r="F24" s="14" t="str">
        <f>DE_Option_Monthly!F24</f>
        <v>10,000 km</v>
      </c>
      <c r="G24" s="14" t="str">
        <f>DE_Option_Monthly!G24</f>
        <v>Solar-optimized charging</v>
      </c>
      <c r="H24" s="15">
        <f>DE_Calc_Compare!H902</f>
        <v>5300</v>
      </c>
      <c r="I24" s="16">
        <f>DE_Calc_Compare!J918</f>
        <v>0.0325609928851154</v>
      </c>
      <c r="J24" s="16">
        <f>DE_Calc_Compare!J919</f>
        <v>0.0291223604783469</v>
      </c>
      <c r="K24" s="16">
        <f>DE_Calc_Compare!J920</f>
        <v>0.0276029647637283</v>
      </c>
      <c r="L24" s="16">
        <f>DE_Calc_Compare!J921</f>
        <v>0.0270431873951845</v>
      </c>
      <c r="M24" s="16">
        <f>DE_Calc_Compare!J922</f>
        <v>0.0273630601772095</v>
      </c>
      <c r="N24" s="16">
        <f>DE_Calc_Compare!J923</f>
        <v>0.0286425513053094</v>
      </c>
      <c r="O24" s="16">
        <f>DE_Calc_Compare!J924</f>
        <v>0.0239904586518733</v>
      </c>
      <c r="P24" s="16">
        <f>DE_Calc_Compare!J925</f>
        <v>0.0286286139912355</v>
      </c>
      <c r="Q24" s="16">
        <f>DE_Calc_Compare!J926</f>
        <v>0.0327869601575602</v>
      </c>
      <c r="R24" s="16">
        <f>DE_Calc_Compare!J927</f>
        <v>0.0349843947778484</v>
      </c>
      <c r="S24" s="16">
        <f>DE_Calc_Compare!J928</f>
        <v>0.0471957849906551</v>
      </c>
      <c r="T24" s="16">
        <f>DE_Calc_Compare!J929</f>
        <v>0.0601748698803219</v>
      </c>
      <c r="U24" s="16">
        <f>DE_Calc_Compare!J930</f>
        <v>0.0680859086900296</v>
      </c>
      <c r="V24" s="16">
        <f>DE_Calc_Compare!J931</f>
        <v>0.0692675004683851</v>
      </c>
      <c r="W24" s="16">
        <f>DE_Calc_Compare!J932</f>
        <v>0.0654949391556272</v>
      </c>
      <c r="X24" s="16">
        <f>DE_Calc_Compare!J933</f>
        <v>0.0571040911728821</v>
      </c>
      <c r="Y24" s="16">
        <f>DE_Calc_Compare!J934</f>
        <v>0.0526777281721098</v>
      </c>
      <c r="Z24" s="16">
        <f>DE_Calc_Compare!J935</f>
        <v>0.0256697907575044</v>
      </c>
      <c r="AA24" s="16">
        <f>DE_Calc_Compare!J936</f>
        <v>0.0469413307621654</v>
      </c>
      <c r="AB24" s="16">
        <f>DE_Calc_Compare!J937</f>
        <v>0.0472612035441904</v>
      </c>
      <c r="AC24" s="16">
        <f>DE_Calc_Compare!J938</f>
        <v>0.0444623167014719</v>
      </c>
      <c r="AD24" s="16">
        <f>DE_Calc_Compare!J939</f>
        <v>0.0406238433171721</v>
      </c>
      <c r="AE24" s="16">
        <f>DE_Calc_Compare!J940</f>
        <v>0.0445562222110521</v>
      </c>
      <c r="AF24" s="16">
        <f>DE_Calc_Compare!J941</f>
        <v>0.0377589255930213</v>
      </c>
      <c r="AG24" s="17" t="str">
        <f>DE_Option_Monthly!AG24</f>
        <v>10,000 km EV fixed</v>
      </c>
    </row>
    <row r="25" ht="16.8" spans="1:33">
      <c r="A25" s="18" t="s">
        <v>238</v>
      </c>
      <c r="I25" s="19">
        <f>SUM(I4:AF4)</f>
        <v>1</v>
      </c>
    </row>
  </sheetData>
  <mergeCells count="2">
    <mergeCell ref="A1:K1"/>
    <mergeCell ref="A2:AG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workbookViewId="0">
      <selection activeCell="A1" sqref="A1"/>
    </sheetView>
  </sheetViews>
  <sheetFormatPr defaultColWidth="9" defaultRowHeight="15.2" outlineLevelRow="7"/>
  <sheetData>
    <row r="1" spans="1:20">
      <c r="A1" t="s">
        <v>265</v>
      </c>
      <c r="B1" t="s">
        <v>266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272</v>
      </c>
      <c r="K1" t="s">
        <v>273</v>
      </c>
      <c r="L1" t="s">
        <v>274</v>
      </c>
      <c r="N1" t="s">
        <v>275</v>
      </c>
      <c r="O1" t="s">
        <v>276</v>
      </c>
      <c r="Q1" t="s">
        <v>236</v>
      </c>
      <c r="S1" t="s">
        <v>277</v>
      </c>
      <c r="T1" t="s">
        <v>278</v>
      </c>
    </row>
    <row r="2" spans="1:20">
      <c r="A2" t="s">
        <v>52</v>
      </c>
      <c r="B2">
        <v>0.6</v>
      </c>
      <c r="D2" t="s">
        <v>69</v>
      </c>
      <c r="E2">
        <v>0.7</v>
      </c>
      <c r="F2">
        <v>1.05</v>
      </c>
      <c r="G2">
        <v>1.08</v>
      </c>
      <c r="H2">
        <v>1.1</v>
      </c>
      <c r="I2">
        <v>1.08</v>
      </c>
      <c r="K2" t="s">
        <v>150</v>
      </c>
      <c r="L2">
        <v>0</v>
      </c>
      <c r="N2" t="s">
        <v>157</v>
      </c>
      <c r="O2">
        <v>0</v>
      </c>
      <c r="Q2" t="s">
        <v>121</v>
      </c>
      <c r="S2" t="s">
        <v>279</v>
      </c>
      <c r="T2">
        <v>3500</v>
      </c>
    </row>
    <row r="3" spans="1:20">
      <c r="A3" t="s">
        <v>58</v>
      </c>
      <c r="B3">
        <v>1.4</v>
      </c>
      <c r="D3" t="s">
        <v>75</v>
      </c>
      <c r="E3">
        <v>1</v>
      </c>
      <c r="F3">
        <v>1.1</v>
      </c>
      <c r="G3">
        <v>1.15</v>
      </c>
      <c r="H3">
        <v>1.2</v>
      </c>
      <c r="I3">
        <v>1.15</v>
      </c>
      <c r="K3" t="s">
        <v>220</v>
      </c>
      <c r="L3">
        <v>0</v>
      </c>
      <c r="N3" t="s">
        <v>231</v>
      </c>
      <c r="O3">
        <v>5000</v>
      </c>
      <c r="Q3" t="s">
        <v>122</v>
      </c>
      <c r="S3" t="s">
        <v>280</v>
      </c>
      <c r="T3">
        <v>0.18</v>
      </c>
    </row>
    <row r="4" spans="1:20">
      <c r="A4" t="s">
        <v>63</v>
      </c>
      <c r="B4">
        <v>1.2</v>
      </c>
      <c r="D4" t="s">
        <v>80</v>
      </c>
      <c r="E4">
        <v>1.3</v>
      </c>
      <c r="F4">
        <v>1.2</v>
      </c>
      <c r="G4">
        <v>1.25</v>
      </c>
      <c r="H4">
        <v>1.35</v>
      </c>
      <c r="I4">
        <v>1.25</v>
      </c>
      <c r="K4" t="s">
        <v>221</v>
      </c>
      <c r="L4">
        <v>3000</v>
      </c>
      <c r="N4" t="s">
        <v>232</v>
      </c>
      <c r="O4">
        <v>10000</v>
      </c>
      <c r="Q4" t="s">
        <v>123</v>
      </c>
      <c r="S4" t="s">
        <v>281</v>
      </c>
      <c r="T4" t="s">
        <v>282</v>
      </c>
    </row>
    <row r="5" spans="1:20">
      <c r="D5" t="s">
        <v>84</v>
      </c>
      <c r="E5">
        <v>1.6</v>
      </c>
      <c r="F5">
        <v>1.35</v>
      </c>
      <c r="G5">
        <v>1.4</v>
      </c>
      <c r="H5">
        <v>1.5</v>
      </c>
      <c r="I5">
        <v>1.4</v>
      </c>
      <c r="K5" t="s">
        <v>222</v>
      </c>
      <c r="L5">
        <v>2000</v>
      </c>
      <c r="N5" t="s">
        <v>233</v>
      </c>
      <c r="O5">
        <v>15000</v>
      </c>
      <c r="Q5" t="s">
        <v>124</v>
      </c>
      <c r="S5" t="s">
        <v>283</v>
      </c>
      <c r="T5" t="s">
        <v>284</v>
      </c>
    </row>
    <row r="6" spans="1:20">
      <c r="N6" t="s">
        <v>234</v>
      </c>
      <c r="O6">
        <v>20000</v>
      </c>
      <c r="S6" t="s">
        <v>91</v>
      </c>
      <c r="T6" t="s">
        <v>285</v>
      </c>
    </row>
    <row r="7" spans="1:20">
      <c r="N7" t="s">
        <v>235</v>
      </c>
      <c r="O7">
        <v>25000</v>
      </c>
      <c r="S7" t="s">
        <v>96</v>
      </c>
      <c r="T7" t="s">
        <v>286</v>
      </c>
    </row>
    <row r="8" spans="1:20">
      <c r="S8" t="s">
        <v>287</v>
      </c>
      <c r="T8" t="s">
        <v>288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1"/>
  <sheetViews>
    <sheetView workbookViewId="0">
      <selection activeCell="A1" sqref="A1"/>
    </sheetView>
  </sheetViews>
  <sheetFormatPr defaultColWidth="9" defaultRowHeight="15.2"/>
  <cols>
    <col min="1" max="16" width="12" style="1" customWidth="1"/>
  </cols>
  <sheetData>
    <row r="1" spans="1:16">
      <c r="A1" t="s">
        <v>51</v>
      </c>
      <c r="B1" t="str">
        <f>DE_Option_Monthly!C4</f>
        <v>Mostly away during the day</v>
      </c>
      <c r="C1" t="s">
        <v>188</v>
      </c>
      <c r="D1" t="str">
        <f>DE_Option_Monthly!D4</f>
        <v>No heating or cooling system</v>
      </c>
      <c r="E1" t="s">
        <v>68</v>
      </c>
      <c r="F1" t="str">
        <f>DE_Option_Monthly!E4</f>
        <v>Medium</v>
      </c>
      <c r="G1" t="s">
        <v>98</v>
      </c>
      <c r="H1" t="str">
        <f>DE_Option_Monthly!F4</f>
        <v>No electric vehicle</v>
      </c>
      <c r="I1" t="s">
        <v>289</v>
      </c>
      <c r="J1" t="str">
        <f>DE_Option_Monthly!G4</f>
        <v>Mostly overnight</v>
      </c>
      <c r="K1" t="s">
        <v>290</v>
      </c>
      <c r="L1">
        <f>DE_Option_Monthly!$B$1</f>
        <v>3500</v>
      </c>
    </row>
    <row r="2" spans="1:16">
      <c r="A2" t="s">
        <v>291</v>
      </c>
      <c r="B2">
        <f>INDEX(DE_Lookups!$E$2:$E$5,MATCH(F1,DE_Lookups!$D$2:$D$5,0))</f>
        <v>1</v>
      </c>
      <c r="C2" t="s">
        <v>292</v>
      </c>
      <c r="D2">
        <f>IF(OR(D1="Electric heating",D1="Heat pump (heating &amp; cooling)"),INDEX(DE_Lookups!$L$2:$L$5,MATCH(D1,DE_Lookups!$K$2:$K$5,0))*B2,0)</f>
        <v>0</v>
      </c>
      <c r="E2" t="s">
        <v>293</v>
      </c>
      <c r="F2">
        <f>INDEX(DE_Lookups!$O$2:$O$7,MATCH(H1,DE_Lookups!$N$2:$N$7,0))*0.18</f>
        <v>0</v>
      </c>
      <c r="G2" t="s">
        <v>294</v>
      </c>
      <c r="H2">
        <f>L1+D2+F2</f>
        <v>3500</v>
      </c>
      <c r="I2" t="s">
        <v>295</v>
      </c>
      <c r="J2">
        <f>INDEX(DE_Lookups!$F$2:$F$5,MATCH(F1,DE_Lookups!$D$2:$D$5,0))</f>
        <v>1.1</v>
      </c>
      <c r="K2" t="s">
        <v>296</v>
      </c>
      <c r="L2">
        <f>INDEX(DE_Lookups!$G$2:$G$5,MATCH(F1,DE_Lookups!$D$2:$D$5,0))</f>
        <v>1.15</v>
      </c>
      <c r="M2" t="s">
        <v>297</v>
      </c>
      <c r="N2">
        <f>INDEX(DE_Lookups!$H$2:$H$5,MATCH(F1,DE_Lookups!$D$2:$D$5,0))</f>
        <v>1.2</v>
      </c>
      <c r="O2" t="s">
        <v>298</v>
      </c>
      <c r="P2">
        <f>INDEX(DE_Lookups!$I$2:$I$5,MATCH(F1,DE_Lookups!$D$2:$D$5,0))</f>
        <v>1.15</v>
      </c>
    </row>
    <row r="4" spans="1:16">
      <c r="A4" t="str">
        <f>DE_Base_Profile!A6</f>
        <v>1月</v>
      </c>
      <c r="B4">
        <f>DE_Base_Profile!B6</f>
        <v>0.0789</v>
      </c>
      <c r="C4">
        <f>L1*B4</f>
        <v>276.15</v>
      </c>
      <c r="D4">
        <f>1+IF(OR(D1="Air conditioning",D1="Heat pump (heating &amp; cooling)"),IF(DE_Base_Profile!D6=1,J2-1,0),0)+IF(OR(D1="Electric heating",D1="Heat pump (heating &amp; cooling)"),IF(DE_Base_Profile!E6=1,L2-1,0),0)</f>
        <v>1</v>
      </c>
      <c r="E4">
        <f t="shared" ref="E4:E15" si="0">C4*D4</f>
        <v>276.15</v>
      </c>
      <c r="F4">
        <f>IF(D1="Electric heating",IF(DE_Base_Profile!E6=1,B4*L2,0),IF(D1="Heat pump (heating &amp; cooling)",IF(DE_Base_Profile!D6=1,B4*J2,0)+IF(DE_Base_Profile!E6=1,B4*L2,0),0))</f>
        <v>0</v>
      </c>
      <c r="G4">
        <f>IF(SUM($F$4:$F$15)=0,0,D2*F4/SUM($F$4:$F$15))</f>
        <v>0</v>
      </c>
      <c r="H4">
        <f>F2/12</f>
        <v>0</v>
      </c>
      <c r="I4">
        <f>E4/SUM($E$4:$E$15)*L1+G4+H4</f>
        <v>276.15</v>
      </c>
      <c r="J4">
        <f>I4/H2</f>
        <v>0.0789</v>
      </c>
    </row>
    <row r="5" spans="1:16">
      <c r="A5" t="str">
        <f>DE_Base_Profile!A7</f>
        <v>2月</v>
      </c>
      <c r="B5">
        <f>DE_Base_Profile!B7</f>
        <v>0.0791</v>
      </c>
      <c r="C5">
        <f>L1*B5</f>
        <v>276.85</v>
      </c>
      <c r="D5">
        <f>1+IF(OR(D1="Air conditioning",D1="Heat pump (heating &amp; cooling)"),IF(DE_Base_Profile!D7=1,J2-1,0),0)+IF(OR(D1="Electric heating",D1="Heat pump (heating &amp; cooling)"),IF(DE_Base_Profile!E7=1,L2-1,0),0)</f>
        <v>1</v>
      </c>
      <c r="E5">
        <f t="shared" si="0"/>
        <v>276.85</v>
      </c>
      <c r="F5">
        <f>IF(D1="Electric heating",IF(DE_Base_Profile!E7=1,B5*L2,0),IF(D1="Heat pump (heating &amp; cooling)",IF(DE_Base_Profile!D7=1,B5*J2,0)+IF(DE_Base_Profile!E7=1,B5*L2,0),0))</f>
        <v>0</v>
      </c>
      <c r="G5">
        <f>IF(SUM($F$4:$F$15)=0,0,D2*F5/SUM($F$4:$F$15))</f>
        <v>0</v>
      </c>
      <c r="H5">
        <f>F2/12</f>
        <v>0</v>
      </c>
      <c r="I5">
        <f>E5/SUM($E$4:$E$15)*L1+G5+H5</f>
        <v>276.85</v>
      </c>
      <c r="J5">
        <f>I5/H2</f>
        <v>0.0791</v>
      </c>
    </row>
    <row r="6" spans="1:16">
      <c r="A6" t="str">
        <f>DE_Base_Profile!A8</f>
        <v>3月</v>
      </c>
      <c r="B6">
        <f>DE_Base_Profile!B8</f>
        <v>0.0773</v>
      </c>
      <c r="C6">
        <f>L1*B6</f>
        <v>270.55</v>
      </c>
      <c r="D6">
        <f>1+IF(OR(D1="Air conditioning",D1="Heat pump (heating &amp; cooling)"),IF(DE_Base_Profile!D8=1,J2-1,0),0)+IF(OR(D1="Electric heating",D1="Heat pump (heating &amp; cooling)"),IF(DE_Base_Profile!E8=1,L2-1,0),0)</f>
        <v>1</v>
      </c>
      <c r="E6">
        <f t="shared" si="0"/>
        <v>270.55</v>
      </c>
      <c r="F6">
        <f>IF(D1="Electric heating",IF(DE_Base_Profile!E8=1,B6*L2,0),IF(D1="Heat pump (heating &amp; cooling)",IF(DE_Base_Profile!D8=1,B6*J2,0)+IF(DE_Base_Profile!E8=1,B6*L2,0),0))</f>
        <v>0</v>
      </c>
      <c r="G6">
        <f>IF(SUM($F$4:$F$15)=0,0,D2*F6/SUM($F$4:$F$15))</f>
        <v>0</v>
      </c>
      <c r="H6">
        <f>F2/12</f>
        <v>0</v>
      </c>
      <c r="I6">
        <f>E6/SUM($E$4:$E$15)*L1+G6+H6</f>
        <v>270.55</v>
      </c>
      <c r="J6">
        <f>I6/H2</f>
        <v>0.0773</v>
      </c>
    </row>
    <row r="7" spans="1:16">
      <c r="A7" t="str">
        <f>DE_Base_Profile!A9</f>
        <v>4月</v>
      </c>
      <c r="B7">
        <f>DE_Base_Profile!B9</f>
        <v>0.0822</v>
      </c>
      <c r="C7">
        <f>L1*B7</f>
        <v>287.7</v>
      </c>
      <c r="D7">
        <f>1+IF(OR(D1="Air conditioning",D1="Heat pump (heating &amp; cooling)"),IF(DE_Base_Profile!D9=1,J2-1,0),0)+IF(OR(D1="Electric heating",D1="Heat pump (heating &amp; cooling)"),IF(DE_Base_Profile!E9=1,L2-1,0),0)</f>
        <v>1</v>
      </c>
      <c r="E7">
        <f t="shared" si="0"/>
        <v>287.7</v>
      </c>
      <c r="F7">
        <f>IF(D1="Electric heating",IF(DE_Base_Profile!E9=1,B7*L2,0),IF(D1="Heat pump (heating &amp; cooling)",IF(DE_Base_Profile!D9=1,B7*J2,0)+IF(DE_Base_Profile!E9=1,B7*L2,0),0))</f>
        <v>0</v>
      </c>
      <c r="G7">
        <f>IF(SUM($F$4:$F$15)=0,0,D2*F7/SUM($F$4:$F$15))</f>
        <v>0</v>
      </c>
      <c r="H7">
        <f>F2/12</f>
        <v>0</v>
      </c>
      <c r="I7">
        <f>E7/SUM($E$4:$E$15)*L1+G7+H7</f>
        <v>287.7</v>
      </c>
      <c r="J7">
        <f>I7/H2</f>
        <v>0.0822</v>
      </c>
    </row>
    <row r="8" spans="1:16">
      <c r="A8" t="str">
        <f>DE_Base_Profile!A10</f>
        <v>5月</v>
      </c>
      <c r="B8">
        <f>DE_Base_Profile!B10</f>
        <v>0.0839</v>
      </c>
      <c r="C8">
        <f>L1*B8</f>
        <v>293.65</v>
      </c>
      <c r="D8">
        <f>1+IF(OR(D1="Air conditioning",D1="Heat pump (heating &amp; cooling)"),IF(DE_Base_Profile!D10=1,J2-1,0),0)+IF(OR(D1="Electric heating",D1="Heat pump (heating &amp; cooling)"),IF(DE_Base_Profile!E10=1,L2-1,0),0)</f>
        <v>1</v>
      </c>
      <c r="E8">
        <f t="shared" si="0"/>
        <v>293.65</v>
      </c>
      <c r="F8">
        <f>IF(D1="Electric heating",IF(DE_Base_Profile!E10=1,B8*L2,0),IF(D1="Heat pump (heating &amp; cooling)",IF(DE_Base_Profile!D10=1,B8*J2,0)+IF(DE_Base_Profile!E10=1,B8*L2,0),0))</f>
        <v>0</v>
      </c>
      <c r="G8">
        <f>IF(SUM($F$4:$F$15)=0,0,D2*F8/SUM($F$4:$F$15))</f>
        <v>0</v>
      </c>
      <c r="H8">
        <f>F2/12</f>
        <v>0</v>
      </c>
      <c r="I8">
        <f>E8/SUM($E$4:$E$15)*L1+G8+H8</f>
        <v>293.65</v>
      </c>
      <c r="J8">
        <f>I8/H2</f>
        <v>0.0839</v>
      </c>
    </row>
    <row r="9" spans="1:16">
      <c r="A9" t="str">
        <f>DE_Base_Profile!A11</f>
        <v>6月</v>
      </c>
      <c r="B9">
        <f>DE_Base_Profile!B11</f>
        <v>0.0876</v>
      </c>
      <c r="C9">
        <f>L1*B9</f>
        <v>306.6</v>
      </c>
      <c r="D9">
        <f>1+IF(OR(D1="Air conditioning",D1="Heat pump (heating &amp; cooling)"),IF(DE_Base_Profile!D11=1,J2-1,0),0)+IF(OR(D1="Electric heating",D1="Heat pump (heating &amp; cooling)"),IF(DE_Base_Profile!E11=1,L2-1,0),0)</f>
        <v>1</v>
      </c>
      <c r="E9">
        <f t="shared" si="0"/>
        <v>306.6</v>
      </c>
      <c r="F9">
        <f>IF(D1="Electric heating",IF(DE_Base_Profile!E11=1,B9*L2,0),IF(D1="Heat pump (heating &amp; cooling)",IF(DE_Base_Profile!D11=1,B9*J2,0)+IF(DE_Base_Profile!E11=1,B9*L2,0),0))</f>
        <v>0</v>
      </c>
      <c r="G9">
        <f>IF(SUM($F$4:$F$15)=0,0,D2*F9/SUM($F$4:$F$15))</f>
        <v>0</v>
      </c>
      <c r="H9">
        <f>F2/12</f>
        <v>0</v>
      </c>
      <c r="I9">
        <f>E9/SUM($E$4:$E$15)*L1+G9+H9</f>
        <v>306.6</v>
      </c>
      <c r="J9">
        <f>I9/H2</f>
        <v>0.0876</v>
      </c>
    </row>
    <row r="10" spans="1:16">
      <c r="A10" t="str">
        <f>DE_Base_Profile!A12</f>
        <v>7月</v>
      </c>
      <c r="B10">
        <f>DE_Base_Profile!B12</f>
        <v>0.0917</v>
      </c>
      <c r="C10">
        <f>L1*B10</f>
        <v>320.95</v>
      </c>
      <c r="D10">
        <f>1+IF(OR(D1="Air conditioning",D1="Heat pump (heating &amp; cooling)"),IF(DE_Base_Profile!D12=1,J2-1,0),0)+IF(OR(D1="Electric heating",D1="Heat pump (heating &amp; cooling)"),IF(DE_Base_Profile!E12=1,L2-1,0),0)</f>
        <v>1</v>
      </c>
      <c r="E10">
        <f t="shared" si="0"/>
        <v>320.95</v>
      </c>
      <c r="F10">
        <f>IF(D1="Electric heating",IF(DE_Base_Profile!E12=1,B10*L2,0),IF(D1="Heat pump (heating &amp; cooling)",IF(DE_Base_Profile!D12=1,B10*J2,0)+IF(DE_Base_Profile!E12=1,B10*L2,0),0))</f>
        <v>0</v>
      </c>
      <c r="G10">
        <f>IF(SUM($F$4:$F$15)=0,0,D2*F10/SUM($F$4:$F$15))</f>
        <v>0</v>
      </c>
      <c r="H10">
        <f>F2/12</f>
        <v>0</v>
      </c>
      <c r="I10">
        <f>E10/SUM($E$4:$E$15)*L1+G10+H10</f>
        <v>320.95</v>
      </c>
      <c r="J10">
        <f>I10/H2</f>
        <v>0.0917</v>
      </c>
    </row>
    <row r="11" spans="1:16">
      <c r="A11" t="str">
        <f>DE_Base_Profile!A13</f>
        <v>8月</v>
      </c>
      <c r="B11">
        <f>DE_Base_Profile!B13</f>
        <v>0.0887</v>
      </c>
      <c r="C11">
        <f>L1*B11</f>
        <v>310.45</v>
      </c>
      <c r="D11">
        <f>1+IF(OR(D1="Air conditioning",D1="Heat pump (heating &amp; cooling)"),IF(DE_Base_Profile!D13=1,J2-1,0),0)+IF(OR(D1="Electric heating",D1="Heat pump (heating &amp; cooling)"),IF(DE_Base_Profile!E13=1,L2-1,0),0)</f>
        <v>1</v>
      </c>
      <c r="E11">
        <f t="shared" si="0"/>
        <v>310.45</v>
      </c>
      <c r="F11">
        <f>IF(D1="Electric heating",IF(DE_Base_Profile!E13=1,B11*L2,0),IF(D1="Heat pump (heating &amp; cooling)",IF(DE_Base_Profile!D13=1,B11*J2,0)+IF(DE_Base_Profile!E13=1,B11*L2,0),0))</f>
        <v>0</v>
      </c>
      <c r="G11">
        <f>IF(SUM($F$4:$F$15)=0,0,D2*F11/SUM($F$4:$F$15))</f>
        <v>0</v>
      </c>
      <c r="H11">
        <f>F2/12</f>
        <v>0</v>
      </c>
      <c r="I11">
        <f>E11/SUM($E$4:$E$15)*L1+G11+H11</f>
        <v>310.45</v>
      </c>
      <c r="J11">
        <f>I11/H2</f>
        <v>0.0887</v>
      </c>
    </row>
    <row r="12" spans="1:16">
      <c r="A12" t="str">
        <f>DE_Base_Profile!A14</f>
        <v>9月</v>
      </c>
      <c r="B12">
        <f>DE_Base_Profile!B14</f>
        <v>0.0853</v>
      </c>
      <c r="C12">
        <f>L1*B12</f>
        <v>298.55</v>
      </c>
      <c r="D12">
        <f>1+IF(OR(D1="Air conditioning",D1="Heat pump (heating &amp; cooling)"),IF(DE_Base_Profile!D14=1,J2-1,0),0)+IF(OR(D1="Electric heating",D1="Heat pump (heating &amp; cooling)"),IF(DE_Base_Profile!E14=1,L2-1,0),0)</f>
        <v>1</v>
      </c>
      <c r="E12">
        <f t="shared" si="0"/>
        <v>298.55</v>
      </c>
      <c r="F12">
        <f>IF(D1="Electric heating",IF(DE_Base_Profile!E14=1,B12*L2,0),IF(D1="Heat pump (heating &amp; cooling)",IF(DE_Base_Profile!D14=1,B12*J2,0)+IF(DE_Base_Profile!E14=1,B12*L2,0),0))</f>
        <v>0</v>
      </c>
      <c r="G12">
        <f>IF(SUM($F$4:$F$15)=0,0,D2*F12/SUM($F$4:$F$15))</f>
        <v>0</v>
      </c>
      <c r="H12">
        <f>F2/12</f>
        <v>0</v>
      </c>
      <c r="I12">
        <f>E12/SUM($E$4:$E$15)*L1+G12+H12</f>
        <v>298.55</v>
      </c>
      <c r="J12">
        <f>I12/H2</f>
        <v>0.0853</v>
      </c>
    </row>
    <row r="13" spans="1:16">
      <c r="A13" t="str">
        <f>DE_Base_Profile!A15</f>
        <v>10月</v>
      </c>
      <c r="B13">
        <f>DE_Base_Profile!B15</f>
        <v>0.0838</v>
      </c>
      <c r="C13">
        <f>L1*B13</f>
        <v>293.3</v>
      </c>
      <c r="D13">
        <f>1+IF(OR(D1="Air conditioning",D1="Heat pump (heating &amp; cooling)"),IF(DE_Base_Profile!D15=1,J2-1,0),0)+IF(OR(D1="Electric heating",D1="Heat pump (heating &amp; cooling)"),IF(DE_Base_Profile!E15=1,L2-1,0),0)</f>
        <v>1</v>
      </c>
      <c r="E13">
        <f t="shared" si="0"/>
        <v>293.3</v>
      </c>
      <c r="F13">
        <f>IF(D1="Electric heating",IF(DE_Base_Profile!E15=1,B13*L2,0),IF(D1="Heat pump (heating &amp; cooling)",IF(DE_Base_Profile!D15=1,B13*J2,0)+IF(DE_Base_Profile!E15=1,B13*L2,0),0))</f>
        <v>0</v>
      </c>
      <c r="G13">
        <f>IF(SUM($F$4:$F$15)=0,0,D2*F13/SUM($F$4:$F$15))</f>
        <v>0</v>
      </c>
      <c r="H13">
        <f>F2/12</f>
        <v>0</v>
      </c>
      <c r="I13">
        <f>E13/SUM($E$4:$E$15)*L1+G13+H13</f>
        <v>293.3</v>
      </c>
      <c r="J13">
        <f>I13/H2</f>
        <v>0.0838</v>
      </c>
    </row>
    <row r="14" spans="1:16">
      <c r="A14" t="str">
        <f>DE_Base_Profile!A16</f>
        <v>11月</v>
      </c>
      <c r="B14">
        <f>DE_Base_Profile!B16</f>
        <v>0.0819</v>
      </c>
      <c r="C14">
        <f>L1*B14</f>
        <v>286.65</v>
      </c>
      <c r="D14">
        <f>1+IF(OR(D1="Air conditioning",D1="Heat pump (heating &amp; cooling)"),IF(DE_Base_Profile!D16=1,J2-1,0),0)+IF(OR(D1="Electric heating",D1="Heat pump (heating &amp; cooling)"),IF(DE_Base_Profile!E16=1,L2-1,0),0)</f>
        <v>1</v>
      </c>
      <c r="E14">
        <f t="shared" si="0"/>
        <v>286.65</v>
      </c>
      <c r="F14">
        <f>IF(D1="Electric heating",IF(DE_Base_Profile!E16=1,B14*L2,0),IF(D1="Heat pump (heating &amp; cooling)",IF(DE_Base_Profile!D16=1,B14*J2,0)+IF(DE_Base_Profile!E16=1,B14*L2,0),0))</f>
        <v>0</v>
      </c>
      <c r="G14">
        <f>IF(SUM($F$4:$F$15)=0,0,D2*F14/SUM($F$4:$F$15))</f>
        <v>0</v>
      </c>
      <c r="H14">
        <f>F2/12</f>
        <v>0</v>
      </c>
      <c r="I14">
        <f>E14/SUM($E$4:$E$15)*L1+G14+H14</f>
        <v>286.65</v>
      </c>
      <c r="J14">
        <f>I14/H2</f>
        <v>0.0819</v>
      </c>
    </row>
    <row r="15" spans="1:16">
      <c r="A15" t="str">
        <f>DE_Base_Profile!A17</f>
        <v>12月</v>
      </c>
      <c r="B15">
        <f>DE_Base_Profile!B17</f>
        <v>0.0796</v>
      </c>
      <c r="C15">
        <f>L1*B15</f>
        <v>278.6</v>
      </c>
      <c r="D15">
        <f>1+IF(OR(D1="Air conditioning",D1="Heat pump (heating &amp; cooling)"),IF(DE_Base_Profile!D17=1,J2-1,0),0)+IF(OR(D1="Electric heating",D1="Heat pump (heating &amp; cooling)"),IF(DE_Base_Profile!E17=1,L2-1,0),0)</f>
        <v>1</v>
      </c>
      <c r="E15">
        <f t="shared" si="0"/>
        <v>278.6</v>
      </c>
      <c r="F15">
        <f>IF(D1="Electric heating",IF(DE_Base_Profile!E17=1,B15*L2,0),IF(D1="Heat pump (heating &amp; cooling)",IF(DE_Base_Profile!D17=1,B15*J2,0)+IF(DE_Base_Profile!E17=1,B15*L2,0),0))</f>
        <v>0</v>
      </c>
      <c r="G15">
        <f>IF(SUM($F$4:$F$15)=0,0,D2*F15/SUM($F$4:$F$15))</f>
        <v>0</v>
      </c>
      <c r="H15">
        <f>F2/12</f>
        <v>0</v>
      </c>
      <c r="I15">
        <f>E15/SUM($E$4:$E$15)*L1+G15+H15</f>
        <v>278.6</v>
      </c>
      <c r="J15">
        <f>I15/H2</f>
        <v>0.0796</v>
      </c>
    </row>
    <row r="18" spans="1:10">
      <c r="A18">
        <f>DE_Base_Profile!H6</f>
        <v>0</v>
      </c>
      <c r="B18">
        <f>DE_Base_Profile!I6</f>
        <v>0.0301</v>
      </c>
      <c r="C18">
        <f>IF(DE_Base_Profile!J6=1,INDEX(DE_Lookups!$B$2:$B$4,MATCH(B1,DE_Lookups!$A$2:$A$4,0)),1)</f>
        <v>1</v>
      </c>
      <c r="D18">
        <f>IF(OR(D1="Air conditioning",D1="Heat pump (heating &amp; cooling)"),IF(DE_Base_Profile!K6=1,N2,1),1)*IF(OR(D1="Electric heating",D1="Heat pump (heating &amp; cooling)"),IF(DE_Base_Profile!L6=1,P2,1),1)</f>
        <v>1</v>
      </c>
      <c r="E18">
        <f t="shared" ref="E18:E41" si="1">B18*C18*D18</f>
        <v>0.0301</v>
      </c>
      <c r="F18">
        <f t="shared" ref="F18:F41" si="2">E18/SUM($E$18:$E$41)</f>
        <v>0.0364495035117462</v>
      </c>
      <c r="G18">
        <f>((L1+D2)/365)*F18</f>
        <v>0.349515787098936</v>
      </c>
      <c r="H18">
        <f>INDEX(DE_Base_Profile!$N$6:$Q$29,ROW()-17,MATCH(J1,DE_Base_Profile!$N$5:$Q$5,0))</f>
        <v>0.125</v>
      </c>
      <c r="I18">
        <f>(F2/365)*H18</f>
        <v>0</v>
      </c>
      <c r="J18">
        <f>(G18+I18)/(H2/365)</f>
        <v>0.0364495035117462</v>
      </c>
    </row>
    <row r="19" spans="1:10">
      <c r="A19">
        <f>DE_Base_Profile!H7</f>
        <v>1</v>
      </c>
      <c r="B19">
        <f>DE_Base_Profile!I7</f>
        <v>0.0258</v>
      </c>
      <c r="C19">
        <f>IF(DE_Base_Profile!J7=1,INDEX(DE_Lookups!$B$2:$B$4,MATCH(B1,DE_Lookups!$A$2:$A$4,0)),1)</f>
        <v>1</v>
      </c>
      <c r="D19">
        <f>IF(OR(D1="Air conditioning",D1="Heat pump (heating &amp; cooling)"),IF(DE_Base_Profile!K7=1,N2,1),1)*IF(OR(D1="Electric heating",D1="Heat pump (heating &amp; cooling)"),IF(DE_Base_Profile!L7=1,P2,1),1)</f>
        <v>1</v>
      </c>
      <c r="E19">
        <f t="shared" si="1"/>
        <v>0.0258</v>
      </c>
      <c r="F19">
        <f t="shared" si="2"/>
        <v>0.0312424315814967</v>
      </c>
      <c r="G19">
        <f>((L1+D2)/365)*F19</f>
        <v>0.299584960370517</v>
      </c>
      <c r="H19">
        <f>INDEX(DE_Base_Profile!$N$6:$Q$29,ROW()-17,MATCH(J1,DE_Base_Profile!$N$5:$Q$5,0))</f>
        <v>0.125</v>
      </c>
      <c r="I19">
        <f>(F2/365)*H19</f>
        <v>0</v>
      </c>
      <c r="J19">
        <f>(G19+I19)/(H2/365)</f>
        <v>0.0312424315814967</v>
      </c>
    </row>
    <row r="20" spans="1:10">
      <c r="A20">
        <f>DE_Base_Profile!H8</f>
        <v>2</v>
      </c>
      <c r="B20">
        <f>DE_Base_Profile!I8</f>
        <v>0.0239</v>
      </c>
      <c r="C20">
        <f>IF(DE_Base_Profile!J8=1,INDEX(DE_Lookups!$B$2:$B$4,MATCH(B1,DE_Lookups!$A$2:$A$4,0)),1)</f>
        <v>1</v>
      </c>
      <c r="D20">
        <f>IF(OR(D1="Air conditioning",D1="Heat pump (heating &amp; cooling)"),IF(DE_Base_Profile!K8=1,N2,1),1)*IF(OR(D1="Electric heating",D1="Heat pump (heating &amp; cooling)"),IF(DE_Base_Profile!L8=1,P2,1),1)</f>
        <v>1</v>
      </c>
      <c r="E20">
        <f t="shared" si="1"/>
        <v>0.0239</v>
      </c>
      <c r="F20">
        <f t="shared" si="2"/>
        <v>0.0289416323565028</v>
      </c>
      <c r="G20">
        <f>((L1+D2)/365)*F20</f>
        <v>0.277522502048657</v>
      </c>
      <c r="H20">
        <f>INDEX(DE_Base_Profile!$N$6:$Q$29,ROW()-17,MATCH(J1,DE_Base_Profile!$N$5:$Q$5,0))</f>
        <v>0.125</v>
      </c>
      <c r="I20">
        <f>(F2/365)*H20</f>
        <v>0</v>
      </c>
      <c r="J20">
        <f>(G20+I20)/(H2/365)</f>
        <v>0.0289416323565028</v>
      </c>
    </row>
    <row r="21" spans="1:10">
      <c r="A21">
        <f>DE_Base_Profile!H9</f>
        <v>3</v>
      </c>
      <c r="B21">
        <f>DE_Base_Profile!I9</f>
        <v>0.0232</v>
      </c>
      <c r="C21">
        <f>IF(DE_Base_Profile!J9=1,INDEX(DE_Lookups!$B$2:$B$4,MATCH(B1,DE_Lookups!$A$2:$A$4,0)),1)</f>
        <v>1</v>
      </c>
      <c r="D21">
        <f>IF(OR(D1="Air conditioning",D1="Heat pump (heating &amp; cooling)"),IF(DE_Base_Profile!K9=1,N2,1),1)*IF(OR(D1="Electric heating",D1="Heat pump (heating &amp; cooling)"),IF(DE_Base_Profile!L9=1,P2,1),1)</f>
        <v>1</v>
      </c>
      <c r="E21">
        <f t="shared" si="1"/>
        <v>0.0232</v>
      </c>
      <c r="F21">
        <f t="shared" si="2"/>
        <v>0.0280939694841366</v>
      </c>
      <c r="G21">
        <f>((L1+D2)/365)*F21</f>
        <v>0.269394227930077</v>
      </c>
      <c r="H21">
        <f>INDEX(DE_Base_Profile!$N$6:$Q$29,ROW()-17,MATCH(J1,DE_Base_Profile!$N$5:$Q$5,0))</f>
        <v>0.125</v>
      </c>
      <c r="I21">
        <f>(F2/365)*H21</f>
        <v>0</v>
      </c>
      <c r="J21">
        <f>(G21+I21)/(H2/365)</f>
        <v>0.0280939694841366</v>
      </c>
    </row>
    <row r="22" spans="1:10">
      <c r="A22">
        <f>DE_Base_Profile!H10</f>
        <v>4</v>
      </c>
      <c r="B22">
        <f>DE_Base_Profile!I10</f>
        <v>0.0236</v>
      </c>
      <c r="C22">
        <f>IF(DE_Base_Profile!J10=1,INDEX(DE_Lookups!$B$2:$B$4,MATCH(B1,DE_Lookups!$A$2:$A$4,0)),1)</f>
        <v>1</v>
      </c>
      <c r="D22">
        <f>IF(OR(D1="Air conditioning",D1="Heat pump (heating &amp; cooling)"),IF(DE_Base_Profile!K10=1,N2,1),1)*IF(OR(D1="Electric heating",D1="Heat pump (heating &amp; cooling)"),IF(DE_Base_Profile!L10=1,P2,1),1)</f>
        <v>1</v>
      </c>
      <c r="E22">
        <f t="shared" si="1"/>
        <v>0.0236</v>
      </c>
      <c r="F22">
        <f t="shared" si="2"/>
        <v>0.0285783482683458</v>
      </c>
      <c r="G22">
        <f>((L1+D2)/365)*F22</f>
        <v>0.274038955997837</v>
      </c>
      <c r="H22">
        <f>INDEX(DE_Base_Profile!$N$6:$Q$29,ROW()-17,MATCH(J1,DE_Base_Profile!$N$5:$Q$5,0))</f>
        <v>0.125</v>
      </c>
      <c r="I22">
        <f>(F2/365)*H22</f>
        <v>0</v>
      </c>
      <c r="J22">
        <f>(G22+I22)/(H2/365)</f>
        <v>0.0285783482683458</v>
      </c>
    </row>
    <row r="23" spans="1:10">
      <c r="A23">
        <f>DE_Base_Profile!H11</f>
        <v>5</v>
      </c>
      <c r="B23">
        <f>DE_Base_Profile!I11</f>
        <v>0.0252</v>
      </c>
      <c r="C23">
        <f>IF(DE_Base_Profile!J11=1,INDEX(DE_Lookups!$B$2:$B$4,MATCH(B1,DE_Lookups!$A$2:$A$4,0)),1)</f>
        <v>1</v>
      </c>
      <c r="D23">
        <f>IF(OR(D1="Air conditioning",D1="Heat pump (heating &amp; cooling)"),IF(DE_Base_Profile!K11=1,N2,1),1)*IF(OR(D1="Electric heating",D1="Heat pump (heating &amp; cooling)"),IF(DE_Base_Profile!L11=1,P2,1),1)</f>
        <v>1</v>
      </c>
      <c r="E23">
        <f t="shared" si="1"/>
        <v>0.0252</v>
      </c>
      <c r="F23">
        <f t="shared" si="2"/>
        <v>0.0305158634051829</v>
      </c>
      <c r="G23">
        <f>((L1+D2)/365)*F23</f>
        <v>0.292617868268877</v>
      </c>
      <c r="H23">
        <f>INDEX(DE_Base_Profile!$N$6:$Q$29,ROW()-17,MATCH(J1,DE_Base_Profile!$N$5:$Q$5,0))</f>
        <v>0.125</v>
      </c>
      <c r="I23">
        <f>(F2/365)*H23</f>
        <v>0</v>
      </c>
      <c r="J23">
        <f>(G23+I23)/(H2/365)</f>
        <v>0.0305158634051829</v>
      </c>
    </row>
    <row r="24" spans="1:10">
      <c r="A24">
        <f>DE_Base_Profile!H12</f>
        <v>6</v>
      </c>
      <c r="B24">
        <f>DE_Base_Profile!I12</f>
        <v>0.03</v>
      </c>
      <c r="C24">
        <f>IF(DE_Base_Profile!J12=1,INDEX(DE_Lookups!$B$2:$B$4,MATCH(B1,DE_Lookups!$A$2:$A$4,0)),1)</f>
        <v>1</v>
      </c>
      <c r="D24">
        <f>IF(OR(D1="Air conditioning",D1="Heat pump (heating &amp; cooling)"),IF(DE_Base_Profile!K12=1,N2,1),1)*IF(OR(D1="Electric heating",D1="Heat pump (heating &amp; cooling)"),IF(DE_Base_Profile!L12=1,P2,1),1)</f>
        <v>1</v>
      </c>
      <c r="E24">
        <f t="shared" si="1"/>
        <v>0.03</v>
      </c>
      <c r="F24">
        <f t="shared" si="2"/>
        <v>0.0363284088156939</v>
      </c>
      <c r="G24">
        <f>((L1+D2)/365)*F24</f>
        <v>0.348354605081996</v>
      </c>
      <c r="H24">
        <f>INDEX(DE_Base_Profile!$N$6:$Q$29,ROW()-17,MATCH(J1,DE_Base_Profile!$N$5:$Q$5,0))</f>
        <v>0</v>
      </c>
      <c r="I24">
        <f>(F2/365)*H24</f>
        <v>0</v>
      </c>
      <c r="J24">
        <f>(G24+I24)/(H2/365)</f>
        <v>0.0363284088156939</v>
      </c>
    </row>
    <row r="25" spans="1:10">
      <c r="A25">
        <f>DE_Base_Profile!H13</f>
        <v>7</v>
      </c>
      <c r="B25">
        <f>DE_Base_Profile!I13</f>
        <v>0.0358</v>
      </c>
      <c r="C25">
        <f>IF(DE_Base_Profile!J13=1,INDEX(DE_Lookups!$B$2:$B$4,MATCH(B1,DE_Lookups!$A$2:$A$4,0)),1)</f>
        <v>1</v>
      </c>
      <c r="D25">
        <f>IF(OR(D1="Air conditioning",D1="Heat pump (heating &amp; cooling)"),IF(DE_Base_Profile!K13=1,N2,1),1)*IF(OR(D1="Electric heating",D1="Heat pump (heating &amp; cooling)"),IF(DE_Base_Profile!L13=1,P2,1),1)</f>
        <v>1</v>
      </c>
      <c r="E25">
        <f t="shared" si="1"/>
        <v>0.0358</v>
      </c>
      <c r="F25">
        <f t="shared" si="2"/>
        <v>0.043351901186728</v>
      </c>
      <c r="G25">
        <f>((L1+D2)/365)*F25</f>
        <v>0.415703162064515</v>
      </c>
      <c r="H25">
        <f>INDEX(DE_Base_Profile!$N$6:$Q$29,ROW()-17,MATCH(J1,DE_Base_Profile!$N$5:$Q$5,0))</f>
        <v>0</v>
      </c>
      <c r="I25">
        <f>(F2/365)*H25</f>
        <v>0</v>
      </c>
      <c r="J25">
        <f>(G25+I25)/(H2/365)</f>
        <v>0.043351901186728</v>
      </c>
    </row>
    <row r="26" spans="1:10">
      <c r="A26">
        <f>DE_Base_Profile!H14</f>
        <v>8</v>
      </c>
      <c r="B26">
        <f>DE_Base_Profile!I14</f>
        <v>0.041</v>
      </c>
      <c r="C26">
        <f>IF(DE_Base_Profile!J14=1,INDEX(DE_Lookups!$B$2:$B$4,MATCH(B1,DE_Lookups!$A$2:$A$4,0)),1)</f>
        <v>1</v>
      </c>
      <c r="D26">
        <f>IF(OR(D1="Air conditioning",D1="Heat pump (heating &amp; cooling)"),IF(DE_Base_Profile!K14=1,N2,1),1)*IF(OR(D1="Electric heating",D1="Heat pump (heating &amp; cooling)"),IF(DE_Base_Profile!L14=1,P2,1),1)</f>
        <v>1</v>
      </c>
      <c r="E26">
        <f t="shared" si="1"/>
        <v>0.041</v>
      </c>
      <c r="F26">
        <f t="shared" si="2"/>
        <v>0.0496488253814483</v>
      </c>
      <c r="G26">
        <f>((L1+D2)/365)*F26</f>
        <v>0.476084626945395</v>
      </c>
      <c r="H26">
        <f>INDEX(DE_Base_Profile!$N$6:$Q$29,ROW()-17,MATCH(J1,DE_Base_Profile!$N$5:$Q$5,0))</f>
        <v>0</v>
      </c>
      <c r="I26">
        <f>(F2/365)*H26</f>
        <v>0</v>
      </c>
      <c r="J26">
        <f>(G26+I26)/(H2/365)</f>
        <v>0.0496488253814483</v>
      </c>
    </row>
    <row r="27" spans="1:10">
      <c r="A27">
        <f>DE_Base_Profile!H15</f>
        <v>9</v>
      </c>
      <c r="B27">
        <f>DE_Base_Profile!I15</f>
        <v>0.0446</v>
      </c>
      <c r="C27">
        <f>IF(DE_Base_Profile!J15=1,INDEX(DE_Lookups!$B$2:$B$4,MATCH(B1,DE_Lookups!$A$2:$A$4,0)),1)</f>
        <v>0.6</v>
      </c>
      <c r="D27">
        <f>IF(OR(D1="Air conditioning",D1="Heat pump (heating &amp; cooling)"),IF(DE_Base_Profile!K15=1,N2,1),1)*IF(OR(D1="Electric heating",D1="Heat pump (heating &amp; cooling)"),IF(DE_Base_Profile!L15=1,P2,1),1)</f>
        <v>1</v>
      </c>
      <c r="E27">
        <f t="shared" si="1"/>
        <v>0.02676</v>
      </c>
      <c r="F27">
        <f t="shared" si="2"/>
        <v>0.0324049406635989</v>
      </c>
      <c r="G27">
        <f>((L1+D2)/365)*F27</f>
        <v>0.31073230773314</v>
      </c>
      <c r="H27">
        <f>INDEX(DE_Base_Profile!$N$6:$Q$29,ROW()-17,MATCH(J1,DE_Base_Profile!$N$5:$Q$5,0))</f>
        <v>0</v>
      </c>
      <c r="I27">
        <f>(F2/365)*H27</f>
        <v>0</v>
      </c>
      <c r="J27">
        <f>(G27+I27)/(H2/365)</f>
        <v>0.0324049406635989</v>
      </c>
    </row>
    <row r="28" spans="1:10">
      <c r="A28">
        <f>DE_Base_Profile!H16</f>
        <v>10</v>
      </c>
      <c r="B28">
        <f>DE_Base_Profile!I16</f>
        <v>0.0474</v>
      </c>
      <c r="C28">
        <f>IF(DE_Base_Profile!J16=1,INDEX(DE_Lookups!$B$2:$B$4,MATCH(B1,DE_Lookups!$A$2:$A$4,0)),1)</f>
        <v>0.6</v>
      </c>
      <c r="D28">
        <f>IF(OR(D1="Air conditioning",D1="Heat pump (heating &amp; cooling)"),IF(DE_Base_Profile!K16=1,N2,1),1)*IF(OR(D1="Electric heating",D1="Heat pump (heating &amp; cooling)"),IF(DE_Base_Profile!L16=1,P2,1),1)</f>
        <v>1</v>
      </c>
      <c r="E28">
        <f t="shared" si="1"/>
        <v>0.02844</v>
      </c>
      <c r="F28">
        <f t="shared" si="2"/>
        <v>0.0344393315572778</v>
      </c>
      <c r="G28">
        <f>((L1+D2)/365)*F28</f>
        <v>0.330240165617732</v>
      </c>
      <c r="H28">
        <f>INDEX(DE_Base_Profile!$N$6:$Q$29,ROW()-17,MATCH(J1,DE_Base_Profile!$N$5:$Q$5,0))</f>
        <v>0</v>
      </c>
      <c r="I28">
        <f>(F2/365)*H28</f>
        <v>0</v>
      </c>
      <c r="J28">
        <f>(G28+I28)/(H2/365)</f>
        <v>0.0344393315572778</v>
      </c>
    </row>
    <row r="29" spans="1:10">
      <c r="A29">
        <f>DE_Base_Profile!H17</f>
        <v>11</v>
      </c>
      <c r="B29">
        <f>DE_Base_Profile!I17</f>
        <v>0.0518</v>
      </c>
      <c r="C29">
        <f>IF(DE_Base_Profile!J17=1,INDEX(DE_Lookups!$B$2:$B$4,MATCH(B1,DE_Lookups!$A$2:$A$4,0)),1)</f>
        <v>0.6</v>
      </c>
      <c r="D29">
        <f>IF(OR(D1="Air conditioning",D1="Heat pump (heating &amp; cooling)"),IF(DE_Base_Profile!K17=1,N2,1),1)*IF(OR(D1="Electric heating",D1="Heat pump (heating &amp; cooling)"),IF(DE_Base_Profile!L17=1,P2,1),1)</f>
        <v>1</v>
      </c>
      <c r="E29">
        <f t="shared" si="1"/>
        <v>0.03108</v>
      </c>
      <c r="F29">
        <f t="shared" si="2"/>
        <v>0.0376362315330588</v>
      </c>
      <c r="G29">
        <f>((L1+D2)/365)*F29</f>
        <v>0.360895370864948</v>
      </c>
      <c r="H29">
        <f>INDEX(DE_Base_Profile!$N$6:$Q$29,ROW()-17,MATCH(J1,DE_Base_Profile!$N$5:$Q$5,0))</f>
        <v>0</v>
      </c>
      <c r="I29">
        <f>(F2/365)*H29</f>
        <v>0</v>
      </c>
      <c r="J29">
        <f>(G29+I29)/(H2/365)</f>
        <v>0.0376362315330588</v>
      </c>
    </row>
    <row r="30" spans="1:10">
      <c r="A30">
        <f>DE_Base_Profile!H18</f>
        <v>12</v>
      </c>
      <c r="B30">
        <f>DE_Base_Profile!I18</f>
        <v>0.0513</v>
      </c>
      <c r="C30">
        <f>IF(DE_Base_Profile!J18=1,INDEX(DE_Lookups!$B$2:$B$4,MATCH(B1,DE_Lookups!$A$2:$A$4,0)),1)</f>
        <v>0.6</v>
      </c>
      <c r="D30">
        <f>IF(OR(D1="Air conditioning",D1="Heat pump (heating &amp; cooling)"),IF(DE_Base_Profile!K18=1,N2,1),1)*IF(OR(D1="Electric heating",D1="Heat pump (heating &amp; cooling)"),IF(DE_Base_Profile!L18=1,P2,1),1)</f>
        <v>1</v>
      </c>
      <c r="E30">
        <f t="shared" si="1"/>
        <v>0.03078</v>
      </c>
      <c r="F30">
        <f t="shared" si="2"/>
        <v>0.0372729474449019</v>
      </c>
      <c r="G30">
        <f>((L1+D2)/365)*F30</f>
        <v>0.357411824814128</v>
      </c>
      <c r="H30">
        <f>INDEX(DE_Base_Profile!$N$6:$Q$29,ROW()-17,MATCH(J1,DE_Base_Profile!$N$5:$Q$5,0))</f>
        <v>0</v>
      </c>
      <c r="I30">
        <f>(F2/365)*H30</f>
        <v>0</v>
      </c>
      <c r="J30">
        <f>(G30+I30)/(H2/365)</f>
        <v>0.0372729474449019</v>
      </c>
    </row>
    <row r="31" spans="1:10">
      <c r="A31">
        <f>DE_Base_Profile!H19</f>
        <v>13</v>
      </c>
      <c r="B31">
        <f>DE_Base_Profile!I19</f>
        <v>0.0481</v>
      </c>
      <c r="C31">
        <f>IF(DE_Base_Profile!J19=1,INDEX(DE_Lookups!$B$2:$B$4,MATCH(B1,DE_Lookups!$A$2:$A$4,0)),1)</f>
        <v>0.6</v>
      </c>
      <c r="D31">
        <f>IF(OR(D1="Air conditioning",D1="Heat pump (heating &amp; cooling)"),IF(DE_Base_Profile!K19=1,N2,1),1)*IF(OR(D1="Electric heating",D1="Heat pump (heating &amp; cooling)"),IF(DE_Base_Profile!L19=1,P2,1),1)</f>
        <v>1</v>
      </c>
      <c r="E31">
        <f t="shared" si="1"/>
        <v>0.02886</v>
      </c>
      <c r="F31">
        <f t="shared" si="2"/>
        <v>0.0349479292806975</v>
      </c>
      <c r="G31">
        <f>((L1+D2)/365)*F31</f>
        <v>0.33511713008888</v>
      </c>
      <c r="H31">
        <f>INDEX(DE_Base_Profile!$N$6:$Q$29,ROW()-17,MATCH(J1,DE_Base_Profile!$N$5:$Q$5,0))</f>
        <v>0</v>
      </c>
      <c r="I31">
        <f>(F2/365)*H31</f>
        <v>0</v>
      </c>
      <c r="J31">
        <f>(G31+I31)/(H2/365)</f>
        <v>0.0349479292806975</v>
      </c>
    </row>
    <row r="32" spans="1:10">
      <c r="A32">
        <f>DE_Base_Profile!H20</f>
        <v>14</v>
      </c>
      <c r="B32">
        <f>DE_Base_Profile!I20</f>
        <v>0.0459</v>
      </c>
      <c r="C32">
        <f>IF(DE_Base_Profile!J20=1,INDEX(DE_Lookups!$B$2:$B$4,MATCH(B1,DE_Lookups!$A$2:$A$4,0)),1)</f>
        <v>0.6</v>
      </c>
      <c r="D32">
        <f>IF(OR(D1="Air conditioning",D1="Heat pump (heating &amp; cooling)"),IF(DE_Base_Profile!K20=1,N2,1),1)*IF(OR(D1="Electric heating",D1="Heat pump (heating &amp; cooling)"),IF(DE_Base_Profile!L20=1,P2,1),1)</f>
        <v>1</v>
      </c>
      <c r="E32">
        <f t="shared" si="1"/>
        <v>0.02754</v>
      </c>
      <c r="F32">
        <f t="shared" si="2"/>
        <v>0.033349479292807</v>
      </c>
      <c r="G32">
        <f>((L1+D2)/365)*F32</f>
        <v>0.319789527465272</v>
      </c>
      <c r="H32">
        <f>INDEX(DE_Base_Profile!$N$6:$Q$29,ROW()-17,MATCH(J1,DE_Base_Profile!$N$5:$Q$5,0))</f>
        <v>0</v>
      </c>
      <c r="I32">
        <f>(F2/365)*H32</f>
        <v>0</v>
      </c>
      <c r="J32">
        <f>(G32+I32)/(H2/365)</f>
        <v>0.033349479292807</v>
      </c>
    </row>
    <row r="33" spans="1:16">
      <c r="A33">
        <f>DE_Base_Profile!H21</f>
        <v>15</v>
      </c>
      <c r="B33">
        <f>DE_Base_Profile!I21</f>
        <v>0.0454</v>
      </c>
      <c r="C33">
        <f>IF(DE_Base_Profile!J21=1,INDEX(DE_Lookups!$B$2:$B$4,MATCH(B1,DE_Lookups!$A$2:$A$4,0)),1)</f>
        <v>0.6</v>
      </c>
      <c r="D33">
        <f>IF(OR(D1="Air conditioning",D1="Heat pump (heating &amp; cooling)"),IF(DE_Base_Profile!K21=1,N2,1),1)*IF(OR(D1="Electric heating",D1="Heat pump (heating &amp; cooling)"),IF(DE_Base_Profile!L21=1,P2,1),1)</f>
        <v>1</v>
      </c>
      <c r="E33">
        <f t="shared" si="1"/>
        <v>0.02724</v>
      </c>
      <c r="F33">
        <f t="shared" si="2"/>
        <v>0.03298619520465</v>
      </c>
      <c r="G33">
        <f>((L1+D2)/365)*F33</f>
        <v>0.316305981414452</v>
      </c>
      <c r="H33">
        <f>INDEX(DE_Base_Profile!$N$6:$Q$29,ROW()-17,MATCH(J1,DE_Base_Profile!$N$5:$Q$5,0))</f>
        <v>0</v>
      </c>
      <c r="I33">
        <f>(F2/365)*H33</f>
        <v>0</v>
      </c>
      <c r="J33">
        <f>(G33+I33)/(H2/365)</f>
        <v>0.03298619520465</v>
      </c>
    </row>
    <row r="34" spans="1:16">
      <c r="A34">
        <f>DE_Base_Profile!H22</f>
        <v>16</v>
      </c>
      <c r="B34">
        <f>DE_Base_Profile!I22</f>
        <v>0.0475</v>
      </c>
      <c r="C34">
        <f>IF(DE_Base_Profile!J22=1,INDEX(DE_Lookups!$B$2:$B$4,MATCH(B1,DE_Lookups!$A$2:$A$4,0)),1)</f>
        <v>0.6</v>
      </c>
      <c r="D34">
        <f>IF(OR(D1="Air conditioning",D1="Heat pump (heating &amp; cooling)"),IF(DE_Base_Profile!K22=1,N2,1),1)*IF(OR(D1="Electric heating",D1="Heat pump (heating &amp; cooling)"),IF(DE_Base_Profile!L22=1,P2,1),1)</f>
        <v>1</v>
      </c>
      <c r="E34">
        <f t="shared" si="1"/>
        <v>0.0285</v>
      </c>
      <c r="F34">
        <f t="shared" si="2"/>
        <v>0.0345119883749092</v>
      </c>
      <c r="G34">
        <f>((L1+D2)/365)*F34</f>
        <v>0.330936874827896</v>
      </c>
      <c r="H34">
        <f>INDEX(DE_Base_Profile!$N$6:$Q$29,ROW()-17,MATCH(J1,DE_Base_Profile!$N$5:$Q$5,0))</f>
        <v>0</v>
      </c>
      <c r="I34">
        <f>(F2/365)*H34</f>
        <v>0</v>
      </c>
      <c r="J34">
        <f>(G34+I34)/(H2/365)</f>
        <v>0.0345119883749092</v>
      </c>
    </row>
    <row r="35" spans="1:16">
      <c r="A35">
        <f>DE_Base_Profile!H23</f>
        <v>17</v>
      </c>
      <c r="B35">
        <f>DE_Base_Profile!I23</f>
        <v>0.0535</v>
      </c>
      <c r="C35">
        <f>IF(DE_Base_Profile!J23=1,INDEX(DE_Lookups!$B$2:$B$4,MATCH(B1,DE_Lookups!$A$2:$A$4,0)),1)</f>
        <v>0.6</v>
      </c>
      <c r="D35">
        <f>IF(OR(D1="Air conditioning",D1="Heat pump (heating &amp; cooling)"),IF(DE_Base_Profile!K23=1,N2,1),1)*IF(OR(D1="Electric heating",D1="Heat pump (heating &amp; cooling)"),IF(DE_Base_Profile!L23=1,P2,1),1)</f>
        <v>1</v>
      </c>
      <c r="E35">
        <f t="shared" si="1"/>
        <v>0.0321</v>
      </c>
      <c r="F35">
        <f t="shared" si="2"/>
        <v>0.0388713974327924</v>
      </c>
      <c r="G35">
        <f>((L1+D2)/365)*F35</f>
        <v>0.372739427437736</v>
      </c>
      <c r="H35">
        <f>INDEX(DE_Base_Profile!$N$6:$Q$29,ROW()-17,MATCH(J1,DE_Base_Profile!$N$5:$Q$5,0))</f>
        <v>0</v>
      </c>
      <c r="I35">
        <f>(F2/365)*H35</f>
        <v>0</v>
      </c>
      <c r="J35">
        <f>(G35+I35)/(H2/365)</f>
        <v>0.0388713974327924</v>
      </c>
    </row>
    <row r="36" spans="1:16">
      <c r="A36">
        <f>DE_Base_Profile!H24</f>
        <v>18</v>
      </c>
      <c r="B36">
        <f>DE_Base_Profile!I24</f>
        <v>0.0587</v>
      </c>
      <c r="C36">
        <f>IF(DE_Base_Profile!J24=1,INDEX(DE_Lookups!$B$2:$B$4,MATCH(B1,DE_Lookups!$A$2:$A$4,0)),1)</f>
        <v>1</v>
      </c>
      <c r="D36">
        <f>IF(OR(D1="Air conditioning",D1="Heat pump (heating &amp; cooling)"),IF(DE_Base_Profile!K24=1,N2,1),1)*IF(OR(D1="Electric heating",D1="Heat pump (heating &amp; cooling)"),IF(DE_Base_Profile!L24=1,P2,1),1)</f>
        <v>1</v>
      </c>
      <c r="E36">
        <f t="shared" si="1"/>
        <v>0.0587</v>
      </c>
      <c r="F36">
        <f t="shared" si="2"/>
        <v>0.0710825865827077</v>
      </c>
      <c r="G36">
        <f>((L1+D2)/365)*F36</f>
        <v>0.681613843943772</v>
      </c>
      <c r="H36">
        <f>INDEX(DE_Base_Profile!$N$6:$Q$29,ROW()-17,MATCH(J1,DE_Base_Profile!$N$5:$Q$5,0))</f>
        <v>0</v>
      </c>
      <c r="I36">
        <f>(F2/365)*H36</f>
        <v>0</v>
      </c>
      <c r="J36">
        <f>(G36+I36)/(H2/365)</f>
        <v>0.0710825865827077</v>
      </c>
    </row>
    <row r="37" spans="1:16">
      <c r="A37">
        <f>DE_Base_Profile!H25</f>
        <v>19</v>
      </c>
      <c r="B37">
        <f>DE_Base_Profile!I25</f>
        <v>0.0591</v>
      </c>
      <c r="C37">
        <f>IF(DE_Base_Profile!J25=1,INDEX(DE_Lookups!$B$2:$B$4,MATCH(B1,DE_Lookups!$A$2:$A$4,0)),1)</f>
        <v>1</v>
      </c>
      <c r="D37">
        <f>IF(OR(D1="Air conditioning",D1="Heat pump (heating &amp; cooling)"),IF(DE_Base_Profile!K25=1,N2,1),1)*IF(OR(D1="Electric heating",D1="Heat pump (heating &amp; cooling)"),IF(DE_Base_Profile!L25=1,P2,1),1)</f>
        <v>1</v>
      </c>
      <c r="E37">
        <f t="shared" si="1"/>
        <v>0.0591</v>
      </c>
      <c r="F37">
        <f t="shared" si="2"/>
        <v>0.0715669653669169</v>
      </c>
      <c r="G37">
        <f>((L1+D2)/365)*F37</f>
        <v>0.686258572011532</v>
      </c>
      <c r="H37">
        <f>INDEX(DE_Base_Profile!$N$6:$Q$29,ROW()-17,MATCH(J1,DE_Base_Profile!$N$5:$Q$5,0))</f>
        <v>0</v>
      </c>
      <c r="I37">
        <f>(F2/365)*H37</f>
        <v>0</v>
      </c>
      <c r="J37">
        <f>(G37+I37)/(H2/365)</f>
        <v>0.0715669653669169</v>
      </c>
    </row>
    <row r="38" spans="1:16">
      <c r="A38">
        <f>DE_Base_Profile!H26</f>
        <v>20</v>
      </c>
      <c r="B38">
        <f>DE_Base_Profile!I26</f>
        <v>0.0556</v>
      </c>
      <c r="C38">
        <f>IF(DE_Base_Profile!J26=1,INDEX(DE_Lookups!$B$2:$B$4,MATCH(B1,DE_Lookups!$A$2:$A$4,0)),1)</f>
        <v>1</v>
      </c>
      <c r="D38">
        <f>IF(OR(D1="Air conditioning",D1="Heat pump (heating &amp; cooling)"),IF(DE_Base_Profile!K26=1,N2,1),1)*IF(OR(D1="Electric heating",D1="Heat pump (heating &amp; cooling)"),IF(DE_Base_Profile!L26=1,P2,1),1)</f>
        <v>1</v>
      </c>
      <c r="E38">
        <f t="shared" si="1"/>
        <v>0.0556</v>
      </c>
      <c r="F38">
        <f t="shared" si="2"/>
        <v>0.067328651005086</v>
      </c>
      <c r="G38">
        <f>((L1+D2)/365)*F38</f>
        <v>0.645617201418633</v>
      </c>
      <c r="H38">
        <f>INDEX(DE_Base_Profile!$N$6:$Q$29,ROW()-17,MATCH(J1,DE_Base_Profile!$N$5:$Q$5,0))</f>
        <v>0</v>
      </c>
      <c r="I38">
        <f>(F2/365)*H38</f>
        <v>0</v>
      </c>
      <c r="J38">
        <f>(G38+I38)/(H2/365)</f>
        <v>0.067328651005086</v>
      </c>
    </row>
    <row r="39" spans="1:16">
      <c r="A39">
        <f>DE_Base_Profile!H27</f>
        <v>21</v>
      </c>
      <c r="B39">
        <f>DE_Base_Profile!I27</f>
        <v>0.0508</v>
      </c>
      <c r="C39">
        <f>IF(DE_Base_Profile!J27=1,INDEX(DE_Lookups!$B$2:$B$4,MATCH(B1,DE_Lookups!$A$2:$A$4,0)),1)</f>
        <v>1</v>
      </c>
      <c r="D39">
        <f>IF(OR(D1="Air conditioning",D1="Heat pump (heating &amp; cooling)"),IF(DE_Base_Profile!K27=1,N2,1),1)*IF(OR(D1="Electric heating",D1="Heat pump (heating &amp; cooling)"),IF(DE_Base_Profile!L27=1,P2,1),1)</f>
        <v>1</v>
      </c>
      <c r="E39">
        <f t="shared" si="1"/>
        <v>0.0508</v>
      </c>
      <c r="F39">
        <f t="shared" si="2"/>
        <v>0.061516105594575</v>
      </c>
      <c r="G39">
        <f>((L1+D2)/365)*F39</f>
        <v>0.589880464605513</v>
      </c>
      <c r="H39">
        <f>INDEX(DE_Base_Profile!$N$6:$Q$29,ROW()-17,MATCH(J1,DE_Base_Profile!$N$5:$Q$5,0))</f>
        <v>0</v>
      </c>
      <c r="I39">
        <f>(F2/365)*H39</f>
        <v>0</v>
      </c>
      <c r="J39">
        <f>(G39+I39)/(H2/365)</f>
        <v>0.061516105594575</v>
      </c>
    </row>
    <row r="40" spans="1:16">
      <c r="A40">
        <f>DE_Base_Profile!H28</f>
        <v>22</v>
      </c>
      <c r="B40">
        <f>DE_Base_Profile!I28</f>
        <v>0.0451</v>
      </c>
      <c r="C40">
        <f>IF(DE_Base_Profile!J28=1,INDEX(DE_Lookups!$B$2:$B$4,MATCH(B1,DE_Lookups!$A$2:$A$4,0)),1)</f>
        <v>1</v>
      </c>
      <c r="D40">
        <f>IF(OR(D1="Air conditioning",D1="Heat pump (heating &amp; cooling)"),IF(DE_Base_Profile!K28=1,N2,1),1)*IF(OR(D1="Electric heating",D1="Heat pump (heating &amp; cooling)"),IF(DE_Base_Profile!L28=1,P2,1),1)</f>
        <v>1</v>
      </c>
      <c r="E40">
        <f t="shared" si="1"/>
        <v>0.0451</v>
      </c>
      <c r="F40">
        <f t="shared" si="2"/>
        <v>0.0546137079195931</v>
      </c>
      <c r="G40">
        <f>((L1+D2)/365)*F40</f>
        <v>0.523693089639934</v>
      </c>
      <c r="H40">
        <f>INDEX(DE_Base_Profile!$N$6:$Q$29,ROW()-17,MATCH(J1,DE_Base_Profile!$N$5:$Q$5,0))</f>
        <v>0.125</v>
      </c>
      <c r="I40">
        <f>(F2/365)*H40</f>
        <v>0</v>
      </c>
      <c r="J40">
        <f>(G40+I40)/(H2/365)</f>
        <v>0.0546137079195931</v>
      </c>
    </row>
    <row r="41" spans="1:16">
      <c r="A41">
        <f>DE_Base_Profile!H29</f>
        <v>23</v>
      </c>
      <c r="B41">
        <f>DE_Base_Profile!I29</f>
        <v>0.0366</v>
      </c>
      <c r="C41">
        <f>IF(DE_Base_Profile!J29=1,INDEX(DE_Lookups!$B$2:$B$4,MATCH(B1,DE_Lookups!$A$2:$A$4,0)),1)</f>
        <v>1</v>
      </c>
      <c r="D41">
        <f>IF(OR(D1="Air conditioning",D1="Heat pump (heating &amp; cooling)"),IF(DE_Base_Profile!K29=1,N2,1),1)*IF(OR(D1="Electric heating",D1="Heat pump (heating &amp; cooling)"),IF(DE_Base_Profile!L29=1,P2,1),1)</f>
        <v>1</v>
      </c>
      <c r="E41">
        <f t="shared" si="1"/>
        <v>0.0366</v>
      </c>
      <c r="F41">
        <f t="shared" si="2"/>
        <v>0.0443206587551465</v>
      </c>
      <c r="G41">
        <f>((L1+D2)/365)*F41</f>
        <v>0.424992618200035</v>
      </c>
      <c r="H41">
        <f>INDEX(DE_Base_Profile!$N$6:$Q$29,ROW()-17,MATCH(J1,DE_Base_Profile!$N$5:$Q$5,0))</f>
        <v>0.125</v>
      </c>
      <c r="I41">
        <f>(F2/365)*H41</f>
        <v>0</v>
      </c>
      <c r="J41">
        <f>(G41+I41)/(H2/365)</f>
        <v>0.0443206587551465</v>
      </c>
    </row>
    <row r="46" spans="1:16">
      <c r="A46" t="s">
        <v>51</v>
      </c>
      <c r="B46" t="str">
        <f>DE_Option_Monthly!C5</f>
        <v>Working from home</v>
      </c>
      <c r="C46" t="s">
        <v>188</v>
      </c>
      <c r="D46" t="str">
        <f>DE_Option_Monthly!D5</f>
        <v>No heating or cooling system</v>
      </c>
      <c r="E46" t="s">
        <v>68</v>
      </c>
      <c r="F46" t="str">
        <f>DE_Option_Monthly!E5</f>
        <v>Medium</v>
      </c>
      <c r="G46" t="s">
        <v>98</v>
      </c>
      <c r="H46" t="str">
        <f>DE_Option_Monthly!F5</f>
        <v>No electric vehicle</v>
      </c>
      <c r="I46" t="s">
        <v>289</v>
      </c>
      <c r="J46" t="str">
        <f>DE_Option_Monthly!G5</f>
        <v>Mostly overnight</v>
      </c>
      <c r="K46" t="s">
        <v>290</v>
      </c>
      <c r="L46">
        <f>DE_Option_Monthly!$B$1</f>
        <v>3500</v>
      </c>
    </row>
    <row r="47" spans="1:16">
      <c r="A47" t="s">
        <v>291</v>
      </c>
      <c r="B47">
        <f>INDEX(DE_Lookups!$E$2:$E$5,MATCH(F46,DE_Lookups!$D$2:$D$5,0))</f>
        <v>1</v>
      </c>
      <c r="C47" t="s">
        <v>292</v>
      </c>
      <c r="D47">
        <f>IF(OR(D46="Electric heating",D46="Heat pump (heating &amp; cooling)"),INDEX(DE_Lookups!$L$2:$L$5,MATCH(D46,DE_Lookups!$K$2:$K$5,0))*B47,0)</f>
        <v>0</v>
      </c>
      <c r="E47" t="s">
        <v>293</v>
      </c>
      <c r="F47">
        <f>INDEX(DE_Lookups!$O$2:$O$7,MATCH(H46,DE_Lookups!$N$2:$N$7,0))*0.18</f>
        <v>0</v>
      </c>
      <c r="G47" t="s">
        <v>294</v>
      </c>
      <c r="H47">
        <f>L46+D47+F47</f>
        <v>3500</v>
      </c>
      <c r="I47" t="s">
        <v>295</v>
      </c>
      <c r="J47">
        <f>INDEX(DE_Lookups!$F$2:$F$5,MATCH(F46,DE_Lookups!$D$2:$D$5,0))</f>
        <v>1.1</v>
      </c>
      <c r="K47" t="s">
        <v>296</v>
      </c>
      <c r="L47">
        <f>INDEX(DE_Lookups!$G$2:$G$5,MATCH(F46,DE_Lookups!$D$2:$D$5,0))</f>
        <v>1.15</v>
      </c>
      <c r="M47" t="s">
        <v>297</v>
      </c>
      <c r="N47">
        <f>INDEX(DE_Lookups!$H$2:$H$5,MATCH(F46,DE_Lookups!$D$2:$D$5,0))</f>
        <v>1.2</v>
      </c>
      <c r="O47" t="s">
        <v>298</v>
      </c>
      <c r="P47">
        <f>INDEX(DE_Lookups!$I$2:$I$5,MATCH(F46,DE_Lookups!$D$2:$D$5,0))</f>
        <v>1.15</v>
      </c>
    </row>
    <row r="49" spans="1:10">
      <c r="A49" t="str">
        <f>DE_Base_Profile!A6</f>
        <v>1月</v>
      </c>
      <c r="B49">
        <f>DE_Base_Profile!B6</f>
        <v>0.0789</v>
      </c>
      <c r="C49">
        <f>L46*B49</f>
        <v>276.15</v>
      </c>
      <c r="D49">
        <f>1+IF(OR(D46="Air conditioning",D46="Heat pump (heating &amp; cooling)"),IF(DE_Base_Profile!D6=1,J47-1,0),0)+IF(OR(D46="Electric heating",D46="Heat pump (heating &amp; cooling)"),IF(DE_Base_Profile!E6=1,L47-1,0),0)</f>
        <v>1</v>
      </c>
      <c r="E49">
        <f t="shared" ref="E49:E60" si="3">C49*D49</f>
        <v>276.15</v>
      </c>
      <c r="F49">
        <f>IF(D46="Electric heating",IF(DE_Base_Profile!E6=1,B49*L47,0),IF(D46="Heat pump (heating &amp; cooling)",IF(DE_Base_Profile!D6=1,B49*J47,0)+IF(DE_Base_Profile!E6=1,B49*L47,0),0))</f>
        <v>0</v>
      </c>
      <c r="G49">
        <f>IF(SUM($F$49:$F$60)=0,0,D47*F49/SUM($F$49:$F$60))</f>
        <v>0</v>
      </c>
      <c r="H49">
        <f>F47/12</f>
        <v>0</v>
      </c>
      <c r="I49">
        <f>E49/SUM($E$49:$E$60)*L46+G49+H49</f>
        <v>276.15</v>
      </c>
      <c r="J49">
        <f>I49/H47</f>
        <v>0.0789</v>
      </c>
    </row>
    <row r="50" spans="1:10">
      <c r="A50" t="str">
        <f>DE_Base_Profile!A7</f>
        <v>2月</v>
      </c>
      <c r="B50">
        <f>DE_Base_Profile!B7</f>
        <v>0.0791</v>
      </c>
      <c r="C50">
        <f>L46*B50</f>
        <v>276.85</v>
      </c>
      <c r="D50">
        <f>1+IF(OR(D46="Air conditioning",D46="Heat pump (heating &amp; cooling)"),IF(DE_Base_Profile!D7=1,J47-1,0),0)+IF(OR(D46="Electric heating",D46="Heat pump (heating &amp; cooling)"),IF(DE_Base_Profile!E7=1,L47-1,0),0)</f>
        <v>1</v>
      </c>
      <c r="E50">
        <f t="shared" si="3"/>
        <v>276.85</v>
      </c>
      <c r="F50">
        <f>IF(D46="Electric heating",IF(DE_Base_Profile!E7=1,B50*L47,0),IF(D46="Heat pump (heating &amp; cooling)",IF(DE_Base_Profile!D7=1,B50*J47,0)+IF(DE_Base_Profile!E7=1,B50*L47,0),0))</f>
        <v>0</v>
      </c>
      <c r="G50">
        <f>IF(SUM($F$49:$F$60)=0,0,D47*F50/SUM($F$49:$F$60))</f>
        <v>0</v>
      </c>
      <c r="H50">
        <f>F47/12</f>
        <v>0</v>
      </c>
      <c r="I50">
        <f>E50/SUM($E$49:$E$60)*L46+G50+H50</f>
        <v>276.85</v>
      </c>
      <c r="J50">
        <f>I50/H47</f>
        <v>0.0791</v>
      </c>
    </row>
    <row r="51" spans="1:10">
      <c r="A51" t="str">
        <f>DE_Base_Profile!A8</f>
        <v>3月</v>
      </c>
      <c r="B51">
        <f>DE_Base_Profile!B8</f>
        <v>0.0773</v>
      </c>
      <c r="C51">
        <f>L46*B51</f>
        <v>270.55</v>
      </c>
      <c r="D51">
        <f>1+IF(OR(D46="Air conditioning",D46="Heat pump (heating &amp; cooling)"),IF(DE_Base_Profile!D8=1,J47-1,0),0)+IF(OR(D46="Electric heating",D46="Heat pump (heating &amp; cooling)"),IF(DE_Base_Profile!E8=1,L47-1,0),0)</f>
        <v>1</v>
      </c>
      <c r="E51">
        <f t="shared" si="3"/>
        <v>270.55</v>
      </c>
      <c r="F51">
        <f>IF(D46="Electric heating",IF(DE_Base_Profile!E8=1,B51*L47,0),IF(D46="Heat pump (heating &amp; cooling)",IF(DE_Base_Profile!D8=1,B51*J47,0)+IF(DE_Base_Profile!E8=1,B51*L47,0),0))</f>
        <v>0</v>
      </c>
      <c r="G51">
        <f>IF(SUM($F$49:$F$60)=0,0,D47*F51/SUM($F$49:$F$60))</f>
        <v>0</v>
      </c>
      <c r="H51">
        <f>F47/12</f>
        <v>0</v>
      </c>
      <c r="I51">
        <f>E51/SUM($E$49:$E$60)*L46+G51+H51</f>
        <v>270.55</v>
      </c>
      <c r="J51">
        <f>I51/H47</f>
        <v>0.0773</v>
      </c>
    </row>
    <row r="52" spans="1:10">
      <c r="A52" t="str">
        <f>DE_Base_Profile!A9</f>
        <v>4月</v>
      </c>
      <c r="B52">
        <f>DE_Base_Profile!B9</f>
        <v>0.0822</v>
      </c>
      <c r="C52">
        <f>L46*B52</f>
        <v>287.7</v>
      </c>
      <c r="D52">
        <f>1+IF(OR(D46="Air conditioning",D46="Heat pump (heating &amp; cooling)"),IF(DE_Base_Profile!D9=1,J47-1,0),0)+IF(OR(D46="Electric heating",D46="Heat pump (heating &amp; cooling)"),IF(DE_Base_Profile!E9=1,L47-1,0),0)</f>
        <v>1</v>
      </c>
      <c r="E52">
        <f t="shared" si="3"/>
        <v>287.7</v>
      </c>
      <c r="F52">
        <f>IF(D46="Electric heating",IF(DE_Base_Profile!E9=1,B52*L47,0),IF(D46="Heat pump (heating &amp; cooling)",IF(DE_Base_Profile!D9=1,B52*J47,0)+IF(DE_Base_Profile!E9=1,B52*L47,0),0))</f>
        <v>0</v>
      </c>
      <c r="G52">
        <f>IF(SUM($F$49:$F$60)=0,0,D47*F52/SUM($F$49:$F$60))</f>
        <v>0</v>
      </c>
      <c r="H52">
        <f>F47/12</f>
        <v>0</v>
      </c>
      <c r="I52">
        <f>E52/SUM($E$49:$E$60)*L46+G52+H52</f>
        <v>287.7</v>
      </c>
      <c r="J52">
        <f>I52/H47</f>
        <v>0.0822</v>
      </c>
    </row>
    <row r="53" spans="1:10">
      <c r="A53" t="str">
        <f>DE_Base_Profile!A10</f>
        <v>5月</v>
      </c>
      <c r="B53">
        <f>DE_Base_Profile!B10</f>
        <v>0.0839</v>
      </c>
      <c r="C53">
        <f>L46*B53</f>
        <v>293.65</v>
      </c>
      <c r="D53">
        <f>1+IF(OR(D46="Air conditioning",D46="Heat pump (heating &amp; cooling)"),IF(DE_Base_Profile!D10=1,J47-1,0),0)+IF(OR(D46="Electric heating",D46="Heat pump (heating &amp; cooling)"),IF(DE_Base_Profile!E10=1,L47-1,0),0)</f>
        <v>1</v>
      </c>
      <c r="E53">
        <f t="shared" si="3"/>
        <v>293.65</v>
      </c>
      <c r="F53">
        <f>IF(D46="Electric heating",IF(DE_Base_Profile!E10=1,B53*L47,0),IF(D46="Heat pump (heating &amp; cooling)",IF(DE_Base_Profile!D10=1,B53*J47,0)+IF(DE_Base_Profile!E10=1,B53*L47,0),0))</f>
        <v>0</v>
      </c>
      <c r="G53">
        <f>IF(SUM($F$49:$F$60)=0,0,D47*F53/SUM($F$49:$F$60))</f>
        <v>0</v>
      </c>
      <c r="H53">
        <f>F47/12</f>
        <v>0</v>
      </c>
      <c r="I53">
        <f>E53/SUM($E$49:$E$60)*L46+G53+H53</f>
        <v>293.65</v>
      </c>
      <c r="J53">
        <f>I53/H47</f>
        <v>0.0839</v>
      </c>
    </row>
    <row r="54" spans="1:10">
      <c r="A54" t="str">
        <f>DE_Base_Profile!A11</f>
        <v>6月</v>
      </c>
      <c r="B54">
        <f>DE_Base_Profile!B11</f>
        <v>0.0876</v>
      </c>
      <c r="C54">
        <f>L46*B54</f>
        <v>306.6</v>
      </c>
      <c r="D54">
        <f>1+IF(OR(D46="Air conditioning",D46="Heat pump (heating &amp; cooling)"),IF(DE_Base_Profile!D11=1,J47-1,0),0)+IF(OR(D46="Electric heating",D46="Heat pump (heating &amp; cooling)"),IF(DE_Base_Profile!E11=1,L47-1,0),0)</f>
        <v>1</v>
      </c>
      <c r="E54">
        <f t="shared" si="3"/>
        <v>306.6</v>
      </c>
      <c r="F54">
        <f>IF(D46="Electric heating",IF(DE_Base_Profile!E11=1,B54*L47,0),IF(D46="Heat pump (heating &amp; cooling)",IF(DE_Base_Profile!D11=1,B54*J47,0)+IF(DE_Base_Profile!E11=1,B54*L47,0),0))</f>
        <v>0</v>
      </c>
      <c r="G54">
        <f>IF(SUM($F$49:$F$60)=0,0,D47*F54/SUM($F$49:$F$60))</f>
        <v>0</v>
      </c>
      <c r="H54">
        <f>F47/12</f>
        <v>0</v>
      </c>
      <c r="I54">
        <f>E54/SUM($E$49:$E$60)*L46+G54+H54</f>
        <v>306.6</v>
      </c>
      <c r="J54">
        <f>I54/H47</f>
        <v>0.0876</v>
      </c>
    </row>
    <row r="55" spans="1:10">
      <c r="A55" t="str">
        <f>DE_Base_Profile!A12</f>
        <v>7月</v>
      </c>
      <c r="B55">
        <f>DE_Base_Profile!B12</f>
        <v>0.0917</v>
      </c>
      <c r="C55">
        <f>L46*B55</f>
        <v>320.95</v>
      </c>
      <c r="D55">
        <f>1+IF(OR(D46="Air conditioning",D46="Heat pump (heating &amp; cooling)"),IF(DE_Base_Profile!D12=1,J47-1,0),0)+IF(OR(D46="Electric heating",D46="Heat pump (heating &amp; cooling)"),IF(DE_Base_Profile!E12=1,L47-1,0),0)</f>
        <v>1</v>
      </c>
      <c r="E55">
        <f t="shared" si="3"/>
        <v>320.95</v>
      </c>
      <c r="F55">
        <f>IF(D46="Electric heating",IF(DE_Base_Profile!E12=1,B55*L47,0),IF(D46="Heat pump (heating &amp; cooling)",IF(DE_Base_Profile!D12=1,B55*J47,0)+IF(DE_Base_Profile!E12=1,B55*L47,0),0))</f>
        <v>0</v>
      </c>
      <c r="G55">
        <f>IF(SUM($F$49:$F$60)=0,0,D47*F55/SUM($F$49:$F$60))</f>
        <v>0</v>
      </c>
      <c r="H55">
        <f>F47/12</f>
        <v>0</v>
      </c>
      <c r="I55">
        <f>E55/SUM($E$49:$E$60)*L46+G55+H55</f>
        <v>320.95</v>
      </c>
      <c r="J55">
        <f>I55/H47</f>
        <v>0.0917</v>
      </c>
    </row>
    <row r="56" spans="1:10">
      <c r="A56" t="str">
        <f>DE_Base_Profile!A13</f>
        <v>8月</v>
      </c>
      <c r="B56">
        <f>DE_Base_Profile!B13</f>
        <v>0.0887</v>
      </c>
      <c r="C56">
        <f>L46*B56</f>
        <v>310.45</v>
      </c>
      <c r="D56">
        <f>1+IF(OR(D46="Air conditioning",D46="Heat pump (heating &amp; cooling)"),IF(DE_Base_Profile!D13=1,J47-1,0),0)+IF(OR(D46="Electric heating",D46="Heat pump (heating &amp; cooling)"),IF(DE_Base_Profile!E13=1,L47-1,0),0)</f>
        <v>1</v>
      </c>
      <c r="E56">
        <f t="shared" si="3"/>
        <v>310.45</v>
      </c>
      <c r="F56">
        <f>IF(D46="Electric heating",IF(DE_Base_Profile!E13=1,B56*L47,0),IF(D46="Heat pump (heating &amp; cooling)",IF(DE_Base_Profile!D13=1,B56*J47,0)+IF(DE_Base_Profile!E13=1,B56*L47,0),0))</f>
        <v>0</v>
      </c>
      <c r="G56">
        <f>IF(SUM($F$49:$F$60)=0,0,D47*F56/SUM($F$49:$F$60))</f>
        <v>0</v>
      </c>
      <c r="H56">
        <f>F47/12</f>
        <v>0</v>
      </c>
      <c r="I56">
        <f>E56/SUM($E$49:$E$60)*L46+G56+H56</f>
        <v>310.45</v>
      </c>
      <c r="J56">
        <f>I56/H47</f>
        <v>0.0887</v>
      </c>
    </row>
    <row r="57" spans="1:10">
      <c r="A57" t="str">
        <f>DE_Base_Profile!A14</f>
        <v>9月</v>
      </c>
      <c r="B57">
        <f>DE_Base_Profile!B14</f>
        <v>0.0853</v>
      </c>
      <c r="C57">
        <f>L46*B57</f>
        <v>298.55</v>
      </c>
      <c r="D57">
        <f>1+IF(OR(D46="Air conditioning",D46="Heat pump (heating &amp; cooling)"),IF(DE_Base_Profile!D14=1,J47-1,0),0)+IF(OR(D46="Electric heating",D46="Heat pump (heating &amp; cooling)"),IF(DE_Base_Profile!E14=1,L47-1,0),0)</f>
        <v>1</v>
      </c>
      <c r="E57">
        <f t="shared" si="3"/>
        <v>298.55</v>
      </c>
      <c r="F57">
        <f>IF(D46="Electric heating",IF(DE_Base_Profile!E14=1,B57*L47,0),IF(D46="Heat pump (heating &amp; cooling)",IF(DE_Base_Profile!D14=1,B57*J47,0)+IF(DE_Base_Profile!E14=1,B57*L47,0),0))</f>
        <v>0</v>
      </c>
      <c r="G57">
        <f>IF(SUM($F$49:$F$60)=0,0,D47*F57/SUM($F$49:$F$60))</f>
        <v>0</v>
      </c>
      <c r="H57">
        <f>F47/12</f>
        <v>0</v>
      </c>
      <c r="I57">
        <f>E57/SUM($E$49:$E$60)*L46+G57+H57</f>
        <v>298.55</v>
      </c>
      <c r="J57">
        <f>I57/H47</f>
        <v>0.0853</v>
      </c>
    </row>
    <row r="58" spans="1:10">
      <c r="A58" t="str">
        <f>DE_Base_Profile!A15</f>
        <v>10月</v>
      </c>
      <c r="B58">
        <f>DE_Base_Profile!B15</f>
        <v>0.0838</v>
      </c>
      <c r="C58">
        <f>L46*B58</f>
        <v>293.3</v>
      </c>
      <c r="D58">
        <f>1+IF(OR(D46="Air conditioning",D46="Heat pump (heating &amp; cooling)"),IF(DE_Base_Profile!D15=1,J47-1,0),0)+IF(OR(D46="Electric heating",D46="Heat pump (heating &amp; cooling)"),IF(DE_Base_Profile!E15=1,L47-1,0),0)</f>
        <v>1</v>
      </c>
      <c r="E58">
        <f t="shared" si="3"/>
        <v>293.3</v>
      </c>
      <c r="F58">
        <f>IF(D46="Electric heating",IF(DE_Base_Profile!E15=1,B58*L47,0),IF(D46="Heat pump (heating &amp; cooling)",IF(DE_Base_Profile!D15=1,B58*J47,0)+IF(DE_Base_Profile!E15=1,B58*L47,0),0))</f>
        <v>0</v>
      </c>
      <c r="G58">
        <f>IF(SUM($F$49:$F$60)=0,0,D47*F58/SUM($F$49:$F$60))</f>
        <v>0</v>
      </c>
      <c r="H58">
        <f>F47/12</f>
        <v>0</v>
      </c>
      <c r="I58">
        <f>E58/SUM($E$49:$E$60)*L46+G58+H58</f>
        <v>293.3</v>
      </c>
      <c r="J58">
        <f>I58/H47</f>
        <v>0.0838</v>
      </c>
    </row>
    <row r="59" spans="1:10">
      <c r="A59" t="str">
        <f>DE_Base_Profile!A16</f>
        <v>11月</v>
      </c>
      <c r="B59">
        <f>DE_Base_Profile!B16</f>
        <v>0.0819</v>
      </c>
      <c r="C59">
        <f>L46*B59</f>
        <v>286.65</v>
      </c>
      <c r="D59">
        <f>1+IF(OR(D46="Air conditioning",D46="Heat pump (heating &amp; cooling)"),IF(DE_Base_Profile!D16=1,J47-1,0),0)+IF(OR(D46="Electric heating",D46="Heat pump (heating &amp; cooling)"),IF(DE_Base_Profile!E16=1,L47-1,0),0)</f>
        <v>1</v>
      </c>
      <c r="E59">
        <f t="shared" si="3"/>
        <v>286.65</v>
      </c>
      <c r="F59">
        <f>IF(D46="Electric heating",IF(DE_Base_Profile!E16=1,B59*L47,0),IF(D46="Heat pump (heating &amp; cooling)",IF(DE_Base_Profile!D16=1,B59*J47,0)+IF(DE_Base_Profile!E16=1,B59*L47,0),0))</f>
        <v>0</v>
      </c>
      <c r="G59">
        <f>IF(SUM($F$49:$F$60)=0,0,D47*F59/SUM($F$49:$F$60))</f>
        <v>0</v>
      </c>
      <c r="H59">
        <f>F47/12</f>
        <v>0</v>
      </c>
      <c r="I59">
        <f>E59/SUM($E$49:$E$60)*L46+G59+H59</f>
        <v>286.65</v>
      </c>
      <c r="J59">
        <f>I59/H47</f>
        <v>0.0819</v>
      </c>
    </row>
    <row r="60" spans="1:10">
      <c r="A60" t="str">
        <f>DE_Base_Profile!A17</f>
        <v>12月</v>
      </c>
      <c r="B60">
        <f>DE_Base_Profile!B17</f>
        <v>0.0796</v>
      </c>
      <c r="C60">
        <f>L46*B60</f>
        <v>278.6</v>
      </c>
      <c r="D60">
        <f>1+IF(OR(D46="Air conditioning",D46="Heat pump (heating &amp; cooling)"),IF(DE_Base_Profile!D17=1,J47-1,0),0)+IF(OR(D46="Electric heating",D46="Heat pump (heating &amp; cooling)"),IF(DE_Base_Profile!E17=1,L47-1,0),0)</f>
        <v>1</v>
      </c>
      <c r="E60">
        <f t="shared" si="3"/>
        <v>278.6</v>
      </c>
      <c r="F60">
        <f>IF(D46="Electric heating",IF(DE_Base_Profile!E17=1,B60*L47,0),IF(D46="Heat pump (heating &amp; cooling)",IF(DE_Base_Profile!D17=1,B60*J47,0)+IF(DE_Base_Profile!E17=1,B60*L47,0),0))</f>
        <v>0</v>
      </c>
      <c r="G60">
        <f>IF(SUM($F$49:$F$60)=0,0,D47*F60/SUM($F$49:$F$60))</f>
        <v>0</v>
      </c>
      <c r="H60">
        <f>F47/12</f>
        <v>0</v>
      </c>
      <c r="I60">
        <f>E60/SUM($E$49:$E$60)*L46+G60+H60</f>
        <v>278.6</v>
      </c>
      <c r="J60">
        <f>I60/H47</f>
        <v>0.0796</v>
      </c>
    </row>
    <row r="63" spans="1:10">
      <c r="A63">
        <f>DE_Base_Profile!H6</f>
        <v>0</v>
      </c>
      <c r="B63">
        <f>DE_Base_Profile!I6</f>
        <v>0.0301</v>
      </c>
      <c r="C63">
        <f>IF(DE_Base_Profile!J6=1,INDEX(DE_Lookups!$B$2:$B$4,MATCH(B46,DE_Lookups!$A$2:$A$4,0)),1)</f>
        <v>1</v>
      </c>
      <c r="D63">
        <f>IF(OR(D46="Air conditioning",D46="Heat pump (heating &amp; cooling)"),IF(DE_Base_Profile!K6=1,N47,1),1)*IF(OR(D46="Electric heating",D46="Heat pump (heating &amp; cooling)"),IF(DE_Base_Profile!L6=1,P47,1),1)</f>
        <v>1</v>
      </c>
      <c r="E63">
        <f t="shared" ref="E63:E86" si="4">B63*C63*D63</f>
        <v>0.0301</v>
      </c>
      <c r="F63">
        <f t="shared" ref="F63:F86" si="5">E63/SUM($E$63:$E$86)</f>
        <v>0.0256344745358542</v>
      </c>
      <c r="G63">
        <f>((L46+D47)/365)*F63</f>
        <v>0.245810029795862</v>
      </c>
      <c r="H63">
        <f>INDEX(DE_Base_Profile!$N$6:$Q$29,ROW()-62,MATCH(J46,DE_Base_Profile!$N$5:$Q$5,0))</f>
        <v>0.125</v>
      </c>
      <c r="I63">
        <f>(F47/365)*H63</f>
        <v>0</v>
      </c>
      <c r="J63">
        <f>(G63+I63)/(H47/365)</f>
        <v>0.0256344745358542</v>
      </c>
    </row>
    <row r="64" spans="1:10">
      <c r="A64">
        <f>DE_Base_Profile!H7</f>
        <v>1</v>
      </c>
      <c r="B64">
        <f>DE_Base_Profile!I7</f>
        <v>0.0258</v>
      </c>
      <c r="C64">
        <f>IF(DE_Base_Profile!J7=1,INDEX(DE_Lookups!$B$2:$B$4,MATCH(B46,DE_Lookups!$A$2:$A$4,0)),1)</f>
        <v>1</v>
      </c>
      <c r="D64">
        <f>IF(OR(D46="Air conditioning",D46="Heat pump (heating &amp; cooling)"),IF(DE_Base_Profile!K7=1,N47,1),1)*IF(OR(D46="Electric heating",D46="Heat pump (heating &amp; cooling)"),IF(DE_Base_Profile!L7=1,P47,1),1)</f>
        <v>1</v>
      </c>
      <c r="E64">
        <f t="shared" si="4"/>
        <v>0.0258</v>
      </c>
      <c r="F64">
        <f t="shared" si="5"/>
        <v>0.0219724067450179</v>
      </c>
      <c r="G64">
        <f>((L46+D47)/365)*F64</f>
        <v>0.210694311253596</v>
      </c>
      <c r="H64">
        <f>INDEX(DE_Base_Profile!$N$6:$Q$29,ROW()-62,MATCH(J46,DE_Base_Profile!$N$5:$Q$5,0))</f>
        <v>0.125</v>
      </c>
      <c r="I64">
        <f>(F47/365)*H64</f>
        <v>0</v>
      </c>
      <c r="J64">
        <f>(G64+I64)/(H47/365)</f>
        <v>0.0219724067450179</v>
      </c>
    </row>
    <row r="65" spans="1:10">
      <c r="A65">
        <f>DE_Base_Profile!H8</f>
        <v>2</v>
      </c>
      <c r="B65">
        <f>DE_Base_Profile!I8</f>
        <v>0.0239</v>
      </c>
      <c r="C65">
        <f>IF(DE_Base_Profile!J8=1,INDEX(DE_Lookups!$B$2:$B$4,MATCH(B46,DE_Lookups!$A$2:$A$4,0)),1)</f>
        <v>1</v>
      </c>
      <c r="D65">
        <f>IF(OR(D46="Air conditioning",D46="Heat pump (heating &amp; cooling)"),IF(DE_Base_Profile!K8=1,N47,1),1)*IF(OR(D46="Electric heating",D46="Heat pump (heating &amp; cooling)"),IF(DE_Base_Profile!L8=1,P47,1),1)</f>
        <v>1</v>
      </c>
      <c r="E65">
        <f t="shared" si="4"/>
        <v>0.0239</v>
      </c>
      <c r="F65">
        <f t="shared" si="5"/>
        <v>0.0203542837676716</v>
      </c>
      <c r="G65">
        <f>((L46+D47)/365)*F65</f>
        <v>0.195178063525618</v>
      </c>
      <c r="H65">
        <f>INDEX(DE_Base_Profile!$N$6:$Q$29,ROW()-62,MATCH(J46,DE_Base_Profile!$N$5:$Q$5,0))</f>
        <v>0.125</v>
      </c>
      <c r="I65">
        <f>(F47/365)*H65</f>
        <v>0</v>
      </c>
      <c r="J65">
        <f>(G65+I65)/(H47/365)</f>
        <v>0.0203542837676716</v>
      </c>
    </row>
    <row r="66" spans="1:10">
      <c r="A66">
        <f>DE_Base_Profile!H9</f>
        <v>3</v>
      </c>
      <c r="B66">
        <f>DE_Base_Profile!I9</f>
        <v>0.0232</v>
      </c>
      <c r="C66">
        <f>IF(DE_Base_Profile!J9=1,INDEX(DE_Lookups!$B$2:$B$4,MATCH(B46,DE_Lookups!$A$2:$A$4,0)),1)</f>
        <v>1</v>
      </c>
      <c r="D66">
        <f>IF(OR(D46="Air conditioning",D46="Heat pump (heating &amp; cooling)"),IF(DE_Base_Profile!K9=1,N47,1),1)*IF(OR(D46="Electric heating",D46="Heat pump (heating &amp; cooling)"),IF(DE_Base_Profile!L9=1,P47,1),1)</f>
        <v>1</v>
      </c>
      <c r="E66">
        <f t="shared" si="4"/>
        <v>0.0232</v>
      </c>
      <c r="F66">
        <f t="shared" si="5"/>
        <v>0.0197581331970704</v>
      </c>
      <c r="G66">
        <f>((L46+D47)/365)*F66</f>
        <v>0.189461551204784</v>
      </c>
      <c r="H66">
        <f>INDEX(DE_Base_Profile!$N$6:$Q$29,ROW()-62,MATCH(J46,DE_Base_Profile!$N$5:$Q$5,0))</f>
        <v>0.125</v>
      </c>
      <c r="I66">
        <f>(F47/365)*H66</f>
        <v>0</v>
      </c>
      <c r="J66">
        <f>(G66+I66)/(H47/365)</f>
        <v>0.0197581331970704</v>
      </c>
    </row>
    <row r="67" spans="1:10">
      <c r="A67">
        <f>DE_Base_Profile!H10</f>
        <v>4</v>
      </c>
      <c r="B67">
        <f>DE_Base_Profile!I10</f>
        <v>0.0236</v>
      </c>
      <c r="C67">
        <f>IF(DE_Base_Profile!J10=1,INDEX(DE_Lookups!$B$2:$B$4,MATCH(B46,DE_Lookups!$A$2:$A$4,0)),1)</f>
        <v>1</v>
      </c>
      <c r="D67">
        <f>IF(OR(D46="Air conditioning",D46="Heat pump (heating &amp; cooling)"),IF(DE_Base_Profile!K10=1,N47,1),1)*IF(OR(D46="Electric heating",D46="Heat pump (heating &amp; cooling)"),IF(DE_Base_Profile!L10=1,P47,1),1)</f>
        <v>1</v>
      </c>
      <c r="E67">
        <f t="shared" si="4"/>
        <v>0.0236</v>
      </c>
      <c r="F67">
        <f t="shared" si="5"/>
        <v>0.0200987906659854</v>
      </c>
      <c r="G67">
        <f>((L46+D47)/365)*F67</f>
        <v>0.192728129673832</v>
      </c>
      <c r="H67">
        <f>INDEX(DE_Base_Profile!$N$6:$Q$29,ROW()-62,MATCH(J46,DE_Base_Profile!$N$5:$Q$5,0))</f>
        <v>0.125</v>
      </c>
      <c r="I67">
        <f>(F47/365)*H67</f>
        <v>0</v>
      </c>
      <c r="J67">
        <f>(G67+I67)/(H47/365)</f>
        <v>0.0200987906659854</v>
      </c>
    </row>
    <row r="68" spans="1:10">
      <c r="A68">
        <f>DE_Base_Profile!H11</f>
        <v>5</v>
      </c>
      <c r="B68">
        <f>DE_Base_Profile!I11</f>
        <v>0.0252</v>
      </c>
      <c r="C68">
        <f>IF(DE_Base_Profile!J11=1,INDEX(DE_Lookups!$B$2:$B$4,MATCH(B46,DE_Lookups!$A$2:$A$4,0)),1)</f>
        <v>1</v>
      </c>
      <c r="D68">
        <f>IF(OR(D46="Air conditioning",D46="Heat pump (heating &amp; cooling)"),IF(DE_Base_Profile!K11=1,N47,1),1)*IF(OR(D46="Electric heating",D46="Heat pump (heating &amp; cooling)"),IF(DE_Base_Profile!L11=1,P47,1),1)</f>
        <v>1</v>
      </c>
      <c r="E68">
        <f t="shared" si="4"/>
        <v>0.0252</v>
      </c>
      <c r="F68">
        <f t="shared" si="5"/>
        <v>0.0214614205416454</v>
      </c>
      <c r="G68">
        <f>((L46+D47)/365)*F68</f>
        <v>0.205794443550024</v>
      </c>
      <c r="H68">
        <f>INDEX(DE_Base_Profile!$N$6:$Q$29,ROW()-62,MATCH(J46,DE_Base_Profile!$N$5:$Q$5,0))</f>
        <v>0.125</v>
      </c>
      <c r="I68">
        <f>(F47/365)*H68</f>
        <v>0</v>
      </c>
      <c r="J68">
        <f>(G68+I68)/(H47/365)</f>
        <v>0.0214614205416454</v>
      </c>
    </row>
    <row r="69" spans="1:10">
      <c r="A69">
        <f>DE_Base_Profile!H12</f>
        <v>6</v>
      </c>
      <c r="B69">
        <f>DE_Base_Profile!I12</f>
        <v>0.03</v>
      </c>
      <c r="C69">
        <f>IF(DE_Base_Profile!J12=1,INDEX(DE_Lookups!$B$2:$B$4,MATCH(B46,DE_Lookups!$A$2:$A$4,0)),1)</f>
        <v>1</v>
      </c>
      <c r="D69">
        <f>IF(OR(D46="Air conditioning",D46="Heat pump (heating &amp; cooling)"),IF(DE_Base_Profile!K12=1,N47,1),1)*IF(OR(D46="Electric heating",D46="Heat pump (heating &amp; cooling)"),IF(DE_Base_Profile!L12=1,P47,1),1)</f>
        <v>1</v>
      </c>
      <c r="E69">
        <f t="shared" si="4"/>
        <v>0.03</v>
      </c>
      <c r="F69">
        <f t="shared" si="5"/>
        <v>0.0255493101686255</v>
      </c>
      <c r="G69">
        <f>((L46+D47)/365)*F69</f>
        <v>0.2449933851786</v>
      </c>
      <c r="H69">
        <f>INDEX(DE_Base_Profile!$N$6:$Q$29,ROW()-62,MATCH(J46,DE_Base_Profile!$N$5:$Q$5,0))</f>
        <v>0</v>
      </c>
      <c r="I69">
        <f>(F47/365)*H69</f>
        <v>0</v>
      </c>
      <c r="J69">
        <f>(G69+I69)/(H47/365)</f>
        <v>0.0255493101686255</v>
      </c>
    </row>
    <row r="70" spans="1:10">
      <c r="A70">
        <f>DE_Base_Profile!H13</f>
        <v>7</v>
      </c>
      <c r="B70">
        <f>DE_Base_Profile!I13</f>
        <v>0.0358</v>
      </c>
      <c r="C70">
        <f>IF(DE_Base_Profile!J13=1,INDEX(DE_Lookups!$B$2:$B$4,MATCH(B46,DE_Lookups!$A$2:$A$4,0)),1)</f>
        <v>1</v>
      </c>
      <c r="D70">
        <f>IF(OR(D46="Air conditioning",D46="Heat pump (heating &amp; cooling)"),IF(DE_Base_Profile!K13=1,N47,1),1)*IF(OR(D46="Electric heating",D46="Heat pump (heating &amp; cooling)"),IF(DE_Base_Profile!L13=1,P47,1),1)</f>
        <v>1</v>
      </c>
      <c r="E70">
        <f t="shared" si="4"/>
        <v>0.0358</v>
      </c>
      <c r="F70">
        <f t="shared" si="5"/>
        <v>0.030488843467893</v>
      </c>
      <c r="G70">
        <f>((L46+D47)/365)*F70</f>
        <v>0.292358772979796</v>
      </c>
      <c r="H70">
        <f>INDEX(DE_Base_Profile!$N$6:$Q$29,ROW()-62,MATCH(J46,DE_Base_Profile!$N$5:$Q$5,0))</f>
        <v>0</v>
      </c>
      <c r="I70">
        <f>(F47/365)*H70</f>
        <v>0</v>
      </c>
      <c r="J70">
        <f>(G70+I70)/(H47/365)</f>
        <v>0.030488843467893</v>
      </c>
    </row>
    <row r="71" spans="1:10">
      <c r="A71">
        <f>DE_Base_Profile!H14</f>
        <v>8</v>
      </c>
      <c r="B71">
        <f>DE_Base_Profile!I14</f>
        <v>0.041</v>
      </c>
      <c r="C71">
        <f>IF(DE_Base_Profile!J14=1,INDEX(DE_Lookups!$B$2:$B$4,MATCH(B46,DE_Lookups!$A$2:$A$4,0)),1)</f>
        <v>1</v>
      </c>
      <c r="D71">
        <f>IF(OR(D46="Air conditioning",D46="Heat pump (heating &amp; cooling)"),IF(DE_Base_Profile!K14=1,N47,1),1)*IF(OR(D46="Electric heating",D46="Heat pump (heating &amp; cooling)"),IF(DE_Base_Profile!L14=1,P47,1),1)</f>
        <v>1</v>
      </c>
      <c r="E71">
        <f t="shared" si="4"/>
        <v>0.041</v>
      </c>
      <c r="F71">
        <f t="shared" si="5"/>
        <v>0.0349173905637881</v>
      </c>
      <c r="G71">
        <f>((L46+D47)/365)*F71</f>
        <v>0.33482429307742</v>
      </c>
      <c r="H71">
        <f>INDEX(DE_Base_Profile!$N$6:$Q$29,ROW()-62,MATCH(J46,DE_Base_Profile!$N$5:$Q$5,0))</f>
        <v>0</v>
      </c>
      <c r="I71">
        <f>(F47/365)*H71</f>
        <v>0</v>
      </c>
      <c r="J71">
        <f>(G71+I71)/(H47/365)</f>
        <v>0.0349173905637881</v>
      </c>
    </row>
    <row r="72" spans="1:10">
      <c r="A72">
        <f>DE_Base_Profile!H15</f>
        <v>9</v>
      </c>
      <c r="B72">
        <f>DE_Base_Profile!I15</f>
        <v>0.0446</v>
      </c>
      <c r="C72">
        <f>IF(DE_Base_Profile!J15=1,INDEX(DE_Lookups!$B$2:$B$4,MATCH(B46,DE_Lookups!$A$2:$A$4,0)),1)</f>
        <v>1.4</v>
      </c>
      <c r="D72">
        <f>IF(OR(D46="Air conditioning",D46="Heat pump (heating &amp; cooling)"),IF(DE_Base_Profile!K15=1,N47,1),1)*IF(OR(D46="Electric heating",D46="Heat pump (heating &amp; cooling)"),IF(DE_Base_Profile!L15=1,P47,1),1)</f>
        <v>1</v>
      </c>
      <c r="E72">
        <f t="shared" si="4"/>
        <v>0.06244</v>
      </c>
      <c r="F72">
        <f t="shared" si="5"/>
        <v>0.0531766308976324</v>
      </c>
      <c r="G72">
        <f>((L46+D47)/365)*F72</f>
        <v>0.509912899018393</v>
      </c>
      <c r="H72">
        <f>INDEX(DE_Base_Profile!$N$6:$Q$29,ROW()-62,MATCH(J46,DE_Base_Profile!$N$5:$Q$5,0))</f>
        <v>0</v>
      </c>
      <c r="I72">
        <f>(F47/365)*H72</f>
        <v>0</v>
      </c>
      <c r="J72">
        <f>(G72+I72)/(H47/365)</f>
        <v>0.0531766308976324</v>
      </c>
    </row>
    <row r="73" spans="1:10">
      <c r="A73">
        <f>DE_Base_Profile!H16</f>
        <v>10</v>
      </c>
      <c r="B73">
        <f>DE_Base_Profile!I16</f>
        <v>0.0474</v>
      </c>
      <c r="C73">
        <f>IF(DE_Base_Profile!J16=1,INDEX(DE_Lookups!$B$2:$B$4,MATCH(B46,DE_Lookups!$A$2:$A$4,0)),1)</f>
        <v>1.4</v>
      </c>
      <c r="D73">
        <f>IF(OR(D46="Air conditioning",D46="Heat pump (heating &amp; cooling)"),IF(DE_Base_Profile!K16=1,N47,1),1)*IF(OR(D46="Electric heating",D46="Heat pump (heating &amp; cooling)"),IF(DE_Base_Profile!L16=1,P47,1),1)</f>
        <v>1</v>
      </c>
      <c r="E73">
        <f t="shared" si="4"/>
        <v>0.06636</v>
      </c>
      <c r="F73">
        <f t="shared" si="5"/>
        <v>0.0565150740929995</v>
      </c>
      <c r="G73">
        <f>((L46+D47)/365)*F73</f>
        <v>0.541925368015064</v>
      </c>
      <c r="H73">
        <f>INDEX(DE_Base_Profile!$N$6:$Q$29,ROW()-62,MATCH(J46,DE_Base_Profile!$N$5:$Q$5,0))</f>
        <v>0</v>
      </c>
      <c r="I73">
        <f>(F47/365)*H73</f>
        <v>0</v>
      </c>
      <c r="J73">
        <f>(G73+I73)/(H47/365)</f>
        <v>0.0565150740929995</v>
      </c>
    </row>
    <row r="74" spans="1:10">
      <c r="A74">
        <f>DE_Base_Profile!H17</f>
        <v>11</v>
      </c>
      <c r="B74">
        <f>DE_Base_Profile!I17</f>
        <v>0.0518</v>
      </c>
      <c r="C74">
        <f>IF(DE_Base_Profile!J17=1,INDEX(DE_Lookups!$B$2:$B$4,MATCH(B46,DE_Lookups!$A$2:$A$4,0)),1)</f>
        <v>1.4</v>
      </c>
      <c r="D74">
        <f>IF(OR(D46="Air conditioning",D46="Heat pump (heating &amp; cooling)"),IF(DE_Base_Profile!K17=1,N47,1),1)*IF(OR(D46="Electric heating",D46="Heat pump (heating &amp; cooling)"),IF(DE_Base_Profile!L17=1,P47,1),1)</f>
        <v>1</v>
      </c>
      <c r="E74">
        <f t="shared" si="4"/>
        <v>0.07252</v>
      </c>
      <c r="F74">
        <f t="shared" si="5"/>
        <v>0.0617611991142906</v>
      </c>
      <c r="G74">
        <f>((L46+D47)/365)*F74</f>
        <v>0.592230676438403</v>
      </c>
      <c r="H74">
        <f>INDEX(DE_Base_Profile!$N$6:$Q$29,ROW()-62,MATCH(J46,DE_Base_Profile!$N$5:$Q$5,0))</f>
        <v>0</v>
      </c>
      <c r="I74">
        <f>(F47/365)*H74</f>
        <v>0</v>
      </c>
      <c r="J74">
        <f>(G74+I74)/(H47/365)</f>
        <v>0.0617611991142906</v>
      </c>
    </row>
    <row r="75" spans="1:10">
      <c r="A75">
        <f>DE_Base_Profile!H18</f>
        <v>12</v>
      </c>
      <c r="B75">
        <f>DE_Base_Profile!I18</f>
        <v>0.0513</v>
      </c>
      <c r="C75">
        <f>IF(DE_Base_Profile!J18=1,INDEX(DE_Lookups!$B$2:$B$4,MATCH(B46,DE_Lookups!$A$2:$A$4,0)),1)</f>
        <v>1.4</v>
      </c>
      <c r="D75">
        <f>IF(OR(D46="Air conditioning",D46="Heat pump (heating &amp; cooling)"),IF(DE_Base_Profile!K18=1,N47,1),1)*IF(OR(D46="Electric heating",D46="Heat pump (heating &amp; cooling)"),IF(DE_Base_Profile!L18=1,P47,1),1)</f>
        <v>1</v>
      </c>
      <c r="E75">
        <f t="shared" si="4"/>
        <v>0.07182</v>
      </c>
      <c r="F75">
        <f t="shared" si="5"/>
        <v>0.0611650485436893</v>
      </c>
      <c r="G75">
        <f>((L46+D47)/365)*F75</f>
        <v>0.586514164117569</v>
      </c>
      <c r="H75">
        <f>INDEX(DE_Base_Profile!$N$6:$Q$29,ROW()-62,MATCH(J46,DE_Base_Profile!$N$5:$Q$5,0))</f>
        <v>0</v>
      </c>
      <c r="I75">
        <f>(F47/365)*H75</f>
        <v>0</v>
      </c>
      <c r="J75">
        <f>(G75+I75)/(H47/365)</f>
        <v>0.0611650485436893</v>
      </c>
    </row>
    <row r="76" spans="1:10">
      <c r="A76">
        <f>DE_Base_Profile!H19</f>
        <v>13</v>
      </c>
      <c r="B76">
        <f>DE_Base_Profile!I19</f>
        <v>0.0481</v>
      </c>
      <c r="C76">
        <f>IF(DE_Base_Profile!J19=1,INDEX(DE_Lookups!$B$2:$B$4,MATCH(B46,DE_Lookups!$A$2:$A$4,0)),1)</f>
        <v>1.4</v>
      </c>
      <c r="D76">
        <f>IF(OR(D46="Air conditioning",D46="Heat pump (heating &amp; cooling)"),IF(DE_Base_Profile!K19=1,N47,1),1)*IF(OR(D46="Electric heating",D46="Heat pump (heating &amp; cooling)"),IF(DE_Base_Profile!L19=1,P47,1),1)</f>
        <v>1</v>
      </c>
      <c r="E76">
        <f t="shared" si="4"/>
        <v>0.06734</v>
      </c>
      <c r="F76">
        <f t="shared" si="5"/>
        <v>0.0573496848918413</v>
      </c>
      <c r="G76">
        <f>((L46+D47)/365)*F76</f>
        <v>0.549928485264231</v>
      </c>
      <c r="H76">
        <f>INDEX(DE_Base_Profile!$N$6:$Q$29,ROW()-62,MATCH(J46,DE_Base_Profile!$N$5:$Q$5,0))</f>
        <v>0</v>
      </c>
      <c r="I76">
        <f>(F47/365)*H76</f>
        <v>0</v>
      </c>
      <c r="J76">
        <f>(G76+I76)/(H47/365)</f>
        <v>0.0573496848918413</v>
      </c>
    </row>
    <row r="77" spans="1:10">
      <c r="A77">
        <f>DE_Base_Profile!H20</f>
        <v>14</v>
      </c>
      <c r="B77">
        <f>DE_Base_Profile!I20</f>
        <v>0.0459</v>
      </c>
      <c r="C77">
        <f>IF(DE_Base_Profile!J20=1,INDEX(DE_Lookups!$B$2:$B$4,MATCH(B46,DE_Lookups!$A$2:$A$4,0)),1)</f>
        <v>1.4</v>
      </c>
      <c r="D77">
        <f>IF(OR(D46="Air conditioning",D46="Heat pump (heating &amp; cooling)"),IF(DE_Base_Profile!K20=1,N47,1),1)*IF(OR(D46="Electric heating",D46="Heat pump (heating &amp; cooling)"),IF(DE_Base_Profile!L20=1,P47,1),1)</f>
        <v>1</v>
      </c>
      <c r="E77">
        <f t="shared" si="4"/>
        <v>0.06426</v>
      </c>
      <c r="F77">
        <f t="shared" si="5"/>
        <v>0.0547266223811957</v>
      </c>
      <c r="G77">
        <f>((L46+D47)/365)*F77</f>
        <v>0.524775831052562</v>
      </c>
      <c r="H77">
        <f>INDEX(DE_Base_Profile!$N$6:$Q$29,ROW()-62,MATCH(J46,DE_Base_Profile!$N$5:$Q$5,0))</f>
        <v>0</v>
      </c>
      <c r="I77">
        <f>(F47/365)*H77</f>
        <v>0</v>
      </c>
      <c r="J77">
        <f>(G77+I77)/(H47/365)</f>
        <v>0.0547266223811957</v>
      </c>
    </row>
    <row r="78" spans="1:10">
      <c r="A78">
        <f>DE_Base_Profile!H21</f>
        <v>15</v>
      </c>
      <c r="B78">
        <f>DE_Base_Profile!I21</f>
        <v>0.0454</v>
      </c>
      <c r="C78">
        <f>IF(DE_Base_Profile!J21=1,INDEX(DE_Lookups!$B$2:$B$4,MATCH(B46,DE_Lookups!$A$2:$A$4,0)),1)</f>
        <v>1.4</v>
      </c>
      <c r="D78">
        <f>IF(OR(D46="Air conditioning",D46="Heat pump (heating &amp; cooling)"),IF(DE_Base_Profile!K21=1,N47,1),1)*IF(OR(D46="Electric heating",D46="Heat pump (heating &amp; cooling)"),IF(DE_Base_Profile!L21=1,P47,1),1)</f>
        <v>1</v>
      </c>
      <c r="E78">
        <f t="shared" si="4"/>
        <v>0.06356</v>
      </c>
      <c r="F78">
        <f t="shared" si="5"/>
        <v>0.0541304718105945</v>
      </c>
      <c r="G78">
        <f>((L46+D47)/365)*F78</f>
        <v>0.519059318731728</v>
      </c>
      <c r="H78">
        <f>INDEX(DE_Base_Profile!$N$6:$Q$29,ROW()-62,MATCH(J46,DE_Base_Profile!$N$5:$Q$5,0))</f>
        <v>0</v>
      </c>
      <c r="I78">
        <f>(F47/365)*H78</f>
        <v>0</v>
      </c>
      <c r="J78">
        <f>(G78+I78)/(H47/365)</f>
        <v>0.0541304718105945</v>
      </c>
    </row>
    <row r="79" spans="1:10">
      <c r="A79">
        <f>DE_Base_Profile!H22</f>
        <v>16</v>
      </c>
      <c r="B79">
        <f>DE_Base_Profile!I22</f>
        <v>0.0475</v>
      </c>
      <c r="C79">
        <f>IF(DE_Base_Profile!J22=1,INDEX(DE_Lookups!$B$2:$B$4,MATCH(B46,DE_Lookups!$A$2:$A$4,0)),1)</f>
        <v>1.4</v>
      </c>
      <c r="D79">
        <f>IF(OR(D46="Air conditioning",D46="Heat pump (heating &amp; cooling)"),IF(DE_Base_Profile!K22=1,N47,1),1)*IF(OR(D46="Electric heating",D46="Heat pump (heating &amp; cooling)"),IF(DE_Base_Profile!L22=1,P47,1),1)</f>
        <v>1</v>
      </c>
      <c r="E79">
        <f t="shared" si="4"/>
        <v>0.0665</v>
      </c>
      <c r="F79">
        <f t="shared" si="5"/>
        <v>0.0566343042071197</v>
      </c>
      <c r="G79">
        <f>((L46+D47)/365)*F79</f>
        <v>0.54306867047923</v>
      </c>
      <c r="H79">
        <f>INDEX(DE_Base_Profile!$N$6:$Q$29,ROW()-62,MATCH(J46,DE_Base_Profile!$N$5:$Q$5,0))</f>
        <v>0</v>
      </c>
      <c r="I79">
        <f>(F47/365)*H79</f>
        <v>0</v>
      </c>
      <c r="J79">
        <f>(G79+I79)/(H47/365)</f>
        <v>0.0566343042071198</v>
      </c>
    </row>
    <row r="80" spans="1:10">
      <c r="A80">
        <f>DE_Base_Profile!H23</f>
        <v>17</v>
      </c>
      <c r="B80">
        <f>DE_Base_Profile!I23</f>
        <v>0.0535</v>
      </c>
      <c r="C80">
        <f>IF(DE_Base_Profile!J23=1,INDEX(DE_Lookups!$B$2:$B$4,MATCH(B46,DE_Lookups!$A$2:$A$4,0)),1)</f>
        <v>1.4</v>
      </c>
      <c r="D80">
        <f>IF(OR(D46="Air conditioning",D46="Heat pump (heating &amp; cooling)"),IF(DE_Base_Profile!K23=1,N47,1),1)*IF(OR(D46="Electric heating",D46="Heat pump (heating &amp; cooling)"),IF(DE_Base_Profile!L23=1,P47,1),1)</f>
        <v>1</v>
      </c>
      <c r="E80">
        <f t="shared" si="4"/>
        <v>0.0749</v>
      </c>
      <c r="F80">
        <f t="shared" si="5"/>
        <v>0.0637881110543349</v>
      </c>
      <c r="G80">
        <f>((L46+D47)/365)*F80</f>
        <v>0.611666818329239</v>
      </c>
      <c r="H80">
        <f>INDEX(DE_Base_Profile!$N$6:$Q$29,ROW()-62,MATCH(J46,DE_Base_Profile!$N$5:$Q$5,0))</f>
        <v>0</v>
      </c>
      <c r="I80">
        <f>(F47/365)*H80</f>
        <v>0</v>
      </c>
      <c r="J80">
        <f>(G80+I80)/(H47/365)</f>
        <v>0.0637881110543349</v>
      </c>
    </row>
    <row r="81" spans="1:16">
      <c r="A81">
        <f>DE_Base_Profile!H24</f>
        <v>18</v>
      </c>
      <c r="B81">
        <f>DE_Base_Profile!I24</f>
        <v>0.0587</v>
      </c>
      <c r="C81">
        <f>IF(DE_Base_Profile!J24=1,INDEX(DE_Lookups!$B$2:$B$4,MATCH(B46,DE_Lookups!$A$2:$A$4,0)),1)</f>
        <v>1</v>
      </c>
      <c r="D81">
        <f>IF(OR(D46="Air conditioning",D46="Heat pump (heating &amp; cooling)"),IF(DE_Base_Profile!K24=1,N47,1),1)*IF(OR(D46="Electric heating",D46="Heat pump (heating &amp; cooling)"),IF(DE_Base_Profile!L24=1,P47,1),1)</f>
        <v>1</v>
      </c>
      <c r="E81">
        <f t="shared" si="4"/>
        <v>0.0587</v>
      </c>
      <c r="F81">
        <f t="shared" si="5"/>
        <v>0.0499914835632771</v>
      </c>
      <c r="G81">
        <f>((L46+D47)/365)*F81</f>
        <v>0.479370390332794</v>
      </c>
      <c r="H81">
        <f>INDEX(DE_Base_Profile!$N$6:$Q$29,ROW()-62,MATCH(J46,DE_Base_Profile!$N$5:$Q$5,0))</f>
        <v>0</v>
      </c>
      <c r="I81">
        <f>(F47/365)*H81</f>
        <v>0</v>
      </c>
      <c r="J81">
        <f>(G81+I81)/(H47/365)</f>
        <v>0.0499914835632771</v>
      </c>
    </row>
    <row r="82" spans="1:16">
      <c r="A82">
        <f>DE_Base_Profile!H25</f>
        <v>19</v>
      </c>
      <c r="B82">
        <f>DE_Base_Profile!I25</f>
        <v>0.0591</v>
      </c>
      <c r="C82">
        <f>IF(DE_Base_Profile!J25=1,INDEX(DE_Lookups!$B$2:$B$4,MATCH(B46,DE_Lookups!$A$2:$A$4,0)),1)</f>
        <v>1</v>
      </c>
      <c r="D82">
        <f>IF(OR(D46="Air conditioning",D46="Heat pump (heating &amp; cooling)"),IF(DE_Base_Profile!K25=1,N47,1),1)*IF(OR(D46="Electric heating",D46="Heat pump (heating &amp; cooling)"),IF(DE_Base_Profile!L25=1,P47,1),1)</f>
        <v>1</v>
      </c>
      <c r="E82">
        <f t="shared" si="4"/>
        <v>0.0591</v>
      </c>
      <c r="F82">
        <f t="shared" si="5"/>
        <v>0.0503321410321921</v>
      </c>
      <c r="G82">
        <f>((L46+D47)/365)*F82</f>
        <v>0.482636968801842</v>
      </c>
      <c r="H82">
        <f>INDEX(DE_Base_Profile!$N$6:$Q$29,ROW()-62,MATCH(J46,DE_Base_Profile!$N$5:$Q$5,0))</f>
        <v>0</v>
      </c>
      <c r="I82">
        <f>(F47/365)*H82</f>
        <v>0</v>
      </c>
      <c r="J82">
        <f>(G82+I82)/(H47/365)</f>
        <v>0.0503321410321921</v>
      </c>
    </row>
    <row r="83" spans="1:16">
      <c r="A83">
        <f>DE_Base_Profile!H26</f>
        <v>20</v>
      </c>
      <c r="B83">
        <f>DE_Base_Profile!I26</f>
        <v>0.0556</v>
      </c>
      <c r="C83">
        <f>IF(DE_Base_Profile!J26=1,INDEX(DE_Lookups!$B$2:$B$4,MATCH(B46,DE_Lookups!$A$2:$A$4,0)),1)</f>
        <v>1</v>
      </c>
      <c r="D83">
        <f>IF(OR(D46="Air conditioning",D46="Heat pump (heating &amp; cooling)"),IF(DE_Base_Profile!K26=1,N47,1),1)*IF(OR(D46="Electric heating",D46="Heat pump (heating &amp; cooling)"),IF(DE_Base_Profile!L26=1,P47,1),1)</f>
        <v>1</v>
      </c>
      <c r="E83">
        <f t="shared" si="4"/>
        <v>0.0556</v>
      </c>
      <c r="F83">
        <f t="shared" si="5"/>
        <v>0.0473513881791858</v>
      </c>
      <c r="G83">
        <f>((L46+D47)/365)*F83</f>
        <v>0.454054407197672</v>
      </c>
      <c r="H83">
        <f>INDEX(DE_Base_Profile!$N$6:$Q$29,ROW()-62,MATCH(J46,DE_Base_Profile!$N$5:$Q$5,0))</f>
        <v>0</v>
      </c>
      <c r="I83">
        <f>(F47/365)*H83</f>
        <v>0</v>
      </c>
      <c r="J83">
        <f>(G83+I83)/(H47/365)</f>
        <v>0.0473513881791858</v>
      </c>
    </row>
    <row r="84" spans="1:16">
      <c r="A84">
        <f>DE_Base_Profile!H27</f>
        <v>21</v>
      </c>
      <c r="B84">
        <f>DE_Base_Profile!I27</f>
        <v>0.0508</v>
      </c>
      <c r="C84">
        <f>IF(DE_Base_Profile!J27=1,INDEX(DE_Lookups!$B$2:$B$4,MATCH(B46,DE_Lookups!$A$2:$A$4,0)),1)</f>
        <v>1</v>
      </c>
      <c r="D84">
        <f>IF(OR(D46="Air conditioning",D46="Heat pump (heating &amp; cooling)"),IF(DE_Base_Profile!K27=1,N47,1),1)*IF(OR(D46="Electric heating",D46="Heat pump (heating &amp; cooling)"),IF(DE_Base_Profile!L27=1,P47,1),1)</f>
        <v>1</v>
      </c>
      <c r="E84">
        <f t="shared" si="4"/>
        <v>0.0508</v>
      </c>
      <c r="F84">
        <f t="shared" si="5"/>
        <v>0.0432634985522058</v>
      </c>
      <c r="G84">
        <f>((L46+D47)/365)*F84</f>
        <v>0.414855465569096</v>
      </c>
      <c r="H84">
        <f>INDEX(DE_Base_Profile!$N$6:$Q$29,ROW()-62,MATCH(J46,DE_Base_Profile!$N$5:$Q$5,0))</f>
        <v>0</v>
      </c>
      <c r="I84">
        <f>(F47/365)*H84</f>
        <v>0</v>
      </c>
      <c r="J84">
        <f>(G84+I84)/(H47/365)</f>
        <v>0.0432634985522058</v>
      </c>
    </row>
    <row r="85" spans="1:16">
      <c r="A85">
        <f>DE_Base_Profile!H28</f>
        <v>22</v>
      </c>
      <c r="B85">
        <f>DE_Base_Profile!I28</f>
        <v>0.0451</v>
      </c>
      <c r="C85">
        <f>IF(DE_Base_Profile!J28=1,INDEX(DE_Lookups!$B$2:$B$4,MATCH(B46,DE_Lookups!$A$2:$A$4,0)),1)</f>
        <v>1</v>
      </c>
      <c r="D85">
        <f>IF(OR(D46="Air conditioning",D46="Heat pump (heating &amp; cooling)"),IF(DE_Base_Profile!K28=1,N47,1),1)*IF(OR(D46="Electric heating",D46="Heat pump (heating &amp; cooling)"),IF(DE_Base_Profile!L28=1,P47,1),1)</f>
        <v>1</v>
      </c>
      <c r="E85">
        <f t="shared" si="4"/>
        <v>0.0451</v>
      </c>
      <c r="F85">
        <f t="shared" si="5"/>
        <v>0.0384091296201669</v>
      </c>
      <c r="G85">
        <f>((L46+D47)/365)*F85</f>
        <v>0.368306722385162</v>
      </c>
      <c r="H85">
        <f>INDEX(DE_Base_Profile!$N$6:$Q$29,ROW()-62,MATCH(J46,DE_Base_Profile!$N$5:$Q$5,0))</f>
        <v>0.125</v>
      </c>
      <c r="I85">
        <f>(F47/365)*H85</f>
        <v>0</v>
      </c>
      <c r="J85">
        <f>(G85+I85)/(H47/365)</f>
        <v>0.0384091296201669</v>
      </c>
    </row>
    <row r="86" spans="1:16">
      <c r="A86">
        <f>DE_Base_Profile!H29</f>
        <v>23</v>
      </c>
      <c r="B86">
        <f>DE_Base_Profile!I29</f>
        <v>0.0366</v>
      </c>
      <c r="C86">
        <f>IF(DE_Base_Profile!J29=1,INDEX(DE_Lookups!$B$2:$B$4,MATCH(B46,DE_Lookups!$A$2:$A$4,0)),1)</f>
        <v>1</v>
      </c>
      <c r="D86">
        <f>IF(OR(D46="Air conditioning",D46="Heat pump (heating &amp; cooling)"),IF(DE_Base_Profile!K29=1,N47,1),1)*IF(OR(D46="Electric heating",D46="Heat pump (heating &amp; cooling)"),IF(DE_Base_Profile!L29=1,P47,1),1)</f>
        <v>1</v>
      </c>
      <c r="E86">
        <f t="shared" si="4"/>
        <v>0.0366</v>
      </c>
      <c r="F86">
        <f t="shared" si="5"/>
        <v>0.0311701584057231</v>
      </c>
      <c r="G86">
        <f>((L46+D47)/365)*F86</f>
        <v>0.298891929917892</v>
      </c>
      <c r="H86">
        <f>INDEX(DE_Base_Profile!$N$6:$Q$29,ROW()-62,MATCH(J46,DE_Base_Profile!$N$5:$Q$5,0))</f>
        <v>0.125</v>
      </c>
      <c r="I86">
        <f>(F47/365)*H86</f>
        <v>0</v>
      </c>
      <c r="J86">
        <f>(G86+I86)/(H47/365)</f>
        <v>0.0311701584057231</v>
      </c>
    </row>
    <row r="91" spans="1:16">
      <c r="A91" t="s">
        <v>51</v>
      </c>
      <c r="B91" t="str">
        <f>DE_Option_Monthly!C6</f>
        <v>Someone always at home</v>
      </c>
      <c r="C91" t="s">
        <v>188</v>
      </c>
      <c r="D91" t="str">
        <f>DE_Option_Monthly!D6</f>
        <v>No heating or cooling system</v>
      </c>
      <c r="E91" t="s">
        <v>68</v>
      </c>
      <c r="F91" t="str">
        <f>DE_Option_Monthly!E6</f>
        <v>Medium</v>
      </c>
      <c r="G91" t="s">
        <v>98</v>
      </c>
      <c r="H91" t="str">
        <f>DE_Option_Monthly!F6</f>
        <v>No electric vehicle</v>
      </c>
      <c r="I91" t="s">
        <v>289</v>
      </c>
      <c r="J91" t="str">
        <f>DE_Option_Monthly!G6</f>
        <v>Mostly overnight</v>
      </c>
      <c r="K91" t="s">
        <v>290</v>
      </c>
      <c r="L91">
        <f>DE_Option_Monthly!$B$1</f>
        <v>3500</v>
      </c>
    </row>
    <row r="92" spans="1:16">
      <c r="A92" t="s">
        <v>291</v>
      </c>
      <c r="B92">
        <f>INDEX(DE_Lookups!$E$2:$E$5,MATCH(F91,DE_Lookups!$D$2:$D$5,0))</f>
        <v>1</v>
      </c>
      <c r="C92" t="s">
        <v>292</v>
      </c>
      <c r="D92">
        <f>IF(OR(D91="Electric heating",D91="Heat pump (heating &amp; cooling)"),INDEX(DE_Lookups!$L$2:$L$5,MATCH(D91,DE_Lookups!$K$2:$K$5,0))*B92,0)</f>
        <v>0</v>
      </c>
      <c r="E92" t="s">
        <v>293</v>
      </c>
      <c r="F92">
        <f>INDEX(DE_Lookups!$O$2:$O$7,MATCH(H91,DE_Lookups!$N$2:$N$7,0))*0.18</f>
        <v>0</v>
      </c>
      <c r="G92" t="s">
        <v>294</v>
      </c>
      <c r="H92">
        <f>L91+D92+F92</f>
        <v>3500</v>
      </c>
      <c r="I92" t="s">
        <v>295</v>
      </c>
      <c r="J92">
        <f>INDEX(DE_Lookups!$F$2:$F$5,MATCH(F91,DE_Lookups!$D$2:$D$5,0))</f>
        <v>1.1</v>
      </c>
      <c r="K92" t="s">
        <v>296</v>
      </c>
      <c r="L92">
        <f>INDEX(DE_Lookups!$G$2:$G$5,MATCH(F91,DE_Lookups!$D$2:$D$5,0))</f>
        <v>1.15</v>
      </c>
      <c r="M92" t="s">
        <v>297</v>
      </c>
      <c r="N92">
        <f>INDEX(DE_Lookups!$H$2:$H$5,MATCH(F91,DE_Lookups!$D$2:$D$5,0))</f>
        <v>1.2</v>
      </c>
      <c r="O92" t="s">
        <v>298</v>
      </c>
      <c r="P92">
        <f>INDEX(DE_Lookups!$I$2:$I$5,MATCH(F91,DE_Lookups!$D$2:$D$5,0))</f>
        <v>1.15</v>
      </c>
    </row>
    <row r="94" spans="1:16">
      <c r="A94" t="str">
        <f>DE_Base_Profile!A6</f>
        <v>1月</v>
      </c>
      <c r="B94">
        <f>DE_Base_Profile!B6</f>
        <v>0.0789</v>
      </c>
      <c r="C94">
        <f>L91*B94</f>
        <v>276.15</v>
      </c>
      <c r="D94">
        <f>1+IF(OR(D91="Air conditioning",D91="Heat pump (heating &amp; cooling)"),IF(DE_Base_Profile!D6=1,J92-1,0),0)+IF(OR(D91="Electric heating",D91="Heat pump (heating &amp; cooling)"),IF(DE_Base_Profile!E6=1,L92-1,0),0)</f>
        <v>1</v>
      </c>
      <c r="E94">
        <f t="shared" ref="E94:E105" si="6">C94*D94</f>
        <v>276.15</v>
      </c>
      <c r="F94">
        <f>IF(D91="Electric heating",IF(DE_Base_Profile!E6=1,B94*L92,0),IF(D91="Heat pump (heating &amp; cooling)",IF(DE_Base_Profile!D6=1,B94*J92,0)+IF(DE_Base_Profile!E6=1,B94*L92,0),0))</f>
        <v>0</v>
      </c>
      <c r="G94">
        <f>IF(SUM($F$94:$F$105)=0,0,D92*F94/SUM($F$94:$F$105))</f>
        <v>0</v>
      </c>
      <c r="H94">
        <f>F92/12</f>
        <v>0</v>
      </c>
      <c r="I94">
        <f>E94/SUM($E$94:$E$105)*L91+G94+H94</f>
        <v>276.15</v>
      </c>
      <c r="J94">
        <f>I94/H92</f>
        <v>0.0789</v>
      </c>
    </row>
    <row r="95" spans="1:16">
      <c r="A95" t="str">
        <f>DE_Base_Profile!A7</f>
        <v>2月</v>
      </c>
      <c r="B95">
        <f>DE_Base_Profile!B7</f>
        <v>0.0791</v>
      </c>
      <c r="C95">
        <f>L91*B95</f>
        <v>276.85</v>
      </c>
      <c r="D95">
        <f>1+IF(OR(D91="Air conditioning",D91="Heat pump (heating &amp; cooling)"),IF(DE_Base_Profile!D7=1,J92-1,0),0)+IF(OR(D91="Electric heating",D91="Heat pump (heating &amp; cooling)"),IF(DE_Base_Profile!E7=1,L92-1,0),0)</f>
        <v>1</v>
      </c>
      <c r="E95">
        <f t="shared" si="6"/>
        <v>276.85</v>
      </c>
      <c r="F95">
        <f>IF(D91="Electric heating",IF(DE_Base_Profile!E7=1,B95*L92,0),IF(D91="Heat pump (heating &amp; cooling)",IF(DE_Base_Profile!D7=1,B95*J92,0)+IF(DE_Base_Profile!E7=1,B95*L92,0),0))</f>
        <v>0</v>
      </c>
      <c r="G95">
        <f>IF(SUM($F$94:$F$105)=0,0,D92*F95/SUM($F$94:$F$105))</f>
        <v>0</v>
      </c>
      <c r="H95">
        <f>F92/12</f>
        <v>0</v>
      </c>
      <c r="I95">
        <f>E95/SUM($E$94:$E$105)*L91+G95+H95</f>
        <v>276.85</v>
      </c>
      <c r="J95">
        <f>I95/H92</f>
        <v>0.0791</v>
      </c>
    </row>
    <row r="96" spans="1:16">
      <c r="A96" t="str">
        <f>DE_Base_Profile!A8</f>
        <v>3月</v>
      </c>
      <c r="B96">
        <f>DE_Base_Profile!B8</f>
        <v>0.0773</v>
      </c>
      <c r="C96">
        <f>L91*B96</f>
        <v>270.55</v>
      </c>
      <c r="D96">
        <f>1+IF(OR(D91="Air conditioning",D91="Heat pump (heating &amp; cooling)"),IF(DE_Base_Profile!D8=1,J92-1,0),0)+IF(OR(D91="Electric heating",D91="Heat pump (heating &amp; cooling)"),IF(DE_Base_Profile!E8=1,L92-1,0),0)</f>
        <v>1</v>
      </c>
      <c r="E96">
        <f t="shared" si="6"/>
        <v>270.55</v>
      </c>
      <c r="F96">
        <f>IF(D91="Electric heating",IF(DE_Base_Profile!E8=1,B96*L92,0),IF(D91="Heat pump (heating &amp; cooling)",IF(DE_Base_Profile!D8=1,B96*J92,0)+IF(DE_Base_Profile!E8=1,B96*L92,0),0))</f>
        <v>0</v>
      </c>
      <c r="G96">
        <f>IF(SUM($F$94:$F$105)=0,0,D92*F96/SUM($F$94:$F$105))</f>
        <v>0</v>
      </c>
      <c r="H96">
        <f>F92/12</f>
        <v>0</v>
      </c>
      <c r="I96">
        <f>E96/SUM($E$94:$E$105)*L91+G96+H96</f>
        <v>270.55</v>
      </c>
      <c r="J96">
        <f>I96/H92</f>
        <v>0.0773</v>
      </c>
    </row>
    <row r="97" spans="1:10">
      <c r="A97" t="str">
        <f>DE_Base_Profile!A9</f>
        <v>4月</v>
      </c>
      <c r="B97">
        <f>DE_Base_Profile!B9</f>
        <v>0.0822</v>
      </c>
      <c r="C97">
        <f>L91*B97</f>
        <v>287.7</v>
      </c>
      <c r="D97">
        <f>1+IF(OR(D91="Air conditioning",D91="Heat pump (heating &amp; cooling)"),IF(DE_Base_Profile!D9=1,J92-1,0),0)+IF(OR(D91="Electric heating",D91="Heat pump (heating &amp; cooling)"),IF(DE_Base_Profile!E9=1,L92-1,0),0)</f>
        <v>1</v>
      </c>
      <c r="E97">
        <f t="shared" si="6"/>
        <v>287.7</v>
      </c>
      <c r="F97">
        <f>IF(D91="Electric heating",IF(DE_Base_Profile!E9=1,B97*L92,0),IF(D91="Heat pump (heating &amp; cooling)",IF(DE_Base_Profile!D9=1,B97*J92,0)+IF(DE_Base_Profile!E9=1,B97*L92,0),0))</f>
        <v>0</v>
      </c>
      <c r="G97">
        <f>IF(SUM($F$94:$F$105)=0,0,D92*F97/SUM($F$94:$F$105))</f>
        <v>0</v>
      </c>
      <c r="H97">
        <f>F92/12</f>
        <v>0</v>
      </c>
      <c r="I97">
        <f>E97/SUM($E$94:$E$105)*L91+G97+H97</f>
        <v>287.7</v>
      </c>
      <c r="J97">
        <f>I97/H92</f>
        <v>0.0822</v>
      </c>
    </row>
    <row r="98" spans="1:10">
      <c r="A98" t="str">
        <f>DE_Base_Profile!A10</f>
        <v>5月</v>
      </c>
      <c r="B98">
        <f>DE_Base_Profile!B10</f>
        <v>0.0839</v>
      </c>
      <c r="C98">
        <f>L91*B98</f>
        <v>293.65</v>
      </c>
      <c r="D98">
        <f>1+IF(OR(D91="Air conditioning",D91="Heat pump (heating &amp; cooling)"),IF(DE_Base_Profile!D10=1,J92-1,0),0)+IF(OR(D91="Electric heating",D91="Heat pump (heating &amp; cooling)"),IF(DE_Base_Profile!E10=1,L92-1,0),0)</f>
        <v>1</v>
      </c>
      <c r="E98">
        <f t="shared" si="6"/>
        <v>293.65</v>
      </c>
      <c r="F98">
        <f>IF(D91="Electric heating",IF(DE_Base_Profile!E10=1,B98*L92,0),IF(D91="Heat pump (heating &amp; cooling)",IF(DE_Base_Profile!D10=1,B98*J92,0)+IF(DE_Base_Profile!E10=1,B98*L92,0),0))</f>
        <v>0</v>
      </c>
      <c r="G98">
        <f>IF(SUM($F$94:$F$105)=0,0,D92*F98/SUM($F$94:$F$105))</f>
        <v>0</v>
      </c>
      <c r="H98">
        <f>F92/12</f>
        <v>0</v>
      </c>
      <c r="I98">
        <f>E98/SUM($E$94:$E$105)*L91+G98+H98</f>
        <v>293.65</v>
      </c>
      <c r="J98">
        <f>I98/H92</f>
        <v>0.0839</v>
      </c>
    </row>
    <row r="99" spans="1:10">
      <c r="A99" t="str">
        <f>DE_Base_Profile!A11</f>
        <v>6月</v>
      </c>
      <c r="B99">
        <f>DE_Base_Profile!B11</f>
        <v>0.0876</v>
      </c>
      <c r="C99">
        <f>L91*B99</f>
        <v>306.6</v>
      </c>
      <c r="D99">
        <f>1+IF(OR(D91="Air conditioning",D91="Heat pump (heating &amp; cooling)"),IF(DE_Base_Profile!D11=1,J92-1,0),0)+IF(OR(D91="Electric heating",D91="Heat pump (heating &amp; cooling)"),IF(DE_Base_Profile!E11=1,L92-1,0),0)</f>
        <v>1</v>
      </c>
      <c r="E99">
        <f t="shared" si="6"/>
        <v>306.6</v>
      </c>
      <c r="F99">
        <f>IF(D91="Electric heating",IF(DE_Base_Profile!E11=1,B99*L92,0),IF(D91="Heat pump (heating &amp; cooling)",IF(DE_Base_Profile!D11=1,B99*J92,0)+IF(DE_Base_Profile!E11=1,B99*L92,0),0))</f>
        <v>0</v>
      </c>
      <c r="G99">
        <f>IF(SUM($F$94:$F$105)=0,0,D92*F99/SUM($F$94:$F$105))</f>
        <v>0</v>
      </c>
      <c r="H99">
        <f>F92/12</f>
        <v>0</v>
      </c>
      <c r="I99">
        <f>E99/SUM($E$94:$E$105)*L91+G99+H99</f>
        <v>306.6</v>
      </c>
      <c r="J99">
        <f>I99/H92</f>
        <v>0.0876</v>
      </c>
    </row>
    <row r="100" spans="1:10">
      <c r="A100" t="str">
        <f>DE_Base_Profile!A12</f>
        <v>7月</v>
      </c>
      <c r="B100">
        <f>DE_Base_Profile!B12</f>
        <v>0.0917</v>
      </c>
      <c r="C100">
        <f>L91*B100</f>
        <v>320.95</v>
      </c>
      <c r="D100">
        <f>1+IF(OR(D91="Air conditioning",D91="Heat pump (heating &amp; cooling)"),IF(DE_Base_Profile!D12=1,J92-1,0),0)+IF(OR(D91="Electric heating",D91="Heat pump (heating &amp; cooling)"),IF(DE_Base_Profile!E12=1,L92-1,0),0)</f>
        <v>1</v>
      </c>
      <c r="E100">
        <f t="shared" si="6"/>
        <v>320.95</v>
      </c>
      <c r="F100">
        <f>IF(D91="Electric heating",IF(DE_Base_Profile!E12=1,B100*L92,0),IF(D91="Heat pump (heating &amp; cooling)",IF(DE_Base_Profile!D12=1,B100*J92,0)+IF(DE_Base_Profile!E12=1,B100*L92,0),0))</f>
        <v>0</v>
      </c>
      <c r="G100">
        <f>IF(SUM($F$94:$F$105)=0,0,D92*F100/SUM($F$94:$F$105))</f>
        <v>0</v>
      </c>
      <c r="H100">
        <f>F92/12</f>
        <v>0</v>
      </c>
      <c r="I100">
        <f>E100/SUM($E$94:$E$105)*L91+G100+H100</f>
        <v>320.95</v>
      </c>
      <c r="J100">
        <f>I100/H92</f>
        <v>0.0917</v>
      </c>
    </row>
    <row r="101" spans="1:10">
      <c r="A101" t="str">
        <f>DE_Base_Profile!A13</f>
        <v>8月</v>
      </c>
      <c r="B101">
        <f>DE_Base_Profile!B13</f>
        <v>0.0887</v>
      </c>
      <c r="C101">
        <f>L91*B101</f>
        <v>310.45</v>
      </c>
      <c r="D101">
        <f>1+IF(OR(D91="Air conditioning",D91="Heat pump (heating &amp; cooling)"),IF(DE_Base_Profile!D13=1,J92-1,0),0)+IF(OR(D91="Electric heating",D91="Heat pump (heating &amp; cooling)"),IF(DE_Base_Profile!E13=1,L92-1,0),0)</f>
        <v>1</v>
      </c>
      <c r="E101">
        <f t="shared" si="6"/>
        <v>310.45</v>
      </c>
      <c r="F101">
        <f>IF(D91="Electric heating",IF(DE_Base_Profile!E13=1,B101*L92,0),IF(D91="Heat pump (heating &amp; cooling)",IF(DE_Base_Profile!D13=1,B101*J92,0)+IF(DE_Base_Profile!E13=1,B101*L92,0),0))</f>
        <v>0</v>
      </c>
      <c r="G101">
        <f>IF(SUM($F$94:$F$105)=0,0,D92*F101/SUM($F$94:$F$105))</f>
        <v>0</v>
      </c>
      <c r="H101">
        <f>F92/12</f>
        <v>0</v>
      </c>
      <c r="I101">
        <f>E101/SUM($E$94:$E$105)*L91+G101+H101</f>
        <v>310.45</v>
      </c>
      <c r="J101">
        <f>I101/H92</f>
        <v>0.0887</v>
      </c>
    </row>
    <row r="102" spans="1:10">
      <c r="A102" t="str">
        <f>DE_Base_Profile!A14</f>
        <v>9月</v>
      </c>
      <c r="B102">
        <f>DE_Base_Profile!B14</f>
        <v>0.0853</v>
      </c>
      <c r="C102">
        <f>L91*B102</f>
        <v>298.55</v>
      </c>
      <c r="D102">
        <f>1+IF(OR(D91="Air conditioning",D91="Heat pump (heating &amp; cooling)"),IF(DE_Base_Profile!D14=1,J92-1,0),0)+IF(OR(D91="Electric heating",D91="Heat pump (heating &amp; cooling)"),IF(DE_Base_Profile!E14=1,L92-1,0),0)</f>
        <v>1</v>
      </c>
      <c r="E102">
        <f t="shared" si="6"/>
        <v>298.55</v>
      </c>
      <c r="F102">
        <f>IF(D91="Electric heating",IF(DE_Base_Profile!E14=1,B102*L92,0),IF(D91="Heat pump (heating &amp; cooling)",IF(DE_Base_Profile!D14=1,B102*J92,0)+IF(DE_Base_Profile!E14=1,B102*L92,0),0))</f>
        <v>0</v>
      </c>
      <c r="G102">
        <f>IF(SUM($F$94:$F$105)=0,0,D92*F102/SUM($F$94:$F$105))</f>
        <v>0</v>
      </c>
      <c r="H102">
        <f>F92/12</f>
        <v>0</v>
      </c>
      <c r="I102">
        <f>E102/SUM($E$94:$E$105)*L91+G102+H102</f>
        <v>298.55</v>
      </c>
      <c r="J102">
        <f>I102/H92</f>
        <v>0.0853</v>
      </c>
    </row>
    <row r="103" spans="1:10">
      <c r="A103" t="str">
        <f>DE_Base_Profile!A15</f>
        <v>10月</v>
      </c>
      <c r="B103">
        <f>DE_Base_Profile!B15</f>
        <v>0.0838</v>
      </c>
      <c r="C103">
        <f>L91*B103</f>
        <v>293.3</v>
      </c>
      <c r="D103">
        <f>1+IF(OR(D91="Air conditioning",D91="Heat pump (heating &amp; cooling)"),IF(DE_Base_Profile!D15=1,J92-1,0),0)+IF(OR(D91="Electric heating",D91="Heat pump (heating &amp; cooling)"),IF(DE_Base_Profile!E15=1,L92-1,0),0)</f>
        <v>1</v>
      </c>
      <c r="E103">
        <f t="shared" si="6"/>
        <v>293.3</v>
      </c>
      <c r="F103">
        <f>IF(D91="Electric heating",IF(DE_Base_Profile!E15=1,B103*L92,0),IF(D91="Heat pump (heating &amp; cooling)",IF(DE_Base_Profile!D15=1,B103*J92,0)+IF(DE_Base_Profile!E15=1,B103*L92,0),0))</f>
        <v>0</v>
      </c>
      <c r="G103">
        <f>IF(SUM($F$94:$F$105)=0,0,D92*F103/SUM($F$94:$F$105))</f>
        <v>0</v>
      </c>
      <c r="H103">
        <f>F92/12</f>
        <v>0</v>
      </c>
      <c r="I103">
        <f>E103/SUM($E$94:$E$105)*L91+G103+H103</f>
        <v>293.3</v>
      </c>
      <c r="J103">
        <f>I103/H92</f>
        <v>0.0838</v>
      </c>
    </row>
    <row r="104" spans="1:10">
      <c r="A104" t="str">
        <f>DE_Base_Profile!A16</f>
        <v>11月</v>
      </c>
      <c r="B104">
        <f>DE_Base_Profile!B16</f>
        <v>0.0819</v>
      </c>
      <c r="C104">
        <f>L91*B104</f>
        <v>286.65</v>
      </c>
      <c r="D104">
        <f>1+IF(OR(D91="Air conditioning",D91="Heat pump (heating &amp; cooling)"),IF(DE_Base_Profile!D16=1,J92-1,0),0)+IF(OR(D91="Electric heating",D91="Heat pump (heating &amp; cooling)"),IF(DE_Base_Profile!E16=1,L92-1,0),0)</f>
        <v>1</v>
      </c>
      <c r="E104">
        <f t="shared" si="6"/>
        <v>286.65</v>
      </c>
      <c r="F104">
        <f>IF(D91="Electric heating",IF(DE_Base_Profile!E16=1,B104*L92,0),IF(D91="Heat pump (heating &amp; cooling)",IF(DE_Base_Profile!D16=1,B104*J92,0)+IF(DE_Base_Profile!E16=1,B104*L92,0),0))</f>
        <v>0</v>
      </c>
      <c r="G104">
        <f>IF(SUM($F$94:$F$105)=0,0,D92*F104/SUM($F$94:$F$105))</f>
        <v>0</v>
      </c>
      <c r="H104">
        <f>F92/12</f>
        <v>0</v>
      </c>
      <c r="I104">
        <f>E104/SUM($E$94:$E$105)*L91+G104+H104</f>
        <v>286.65</v>
      </c>
      <c r="J104">
        <f>I104/H92</f>
        <v>0.0819</v>
      </c>
    </row>
    <row r="105" spans="1:10">
      <c r="A105" t="str">
        <f>DE_Base_Profile!A17</f>
        <v>12月</v>
      </c>
      <c r="B105">
        <f>DE_Base_Profile!B17</f>
        <v>0.0796</v>
      </c>
      <c r="C105">
        <f>L91*B105</f>
        <v>278.6</v>
      </c>
      <c r="D105">
        <f>1+IF(OR(D91="Air conditioning",D91="Heat pump (heating &amp; cooling)"),IF(DE_Base_Profile!D17=1,J92-1,0),0)+IF(OR(D91="Electric heating",D91="Heat pump (heating &amp; cooling)"),IF(DE_Base_Profile!E17=1,L92-1,0),0)</f>
        <v>1</v>
      </c>
      <c r="E105">
        <f t="shared" si="6"/>
        <v>278.6</v>
      </c>
      <c r="F105">
        <f>IF(D91="Electric heating",IF(DE_Base_Profile!E17=1,B105*L92,0),IF(D91="Heat pump (heating &amp; cooling)",IF(DE_Base_Profile!D17=1,B105*J92,0)+IF(DE_Base_Profile!E17=1,B105*L92,0),0))</f>
        <v>0</v>
      </c>
      <c r="G105">
        <f>IF(SUM($F$94:$F$105)=0,0,D92*F105/SUM($F$94:$F$105))</f>
        <v>0</v>
      </c>
      <c r="H105">
        <f>F92/12</f>
        <v>0</v>
      </c>
      <c r="I105">
        <f>E105/SUM($E$94:$E$105)*L91+G105+H105</f>
        <v>278.6</v>
      </c>
      <c r="J105">
        <f>I105/H92</f>
        <v>0.0796</v>
      </c>
    </row>
    <row r="108" spans="1:10">
      <c r="A108">
        <f>DE_Base_Profile!H6</f>
        <v>0</v>
      </c>
      <c r="B108">
        <f>DE_Base_Profile!I6</f>
        <v>0.0301</v>
      </c>
      <c r="C108">
        <f>IF(DE_Base_Profile!J6=1,INDEX(DE_Lookups!$B$2:$B$4,MATCH(B91,DE_Lookups!$A$2:$A$4,0)),1)</f>
        <v>1</v>
      </c>
      <c r="D108">
        <f>IF(OR(D91="Air conditioning",D91="Heat pump (heating &amp; cooling)"),IF(DE_Base_Profile!K6=1,N92,1),1)*IF(OR(D91="Electric heating",D91="Heat pump (heating &amp; cooling)"),IF(DE_Base_Profile!L6=1,P92,1),1)</f>
        <v>1</v>
      </c>
      <c r="E108">
        <f t="shared" ref="E108:E131" si="7">B108*C108*D108</f>
        <v>0.0301</v>
      </c>
      <c r="F108">
        <f t="shared" ref="F108:F131" si="8">E108/SUM($E$108:$E$131)</f>
        <v>0.0276883451384417</v>
      </c>
      <c r="G108">
        <f>((L91+D92)/365)*F108</f>
        <v>0.265504679409715</v>
      </c>
      <c r="H108">
        <f>INDEX(DE_Base_Profile!$N$6:$Q$29,ROW()-107,MATCH(J91,DE_Base_Profile!$N$5:$Q$5,0))</f>
        <v>0.125</v>
      </c>
      <c r="I108">
        <f>(F92/365)*H108</f>
        <v>0</v>
      </c>
      <c r="J108">
        <f>(G108+I108)/(H92/365)</f>
        <v>0.0276883451384417</v>
      </c>
    </row>
    <row r="109" spans="1:10">
      <c r="A109">
        <f>DE_Base_Profile!H7</f>
        <v>1</v>
      </c>
      <c r="B109">
        <f>DE_Base_Profile!I7</f>
        <v>0.0258</v>
      </c>
      <c r="C109">
        <f>IF(DE_Base_Profile!J7=1,INDEX(DE_Lookups!$B$2:$B$4,MATCH(B91,DE_Lookups!$A$2:$A$4,0)),1)</f>
        <v>1</v>
      </c>
      <c r="D109">
        <f>IF(OR(D91="Air conditioning",D91="Heat pump (heating &amp; cooling)"),IF(DE_Base_Profile!K7=1,N92,1),1)*IF(OR(D91="Electric heating",D91="Heat pump (heating &amp; cooling)"),IF(DE_Base_Profile!L7=1,P92,1),1)</f>
        <v>1</v>
      </c>
      <c r="E109">
        <f t="shared" si="7"/>
        <v>0.0258</v>
      </c>
      <c r="F109">
        <f t="shared" si="8"/>
        <v>0.0237328672615215</v>
      </c>
      <c r="G109">
        <f>((L91+D92)/365)*F109</f>
        <v>0.227575439494042</v>
      </c>
      <c r="H109">
        <f>INDEX(DE_Base_Profile!$N$6:$Q$29,ROW()-107,MATCH(J91,DE_Base_Profile!$N$5:$Q$5,0))</f>
        <v>0.125</v>
      </c>
      <c r="I109">
        <f>(F92/365)*H109</f>
        <v>0</v>
      </c>
      <c r="J109">
        <f>(G109+I109)/(H92/365)</f>
        <v>0.0237328672615215</v>
      </c>
    </row>
    <row r="110" spans="1:10">
      <c r="A110">
        <f>DE_Base_Profile!H8</f>
        <v>2</v>
      </c>
      <c r="B110">
        <f>DE_Base_Profile!I8</f>
        <v>0.0239</v>
      </c>
      <c r="C110">
        <f>IF(DE_Base_Profile!J8=1,INDEX(DE_Lookups!$B$2:$B$4,MATCH(B91,DE_Lookups!$A$2:$A$4,0)),1)</f>
        <v>1</v>
      </c>
      <c r="D110">
        <f>IF(OR(D91="Air conditioning",D91="Heat pump (heating &amp; cooling)"),IF(DE_Base_Profile!K8=1,N92,1),1)*IF(OR(D91="Electric heating",D91="Heat pump (heating &amp; cooling)"),IF(DE_Base_Profile!L8=1,P92,1),1)</f>
        <v>1</v>
      </c>
      <c r="E110">
        <f t="shared" si="7"/>
        <v>0.0239</v>
      </c>
      <c r="F110">
        <f t="shared" si="8"/>
        <v>0.0219850979670683</v>
      </c>
      <c r="G110">
        <f>((L91+D92)/365)*F110</f>
        <v>0.210816007903395</v>
      </c>
      <c r="H110">
        <f>INDEX(DE_Base_Profile!$N$6:$Q$29,ROW()-107,MATCH(J91,DE_Base_Profile!$N$5:$Q$5,0))</f>
        <v>0.125</v>
      </c>
      <c r="I110">
        <f>(F92/365)*H110</f>
        <v>0</v>
      </c>
      <c r="J110">
        <f>(G110+I110)/(H92/365)</f>
        <v>0.0219850979670683</v>
      </c>
    </row>
    <row r="111" spans="1:10">
      <c r="A111">
        <f>DE_Base_Profile!H9</f>
        <v>3</v>
      </c>
      <c r="B111">
        <f>DE_Base_Profile!I9</f>
        <v>0.0232</v>
      </c>
      <c r="C111">
        <f>IF(DE_Base_Profile!J9=1,INDEX(DE_Lookups!$B$2:$B$4,MATCH(B91,DE_Lookups!$A$2:$A$4,0)),1)</f>
        <v>1</v>
      </c>
      <c r="D111">
        <f>IF(OR(D91="Air conditioning",D91="Heat pump (heating &amp; cooling)"),IF(DE_Base_Profile!K9=1,N92,1),1)*IF(OR(D91="Electric heating",D91="Heat pump (heating &amp; cooling)"),IF(DE_Base_Profile!L9=1,P92,1),1)</f>
        <v>1</v>
      </c>
      <c r="E111">
        <f t="shared" si="7"/>
        <v>0.0232</v>
      </c>
      <c r="F111">
        <f t="shared" si="8"/>
        <v>0.0213411829638488</v>
      </c>
      <c r="G111">
        <f>((L91+D92)/365)*F111</f>
        <v>0.204641480475262</v>
      </c>
      <c r="H111">
        <f>INDEX(DE_Base_Profile!$N$6:$Q$29,ROW()-107,MATCH(J91,DE_Base_Profile!$N$5:$Q$5,0))</f>
        <v>0.125</v>
      </c>
      <c r="I111">
        <f>(F92/365)*H111</f>
        <v>0</v>
      </c>
      <c r="J111">
        <f>(G111+I111)/(H92/365)</f>
        <v>0.0213411829638488</v>
      </c>
    </row>
    <row r="112" spans="1:10">
      <c r="A112">
        <f>DE_Base_Profile!H10</f>
        <v>4</v>
      </c>
      <c r="B112">
        <f>DE_Base_Profile!I10</f>
        <v>0.0236</v>
      </c>
      <c r="C112">
        <f>IF(DE_Base_Profile!J10=1,INDEX(DE_Lookups!$B$2:$B$4,MATCH(B91,DE_Lookups!$A$2:$A$4,0)),1)</f>
        <v>1</v>
      </c>
      <c r="D112">
        <f>IF(OR(D91="Air conditioning",D91="Heat pump (heating &amp; cooling)"),IF(DE_Base_Profile!K10=1,N92,1),1)*IF(OR(D91="Electric heating",D91="Heat pump (heating &amp; cooling)"),IF(DE_Base_Profile!L10=1,P92,1),1)</f>
        <v>1</v>
      </c>
      <c r="E112">
        <f t="shared" si="7"/>
        <v>0.0236</v>
      </c>
      <c r="F112">
        <f t="shared" si="8"/>
        <v>0.02170913439426</v>
      </c>
      <c r="G112">
        <f>((L91+D92)/365)*F112</f>
        <v>0.208169781862767</v>
      </c>
      <c r="H112">
        <f>INDEX(DE_Base_Profile!$N$6:$Q$29,ROW()-107,MATCH(J91,DE_Base_Profile!$N$5:$Q$5,0))</f>
        <v>0.125</v>
      </c>
      <c r="I112">
        <f>(F92/365)*H112</f>
        <v>0</v>
      </c>
      <c r="J112">
        <f>(G112+I112)/(H92/365)</f>
        <v>0.02170913439426</v>
      </c>
    </row>
    <row r="113" spans="1:10">
      <c r="A113">
        <f>DE_Base_Profile!H11</f>
        <v>5</v>
      </c>
      <c r="B113">
        <f>DE_Base_Profile!I11</f>
        <v>0.0252</v>
      </c>
      <c r="C113">
        <f>IF(DE_Base_Profile!J11=1,INDEX(DE_Lookups!$B$2:$B$4,MATCH(B91,DE_Lookups!$A$2:$A$4,0)),1)</f>
        <v>1</v>
      </c>
      <c r="D113">
        <f>IF(OR(D91="Air conditioning",D91="Heat pump (heating &amp; cooling)"),IF(DE_Base_Profile!K11=1,N92,1),1)*IF(OR(D91="Electric heating",D91="Heat pump (heating &amp; cooling)"),IF(DE_Base_Profile!L11=1,P92,1),1)</f>
        <v>1</v>
      </c>
      <c r="E113">
        <f t="shared" si="7"/>
        <v>0.0252</v>
      </c>
      <c r="F113">
        <f t="shared" si="8"/>
        <v>0.0231809401159047</v>
      </c>
      <c r="G113">
        <f>((L91+D92)/365)*F113</f>
        <v>0.222282987412785</v>
      </c>
      <c r="H113">
        <f>INDEX(DE_Base_Profile!$N$6:$Q$29,ROW()-107,MATCH(J91,DE_Base_Profile!$N$5:$Q$5,0))</f>
        <v>0.125</v>
      </c>
      <c r="I113">
        <f>(F92/365)*H113</f>
        <v>0</v>
      </c>
      <c r="J113">
        <f>(G113+I113)/(H92/365)</f>
        <v>0.0231809401159047</v>
      </c>
    </row>
    <row r="114" spans="1:10">
      <c r="A114">
        <f>DE_Base_Profile!H12</f>
        <v>6</v>
      </c>
      <c r="B114">
        <f>DE_Base_Profile!I12</f>
        <v>0.03</v>
      </c>
      <c r="C114">
        <f>IF(DE_Base_Profile!J12=1,INDEX(DE_Lookups!$B$2:$B$4,MATCH(B91,DE_Lookups!$A$2:$A$4,0)),1)</f>
        <v>1</v>
      </c>
      <c r="D114">
        <f>IF(OR(D91="Air conditioning",D91="Heat pump (heating &amp; cooling)"),IF(DE_Base_Profile!K12=1,N92,1),1)*IF(OR(D91="Electric heating",D91="Heat pump (heating &amp; cooling)"),IF(DE_Base_Profile!L12=1,P92,1),1)</f>
        <v>1</v>
      </c>
      <c r="E114">
        <f t="shared" si="7"/>
        <v>0.03</v>
      </c>
      <c r="F114">
        <f t="shared" si="8"/>
        <v>0.0275963572808389</v>
      </c>
      <c r="G114">
        <f>((L91+D92)/365)*F114</f>
        <v>0.264622604062839</v>
      </c>
      <c r="H114">
        <f>INDEX(DE_Base_Profile!$N$6:$Q$29,ROW()-107,MATCH(J91,DE_Base_Profile!$N$5:$Q$5,0))</f>
        <v>0</v>
      </c>
      <c r="I114">
        <f>(F92/365)*H114</f>
        <v>0</v>
      </c>
      <c r="J114">
        <f>(G114+I114)/(H92/365)</f>
        <v>0.0275963572808389</v>
      </c>
    </row>
    <row r="115" spans="1:10">
      <c r="A115">
        <f>DE_Base_Profile!H13</f>
        <v>7</v>
      </c>
      <c r="B115">
        <f>DE_Base_Profile!I13</f>
        <v>0.0358</v>
      </c>
      <c r="C115">
        <f>IF(DE_Base_Profile!J13=1,INDEX(DE_Lookups!$B$2:$B$4,MATCH(B91,DE_Lookups!$A$2:$A$4,0)),1)</f>
        <v>1</v>
      </c>
      <c r="D115">
        <f>IF(OR(D91="Air conditioning",D91="Heat pump (heating &amp; cooling)"),IF(DE_Base_Profile!K13=1,N92,1),1)*IF(OR(D91="Electric heating",D91="Heat pump (heating &amp; cooling)"),IF(DE_Base_Profile!L13=1,P92,1),1)</f>
        <v>1</v>
      </c>
      <c r="E115">
        <f t="shared" si="7"/>
        <v>0.0358</v>
      </c>
      <c r="F115">
        <f t="shared" si="8"/>
        <v>0.0329316530218011</v>
      </c>
      <c r="G115">
        <f>((L91+D92)/365)*F115</f>
        <v>0.315782974181655</v>
      </c>
      <c r="H115">
        <f>INDEX(DE_Base_Profile!$N$6:$Q$29,ROW()-107,MATCH(J91,DE_Base_Profile!$N$5:$Q$5,0))</f>
        <v>0</v>
      </c>
      <c r="I115">
        <f>(F92/365)*H115</f>
        <v>0</v>
      </c>
      <c r="J115">
        <f>(G115+I115)/(H92/365)</f>
        <v>0.0329316530218011</v>
      </c>
    </row>
    <row r="116" spans="1:10">
      <c r="A116">
        <f>DE_Base_Profile!H14</f>
        <v>8</v>
      </c>
      <c r="B116">
        <f>DE_Base_Profile!I14</f>
        <v>0.041</v>
      </c>
      <c r="C116">
        <f>IF(DE_Base_Profile!J14=1,INDEX(DE_Lookups!$B$2:$B$4,MATCH(B91,DE_Lookups!$A$2:$A$4,0)),1)</f>
        <v>1</v>
      </c>
      <c r="D116">
        <f>IF(OR(D91="Air conditioning",D91="Heat pump (heating &amp; cooling)"),IF(DE_Base_Profile!K14=1,N92,1),1)*IF(OR(D91="Electric heating",D91="Heat pump (heating &amp; cooling)"),IF(DE_Base_Profile!L14=1,P92,1),1)</f>
        <v>1</v>
      </c>
      <c r="E116">
        <f t="shared" si="7"/>
        <v>0.041</v>
      </c>
      <c r="F116">
        <f t="shared" si="8"/>
        <v>0.0377150216171465</v>
      </c>
      <c r="G116">
        <f>((L91+D92)/365)*F116</f>
        <v>0.361650892219213</v>
      </c>
      <c r="H116">
        <f>INDEX(DE_Base_Profile!$N$6:$Q$29,ROW()-107,MATCH(J91,DE_Base_Profile!$N$5:$Q$5,0))</f>
        <v>0</v>
      </c>
      <c r="I116">
        <f>(F92/365)*H116</f>
        <v>0</v>
      </c>
      <c r="J116">
        <f>(G116+I116)/(H92/365)</f>
        <v>0.0377150216171465</v>
      </c>
    </row>
    <row r="117" spans="1:10">
      <c r="A117">
        <f>DE_Base_Profile!H15</f>
        <v>9</v>
      </c>
      <c r="B117">
        <f>DE_Base_Profile!I15</f>
        <v>0.0446</v>
      </c>
      <c r="C117">
        <f>IF(DE_Base_Profile!J15=1,INDEX(DE_Lookups!$B$2:$B$4,MATCH(B91,DE_Lookups!$A$2:$A$4,0)),1)</f>
        <v>1.2</v>
      </c>
      <c r="D117">
        <f>IF(OR(D91="Air conditioning",D91="Heat pump (heating &amp; cooling)"),IF(DE_Base_Profile!K15=1,N92,1),1)*IF(OR(D91="Electric heating",D91="Heat pump (heating &amp; cooling)"),IF(DE_Base_Profile!L15=1,P92,1),1)</f>
        <v>1</v>
      </c>
      <c r="E117">
        <f t="shared" si="7"/>
        <v>0.05352</v>
      </c>
      <c r="F117">
        <f t="shared" si="8"/>
        <v>0.0492319013890166</v>
      </c>
      <c r="G117">
        <f>((L91+D92)/365)*F117</f>
        <v>0.472086725648105</v>
      </c>
      <c r="H117">
        <f>INDEX(DE_Base_Profile!$N$6:$Q$29,ROW()-107,MATCH(J91,DE_Base_Profile!$N$5:$Q$5,0))</f>
        <v>0</v>
      </c>
      <c r="I117">
        <f>(F92/365)*H117</f>
        <v>0</v>
      </c>
      <c r="J117">
        <f>(G117+I117)/(H92/365)</f>
        <v>0.0492319013890166</v>
      </c>
    </row>
    <row r="118" spans="1:10">
      <c r="A118">
        <f>DE_Base_Profile!H16</f>
        <v>10</v>
      </c>
      <c r="B118">
        <f>DE_Base_Profile!I16</f>
        <v>0.0474</v>
      </c>
      <c r="C118">
        <f>IF(DE_Base_Profile!J16=1,INDEX(DE_Lookups!$B$2:$B$4,MATCH(B91,DE_Lookups!$A$2:$A$4,0)),1)</f>
        <v>1.2</v>
      </c>
      <c r="D118">
        <f>IF(OR(D91="Air conditioning",D91="Heat pump (heating &amp; cooling)"),IF(DE_Base_Profile!K16=1,N92,1),1)*IF(OR(D91="Electric heating",D91="Heat pump (heating &amp; cooling)"),IF(DE_Base_Profile!L16=1,P92,1),1)</f>
        <v>1</v>
      </c>
      <c r="E118">
        <f t="shared" si="7"/>
        <v>0.05688</v>
      </c>
      <c r="F118">
        <f t="shared" si="8"/>
        <v>0.0523226934044706</v>
      </c>
      <c r="G118">
        <f>((L91+D92)/365)*F118</f>
        <v>0.501724457303143</v>
      </c>
      <c r="H118">
        <f>INDEX(DE_Base_Profile!$N$6:$Q$29,ROW()-107,MATCH(J91,DE_Base_Profile!$N$5:$Q$5,0))</f>
        <v>0</v>
      </c>
      <c r="I118">
        <f>(F92/365)*H118</f>
        <v>0</v>
      </c>
      <c r="J118">
        <f>(G118+I118)/(H92/365)</f>
        <v>0.0523226934044706</v>
      </c>
    </row>
    <row r="119" spans="1:10">
      <c r="A119">
        <f>DE_Base_Profile!H17</f>
        <v>11</v>
      </c>
      <c r="B119">
        <f>DE_Base_Profile!I17</f>
        <v>0.0518</v>
      </c>
      <c r="C119">
        <f>IF(DE_Base_Profile!J17=1,INDEX(DE_Lookups!$B$2:$B$4,MATCH(B91,DE_Lookups!$A$2:$A$4,0)),1)</f>
        <v>1.2</v>
      </c>
      <c r="D119">
        <f>IF(OR(D91="Air conditioning",D91="Heat pump (heating &amp; cooling)"),IF(DE_Base_Profile!K17=1,N92,1),1)*IF(OR(D91="Electric heating",D91="Heat pump (heating &amp; cooling)"),IF(DE_Base_Profile!L17=1,P92,1),1)</f>
        <v>1</v>
      </c>
      <c r="E119">
        <f t="shared" si="7"/>
        <v>0.06216</v>
      </c>
      <c r="F119">
        <f t="shared" si="8"/>
        <v>0.0571796522858983</v>
      </c>
      <c r="G119">
        <f>((L91+D92)/365)*F119</f>
        <v>0.548298035618202</v>
      </c>
      <c r="H119">
        <f>INDEX(DE_Base_Profile!$N$6:$Q$29,ROW()-107,MATCH(J91,DE_Base_Profile!$N$5:$Q$5,0))</f>
        <v>0</v>
      </c>
      <c r="I119">
        <f>(F92/365)*H119</f>
        <v>0</v>
      </c>
      <c r="J119">
        <f>(G119+I119)/(H92/365)</f>
        <v>0.0571796522858982</v>
      </c>
    </row>
    <row r="120" spans="1:10">
      <c r="A120">
        <f>DE_Base_Profile!H18</f>
        <v>12</v>
      </c>
      <c r="B120">
        <f>DE_Base_Profile!I18</f>
        <v>0.0513</v>
      </c>
      <c r="C120">
        <f>IF(DE_Base_Profile!J18=1,INDEX(DE_Lookups!$B$2:$B$4,MATCH(B91,DE_Lookups!$A$2:$A$4,0)),1)</f>
        <v>1.2</v>
      </c>
      <c r="D120">
        <f>IF(OR(D91="Air conditioning",D91="Heat pump (heating &amp; cooling)"),IF(DE_Base_Profile!K18=1,N92,1),1)*IF(OR(D91="Electric heating",D91="Heat pump (heating &amp; cooling)"),IF(DE_Base_Profile!L18=1,P92,1),1)</f>
        <v>1</v>
      </c>
      <c r="E120">
        <f t="shared" si="7"/>
        <v>0.06156</v>
      </c>
      <c r="F120">
        <f t="shared" si="8"/>
        <v>0.0566277251402815</v>
      </c>
      <c r="G120">
        <f>((L91+D92)/365)*F120</f>
        <v>0.543005583536946</v>
      </c>
      <c r="H120">
        <f>INDEX(DE_Base_Profile!$N$6:$Q$29,ROW()-107,MATCH(J91,DE_Base_Profile!$N$5:$Q$5,0))</f>
        <v>0</v>
      </c>
      <c r="I120">
        <f>(F92/365)*H120</f>
        <v>0</v>
      </c>
      <c r="J120">
        <f>(G120+I120)/(H92/365)</f>
        <v>0.0566277251402815</v>
      </c>
    </row>
    <row r="121" spans="1:10">
      <c r="A121">
        <f>DE_Base_Profile!H19</f>
        <v>13</v>
      </c>
      <c r="B121">
        <f>DE_Base_Profile!I19</f>
        <v>0.0481</v>
      </c>
      <c r="C121">
        <f>IF(DE_Base_Profile!J19=1,INDEX(DE_Lookups!$B$2:$B$4,MATCH(B91,DE_Lookups!$A$2:$A$4,0)),1)</f>
        <v>1.2</v>
      </c>
      <c r="D121">
        <f>IF(OR(D91="Air conditioning",D91="Heat pump (heating &amp; cooling)"),IF(DE_Base_Profile!K19=1,N92,1),1)*IF(OR(D91="Electric heating",D91="Heat pump (heating &amp; cooling)"),IF(DE_Base_Profile!L19=1,P92,1),1)</f>
        <v>1</v>
      </c>
      <c r="E121">
        <f t="shared" si="7"/>
        <v>0.05772</v>
      </c>
      <c r="F121">
        <f t="shared" si="8"/>
        <v>0.0530953914083341</v>
      </c>
      <c r="G121">
        <f>((L91+D92)/365)*F121</f>
        <v>0.509133890216902</v>
      </c>
      <c r="H121">
        <f>INDEX(DE_Base_Profile!$N$6:$Q$29,ROW()-107,MATCH(J91,DE_Base_Profile!$N$5:$Q$5,0))</f>
        <v>0</v>
      </c>
      <c r="I121">
        <f>(F92/365)*H121</f>
        <v>0</v>
      </c>
      <c r="J121">
        <f>(G121+I121)/(H92/365)</f>
        <v>0.0530953914083341</v>
      </c>
    </row>
    <row r="122" spans="1:10">
      <c r="A122">
        <f>DE_Base_Profile!H20</f>
        <v>14</v>
      </c>
      <c r="B122">
        <f>DE_Base_Profile!I20</f>
        <v>0.0459</v>
      </c>
      <c r="C122">
        <f>IF(DE_Base_Profile!J20=1,INDEX(DE_Lookups!$B$2:$B$4,MATCH(B91,DE_Lookups!$A$2:$A$4,0)),1)</f>
        <v>1.2</v>
      </c>
      <c r="D122">
        <f>IF(OR(D91="Air conditioning",D91="Heat pump (heating &amp; cooling)"),IF(DE_Base_Profile!K20=1,N92,1),1)*IF(OR(D91="Electric heating",D91="Heat pump (heating &amp; cooling)"),IF(DE_Base_Profile!L20=1,P92,1),1)</f>
        <v>1</v>
      </c>
      <c r="E122">
        <f t="shared" si="7"/>
        <v>0.05508</v>
      </c>
      <c r="F122">
        <f t="shared" si="8"/>
        <v>0.0506669119676203</v>
      </c>
      <c r="G122">
        <f>((L91+D92)/365)*F122</f>
        <v>0.485847101059373</v>
      </c>
      <c r="H122">
        <f>INDEX(DE_Base_Profile!$N$6:$Q$29,ROW()-107,MATCH(J91,DE_Base_Profile!$N$5:$Q$5,0))</f>
        <v>0</v>
      </c>
      <c r="I122">
        <f>(F92/365)*H122</f>
        <v>0</v>
      </c>
      <c r="J122">
        <f>(G122+I122)/(H92/365)</f>
        <v>0.0506669119676203</v>
      </c>
    </row>
    <row r="123" spans="1:10">
      <c r="A123">
        <f>DE_Base_Profile!H21</f>
        <v>15</v>
      </c>
      <c r="B123">
        <f>DE_Base_Profile!I21</f>
        <v>0.0454</v>
      </c>
      <c r="C123">
        <f>IF(DE_Base_Profile!J21=1,INDEX(DE_Lookups!$B$2:$B$4,MATCH(B91,DE_Lookups!$A$2:$A$4,0)),1)</f>
        <v>1.2</v>
      </c>
      <c r="D123">
        <f>IF(OR(D91="Air conditioning",D91="Heat pump (heating &amp; cooling)"),IF(DE_Base_Profile!K21=1,N92,1),1)*IF(OR(D91="Electric heating",D91="Heat pump (heating &amp; cooling)"),IF(DE_Base_Profile!L21=1,P92,1),1)</f>
        <v>1</v>
      </c>
      <c r="E123">
        <f t="shared" si="7"/>
        <v>0.05448</v>
      </c>
      <c r="F123">
        <f t="shared" si="8"/>
        <v>0.0501149848220035</v>
      </c>
      <c r="G123">
        <f>((L91+D92)/365)*F123</f>
        <v>0.480554648978116</v>
      </c>
      <c r="H123">
        <f>INDEX(DE_Base_Profile!$N$6:$Q$29,ROW()-107,MATCH(J91,DE_Base_Profile!$N$5:$Q$5,0))</f>
        <v>0</v>
      </c>
      <c r="I123">
        <f>(F92/365)*H123</f>
        <v>0</v>
      </c>
      <c r="J123">
        <f>(G123+I123)/(H92/365)</f>
        <v>0.0501149848220035</v>
      </c>
    </row>
    <row r="124" spans="1:10">
      <c r="A124">
        <f>DE_Base_Profile!H22</f>
        <v>16</v>
      </c>
      <c r="B124">
        <f>DE_Base_Profile!I22</f>
        <v>0.0475</v>
      </c>
      <c r="C124">
        <f>IF(DE_Base_Profile!J22=1,INDEX(DE_Lookups!$B$2:$B$4,MATCH(B91,DE_Lookups!$A$2:$A$4,0)),1)</f>
        <v>1.2</v>
      </c>
      <c r="D124">
        <f>IF(OR(D91="Air conditioning",D91="Heat pump (heating &amp; cooling)"),IF(DE_Base_Profile!K22=1,N92,1),1)*IF(OR(D91="Electric heating",D91="Heat pump (heating &amp; cooling)"),IF(DE_Base_Profile!L22=1,P92,1),1)</f>
        <v>1</v>
      </c>
      <c r="E124">
        <f t="shared" si="7"/>
        <v>0.057</v>
      </c>
      <c r="F124">
        <f t="shared" si="8"/>
        <v>0.052433078833594</v>
      </c>
      <c r="G124">
        <f>((L91+D92)/365)*F124</f>
        <v>0.502782947719394</v>
      </c>
      <c r="H124">
        <f>INDEX(DE_Base_Profile!$N$6:$Q$29,ROW()-107,MATCH(J91,DE_Base_Profile!$N$5:$Q$5,0))</f>
        <v>0</v>
      </c>
      <c r="I124">
        <f>(F92/365)*H124</f>
        <v>0</v>
      </c>
      <c r="J124">
        <f>(G124+I124)/(H92/365)</f>
        <v>0.052433078833594</v>
      </c>
    </row>
    <row r="125" spans="1:10">
      <c r="A125">
        <f>DE_Base_Profile!H23</f>
        <v>17</v>
      </c>
      <c r="B125">
        <f>DE_Base_Profile!I23</f>
        <v>0.0535</v>
      </c>
      <c r="C125">
        <f>IF(DE_Base_Profile!J23=1,INDEX(DE_Lookups!$B$2:$B$4,MATCH(B91,DE_Lookups!$A$2:$A$4,0)),1)</f>
        <v>1.2</v>
      </c>
      <c r="D125">
        <f>IF(OR(D91="Air conditioning",D91="Heat pump (heating &amp; cooling)"),IF(DE_Base_Profile!K23=1,N92,1),1)*IF(OR(D91="Electric heating",D91="Heat pump (heating &amp; cooling)"),IF(DE_Base_Profile!L23=1,P92,1),1)</f>
        <v>1</v>
      </c>
      <c r="E125">
        <f t="shared" si="7"/>
        <v>0.0642</v>
      </c>
      <c r="F125">
        <f t="shared" si="8"/>
        <v>0.0590562045809953</v>
      </c>
      <c r="G125">
        <f>((L91+D92)/365)*F125</f>
        <v>0.566292372694475</v>
      </c>
      <c r="H125">
        <f>INDEX(DE_Base_Profile!$N$6:$Q$29,ROW()-107,MATCH(J91,DE_Base_Profile!$N$5:$Q$5,0))</f>
        <v>0</v>
      </c>
      <c r="I125">
        <f>(F92/365)*H125</f>
        <v>0</v>
      </c>
      <c r="J125">
        <f>(G125+I125)/(H92/365)</f>
        <v>0.0590562045809953</v>
      </c>
    </row>
    <row r="126" spans="1:10">
      <c r="A126">
        <f>DE_Base_Profile!H24</f>
        <v>18</v>
      </c>
      <c r="B126">
        <f>DE_Base_Profile!I24</f>
        <v>0.0587</v>
      </c>
      <c r="C126">
        <f>IF(DE_Base_Profile!J24=1,INDEX(DE_Lookups!$B$2:$B$4,MATCH(B91,DE_Lookups!$A$2:$A$4,0)),1)</f>
        <v>1</v>
      </c>
      <c r="D126">
        <f>IF(OR(D91="Air conditioning",D91="Heat pump (heating &amp; cooling)"),IF(DE_Base_Profile!K24=1,N92,1),1)*IF(OR(D91="Electric heating",D91="Heat pump (heating &amp; cooling)"),IF(DE_Base_Profile!L24=1,P92,1),1)</f>
        <v>1</v>
      </c>
      <c r="E126">
        <f t="shared" si="7"/>
        <v>0.0587</v>
      </c>
      <c r="F126">
        <f t="shared" si="8"/>
        <v>0.0539968724128415</v>
      </c>
      <c r="G126">
        <f>((L91+D92)/365)*F126</f>
        <v>0.517778228616288</v>
      </c>
      <c r="H126">
        <f>INDEX(DE_Base_Profile!$N$6:$Q$29,ROW()-107,MATCH(J91,DE_Base_Profile!$N$5:$Q$5,0))</f>
        <v>0</v>
      </c>
      <c r="I126">
        <f>(F92/365)*H126</f>
        <v>0</v>
      </c>
      <c r="J126">
        <f>(G126+I126)/(H92/365)</f>
        <v>0.0539968724128415</v>
      </c>
    </row>
    <row r="127" spans="1:10">
      <c r="A127">
        <f>DE_Base_Profile!H25</f>
        <v>19</v>
      </c>
      <c r="B127">
        <f>DE_Base_Profile!I25</f>
        <v>0.0591</v>
      </c>
      <c r="C127">
        <f>IF(DE_Base_Profile!J25=1,INDEX(DE_Lookups!$B$2:$B$4,MATCH(B91,DE_Lookups!$A$2:$A$4,0)),1)</f>
        <v>1</v>
      </c>
      <c r="D127">
        <f>IF(OR(D91="Air conditioning",D91="Heat pump (heating &amp; cooling)"),IF(DE_Base_Profile!K25=1,N92,1),1)*IF(OR(D91="Electric heating",D91="Heat pump (heating &amp; cooling)"),IF(DE_Base_Profile!L25=1,P92,1),1)</f>
        <v>1</v>
      </c>
      <c r="E127">
        <f t="shared" si="7"/>
        <v>0.0591</v>
      </c>
      <c r="F127">
        <f t="shared" si="8"/>
        <v>0.0543648238432527</v>
      </c>
      <c r="G127">
        <f>((L91+D92)/365)*F127</f>
        <v>0.521306530003793</v>
      </c>
      <c r="H127">
        <f>INDEX(DE_Base_Profile!$N$6:$Q$29,ROW()-107,MATCH(J91,DE_Base_Profile!$N$5:$Q$5,0))</f>
        <v>0</v>
      </c>
      <c r="I127">
        <f>(F92/365)*H127</f>
        <v>0</v>
      </c>
      <c r="J127">
        <f>(G127+I127)/(H92/365)</f>
        <v>0.0543648238432527</v>
      </c>
    </row>
    <row r="128" spans="1:10">
      <c r="A128">
        <f>DE_Base_Profile!H26</f>
        <v>20</v>
      </c>
      <c r="B128">
        <f>DE_Base_Profile!I26</f>
        <v>0.0556</v>
      </c>
      <c r="C128">
        <f>IF(DE_Base_Profile!J26=1,INDEX(DE_Lookups!$B$2:$B$4,MATCH(B91,DE_Lookups!$A$2:$A$4,0)),1)</f>
        <v>1</v>
      </c>
      <c r="D128">
        <f>IF(OR(D91="Air conditioning",D91="Heat pump (heating &amp; cooling)"),IF(DE_Base_Profile!K26=1,N92,1),1)*IF(OR(D91="Electric heating",D91="Heat pump (heating &amp; cooling)"),IF(DE_Base_Profile!L26=1,P92,1),1)</f>
        <v>1</v>
      </c>
      <c r="E128">
        <f t="shared" si="7"/>
        <v>0.0556</v>
      </c>
      <c r="F128">
        <f t="shared" si="8"/>
        <v>0.0511452488271548</v>
      </c>
      <c r="G128">
        <f>((L91+D92)/365)*F128</f>
        <v>0.490433892863128</v>
      </c>
      <c r="H128">
        <f>INDEX(DE_Base_Profile!$N$6:$Q$29,ROW()-107,MATCH(J91,DE_Base_Profile!$N$5:$Q$5,0))</f>
        <v>0</v>
      </c>
      <c r="I128">
        <f>(F92/365)*H128</f>
        <v>0</v>
      </c>
      <c r="J128">
        <f>(G128+I128)/(H92/365)</f>
        <v>0.0511452488271548</v>
      </c>
    </row>
    <row r="129" spans="1:16">
      <c r="A129">
        <f>DE_Base_Profile!H27</f>
        <v>21</v>
      </c>
      <c r="B129">
        <f>DE_Base_Profile!I27</f>
        <v>0.0508</v>
      </c>
      <c r="C129">
        <f>IF(DE_Base_Profile!J27=1,INDEX(DE_Lookups!$B$2:$B$4,MATCH(B91,DE_Lookups!$A$2:$A$4,0)),1)</f>
        <v>1</v>
      </c>
      <c r="D129">
        <f>IF(OR(D91="Air conditioning",D91="Heat pump (heating &amp; cooling)"),IF(DE_Base_Profile!K27=1,N92,1),1)*IF(OR(D91="Electric heating",D91="Heat pump (heating &amp; cooling)"),IF(DE_Base_Profile!L27=1,P92,1),1)</f>
        <v>1</v>
      </c>
      <c r="E129">
        <f t="shared" si="7"/>
        <v>0.0508</v>
      </c>
      <c r="F129">
        <f t="shared" si="8"/>
        <v>0.0467298316622206</v>
      </c>
      <c r="G129">
        <f>((L91+D92)/365)*F129</f>
        <v>0.448094276213074</v>
      </c>
      <c r="H129">
        <f>INDEX(DE_Base_Profile!$N$6:$Q$29,ROW()-107,MATCH(J91,DE_Base_Profile!$N$5:$Q$5,0))</f>
        <v>0</v>
      </c>
      <c r="I129">
        <f>(F92/365)*H129</f>
        <v>0</v>
      </c>
      <c r="J129">
        <f>(G129+I129)/(H92/365)</f>
        <v>0.0467298316622206</v>
      </c>
    </row>
    <row r="130" spans="1:16">
      <c r="A130">
        <f>DE_Base_Profile!H28</f>
        <v>22</v>
      </c>
      <c r="B130">
        <f>DE_Base_Profile!I28</f>
        <v>0.0451</v>
      </c>
      <c r="C130">
        <f>IF(DE_Base_Profile!J28=1,INDEX(DE_Lookups!$B$2:$B$4,MATCH(B91,DE_Lookups!$A$2:$A$4,0)),1)</f>
        <v>1</v>
      </c>
      <c r="D130">
        <f>IF(OR(D91="Air conditioning",D91="Heat pump (heating &amp; cooling)"),IF(DE_Base_Profile!K28=1,N92,1),1)*IF(OR(D91="Electric heating",D91="Heat pump (heating &amp; cooling)"),IF(DE_Base_Profile!L28=1,P92,1),1)</f>
        <v>1</v>
      </c>
      <c r="E130">
        <f t="shared" si="7"/>
        <v>0.0451</v>
      </c>
      <c r="F130">
        <f t="shared" si="8"/>
        <v>0.0414865237788612</v>
      </c>
      <c r="G130">
        <f>((L91+D92)/365)*F130</f>
        <v>0.397815981441135</v>
      </c>
      <c r="H130">
        <f>INDEX(DE_Base_Profile!$N$6:$Q$29,ROW()-107,MATCH(J91,DE_Base_Profile!$N$5:$Q$5,0))</f>
        <v>0.125</v>
      </c>
      <c r="I130">
        <f>(F92/365)*H130</f>
        <v>0</v>
      </c>
      <c r="J130">
        <f>(G130+I130)/(H92/365)</f>
        <v>0.0414865237788612</v>
      </c>
    </row>
    <row r="131" spans="1:16">
      <c r="A131">
        <f>DE_Base_Profile!H29</f>
        <v>23</v>
      </c>
      <c r="B131">
        <f>DE_Base_Profile!I29</f>
        <v>0.0366</v>
      </c>
      <c r="C131">
        <f>IF(DE_Base_Profile!J29=1,INDEX(DE_Lookups!$B$2:$B$4,MATCH(B91,DE_Lookups!$A$2:$A$4,0)),1)</f>
        <v>1</v>
      </c>
      <c r="D131">
        <f>IF(OR(D91="Air conditioning",D91="Heat pump (heating &amp; cooling)"),IF(DE_Base_Profile!K29=1,N92,1),1)*IF(OR(D91="Electric heating",D91="Heat pump (heating &amp; cooling)"),IF(DE_Base_Profile!L29=1,P92,1),1)</f>
        <v>1</v>
      </c>
      <c r="E131">
        <f t="shared" si="7"/>
        <v>0.0366</v>
      </c>
      <c r="F131">
        <f t="shared" si="8"/>
        <v>0.0336675558826235</v>
      </c>
      <c r="G131">
        <f>((L91+D92)/365)*F131</f>
        <v>0.322839576956664</v>
      </c>
      <c r="H131">
        <f>INDEX(DE_Base_Profile!$N$6:$Q$29,ROW()-107,MATCH(J91,DE_Base_Profile!$N$5:$Q$5,0))</f>
        <v>0.125</v>
      </c>
      <c r="I131">
        <f>(F92/365)*H131</f>
        <v>0</v>
      </c>
      <c r="J131">
        <f>(G131+I131)/(H92/365)</f>
        <v>0.0336675558826235</v>
      </c>
    </row>
    <row r="136" spans="1:16">
      <c r="A136" t="s">
        <v>51</v>
      </c>
      <c r="B136" t="str">
        <f>DE_Option_Monthly!C7</f>
        <v>Mostly away during the day</v>
      </c>
      <c r="C136" t="s">
        <v>188</v>
      </c>
      <c r="D136" t="str">
        <f>DE_Option_Monthly!D7</f>
        <v>No heating or cooling system</v>
      </c>
      <c r="E136" t="s">
        <v>68</v>
      </c>
      <c r="F136" t="str">
        <f>DE_Option_Monthly!E7</f>
        <v>Medium</v>
      </c>
      <c r="G136" t="s">
        <v>98</v>
      </c>
      <c r="H136" t="str">
        <f>DE_Option_Monthly!F7</f>
        <v>No electric vehicle</v>
      </c>
      <c r="I136" t="s">
        <v>289</v>
      </c>
      <c r="J136" t="str">
        <f>DE_Option_Monthly!G7</f>
        <v>Mostly overnight</v>
      </c>
      <c r="K136" t="s">
        <v>290</v>
      </c>
      <c r="L136">
        <f>DE_Option_Monthly!$B$1</f>
        <v>3500</v>
      </c>
    </row>
    <row r="137" spans="1:16">
      <c r="A137" t="s">
        <v>291</v>
      </c>
      <c r="B137">
        <f>INDEX(DE_Lookups!$E$2:$E$5,MATCH(F136,DE_Lookups!$D$2:$D$5,0))</f>
        <v>1</v>
      </c>
      <c r="C137" t="s">
        <v>292</v>
      </c>
      <c r="D137">
        <f>IF(OR(D136="Electric heating",D136="Heat pump (heating &amp; cooling)"),INDEX(DE_Lookups!$L$2:$L$5,MATCH(D136,DE_Lookups!$K$2:$K$5,0))*B137,0)</f>
        <v>0</v>
      </c>
      <c r="E137" t="s">
        <v>293</v>
      </c>
      <c r="F137">
        <f>INDEX(DE_Lookups!$O$2:$O$7,MATCH(H136,DE_Lookups!$N$2:$N$7,0))*0.18</f>
        <v>0</v>
      </c>
      <c r="G137" t="s">
        <v>294</v>
      </c>
      <c r="H137">
        <f>L136+D137+F137</f>
        <v>3500</v>
      </c>
      <c r="I137" t="s">
        <v>295</v>
      </c>
      <c r="J137">
        <f>INDEX(DE_Lookups!$F$2:$F$5,MATCH(F136,DE_Lookups!$D$2:$D$5,0))</f>
        <v>1.1</v>
      </c>
      <c r="K137" t="s">
        <v>296</v>
      </c>
      <c r="L137">
        <f>INDEX(DE_Lookups!$G$2:$G$5,MATCH(F136,DE_Lookups!$D$2:$D$5,0))</f>
        <v>1.15</v>
      </c>
      <c r="M137" t="s">
        <v>297</v>
      </c>
      <c r="N137">
        <f>INDEX(DE_Lookups!$H$2:$H$5,MATCH(F136,DE_Lookups!$D$2:$D$5,0))</f>
        <v>1.2</v>
      </c>
      <c r="O137" t="s">
        <v>298</v>
      </c>
      <c r="P137">
        <f>INDEX(DE_Lookups!$I$2:$I$5,MATCH(F136,DE_Lookups!$D$2:$D$5,0))</f>
        <v>1.15</v>
      </c>
    </row>
    <row r="139" spans="1:16">
      <c r="A139" t="str">
        <f>DE_Base_Profile!A6</f>
        <v>1月</v>
      </c>
      <c r="B139">
        <f>DE_Base_Profile!B6</f>
        <v>0.0789</v>
      </c>
      <c r="C139">
        <f>L136*B139</f>
        <v>276.15</v>
      </c>
      <c r="D139">
        <f>1+IF(OR(D136="Air conditioning",D136="Heat pump (heating &amp; cooling)"),IF(DE_Base_Profile!D6=1,J137-1,0),0)+IF(OR(D136="Electric heating",D136="Heat pump (heating &amp; cooling)"),IF(DE_Base_Profile!E6=1,L137-1,0),0)</f>
        <v>1</v>
      </c>
      <c r="E139">
        <f t="shared" ref="E139:E150" si="9">C139*D139</f>
        <v>276.15</v>
      </c>
      <c r="F139">
        <f>IF(D136="Electric heating",IF(DE_Base_Profile!E6=1,B139*L137,0),IF(D136="Heat pump (heating &amp; cooling)",IF(DE_Base_Profile!D6=1,B139*J137,0)+IF(DE_Base_Profile!E6=1,B139*L137,0),0))</f>
        <v>0</v>
      </c>
      <c r="G139">
        <f>IF(SUM($F$139:$F$150)=0,0,D137*F139/SUM($F$139:$F$150))</f>
        <v>0</v>
      </c>
      <c r="H139">
        <f>F137/12</f>
        <v>0</v>
      </c>
      <c r="I139">
        <f>E139/SUM($E$139:$E$150)*L136+G139+H139</f>
        <v>276.15</v>
      </c>
      <c r="J139">
        <f>I139/H137</f>
        <v>0.0789</v>
      </c>
    </row>
    <row r="140" spans="1:16">
      <c r="A140" t="str">
        <f>DE_Base_Profile!A7</f>
        <v>2月</v>
      </c>
      <c r="B140">
        <f>DE_Base_Profile!B7</f>
        <v>0.0791</v>
      </c>
      <c r="C140">
        <f>L136*B140</f>
        <v>276.85</v>
      </c>
      <c r="D140">
        <f>1+IF(OR(D136="Air conditioning",D136="Heat pump (heating &amp; cooling)"),IF(DE_Base_Profile!D7=1,J137-1,0),0)+IF(OR(D136="Electric heating",D136="Heat pump (heating &amp; cooling)"),IF(DE_Base_Profile!E7=1,L137-1,0),0)</f>
        <v>1</v>
      </c>
      <c r="E140">
        <f t="shared" si="9"/>
        <v>276.85</v>
      </c>
      <c r="F140">
        <f>IF(D136="Electric heating",IF(DE_Base_Profile!E7=1,B140*L137,0),IF(D136="Heat pump (heating &amp; cooling)",IF(DE_Base_Profile!D7=1,B140*J137,0)+IF(DE_Base_Profile!E7=1,B140*L137,0),0))</f>
        <v>0</v>
      </c>
      <c r="G140">
        <f>IF(SUM($F$139:$F$150)=0,0,D137*F140/SUM($F$139:$F$150))</f>
        <v>0</v>
      </c>
      <c r="H140">
        <f>F137/12</f>
        <v>0</v>
      </c>
      <c r="I140">
        <f>E140/SUM($E$139:$E$150)*L136+G140+H140</f>
        <v>276.85</v>
      </c>
      <c r="J140">
        <f>I140/H137</f>
        <v>0.0791</v>
      </c>
    </row>
    <row r="141" spans="1:16">
      <c r="A141" t="str">
        <f>DE_Base_Profile!A8</f>
        <v>3月</v>
      </c>
      <c r="B141">
        <f>DE_Base_Profile!B8</f>
        <v>0.0773</v>
      </c>
      <c r="C141">
        <f>L136*B141</f>
        <v>270.55</v>
      </c>
      <c r="D141">
        <f>1+IF(OR(D136="Air conditioning",D136="Heat pump (heating &amp; cooling)"),IF(DE_Base_Profile!D8=1,J137-1,0),0)+IF(OR(D136="Electric heating",D136="Heat pump (heating &amp; cooling)"),IF(DE_Base_Profile!E8=1,L137-1,0),0)</f>
        <v>1</v>
      </c>
      <c r="E141">
        <f t="shared" si="9"/>
        <v>270.55</v>
      </c>
      <c r="F141">
        <f>IF(D136="Electric heating",IF(DE_Base_Profile!E8=1,B141*L137,0),IF(D136="Heat pump (heating &amp; cooling)",IF(DE_Base_Profile!D8=1,B141*J137,0)+IF(DE_Base_Profile!E8=1,B141*L137,0),0))</f>
        <v>0</v>
      </c>
      <c r="G141">
        <f>IF(SUM($F$139:$F$150)=0,0,D137*F141/SUM($F$139:$F$150))</f>
        <v>0</v>
      </c>
      <c r="H141">
        <f>F137/12</f>
        <v>0</v>
      </c>
      <c r="I141">
        <f>E141/SUM($E$139:$E$150)*L136+G141+H141</f>
        <v>270.55</v>
      </c>
      <c r="J141">
        <f>I141/H137</f>
        <v>0.0773</v>
      </c>
    </row>
    <row r="142" spans="1:16">
      <c r="A142" t="str">
        <f>DE_Base_Profile!A9</f>
        <v>4月</v>
      </c>
      <c r="B142">
        <f>DE_Base_Profile!B9</f>
        <v>0.0822</v>
      </c>
      <c r="C142">
        <f>L136*B142</f>
        <v>287.7</v>
      </c>
      <c r="D142">
        <f>1+IF(OR(D136="Air conditioning",D136="Heat pump (heating &amp; cooling)"),IF(DE_Base_Profile!D9=1,J137-1,0),0)+IF(OR(D136="Electric heating",D136="Heat pump (heating &amp; cooling)"),IF(DE_Base_Profile!E9=1,L137-1,0),0)</f>
        <v>1</v>
      </c>
      <c r="E142">
        <f t="shared" si="9"/>
        <v>287.7</v>
      </c>
      <c r="F142">
        <f>IF(D136="Electric heating",IF(DE_Base_Profile!E9=1,B142*L137,0),IF(D136="Heat pump (heating &amp; cooling)",IF(DE_Base_Profile!D9=1,B142*J137,0)+IF(DE_Base_Profile!E9=1,B142*L137,0),0))</f>
        <v>0</v>
      </c>
      <c r="G142">
        <f>IF(SUM($F$139:$F$150)=0,0,D137*F142/SUM($F$139:$F$150))</f>
        <v>0</v>
      </c>
      <c r="H142">
        <f>F137/12</f>
        <v>0</v>
      </c>
      <c r="I142">
        <f>E142/SUM($E$139:$E$150)*L136+G142+H142</f>
        <v>287.7</v>
      </c>
      <c r="J142">
        <f>I142/H137</f>
        <v>0.0822</v>
      </c>
    </row>
    <row r="143" spans="1:16">
      <c r="A143" t="str">
        <f>DE_Base_Profile!A10</f>
        <v>5月</v>
      </c>
      <c r="B143">
        <f>DE_Base_Profile!B10</f>
        <v>0.0839</v>
      </c>
      <c r="C143">
        <f>L136*B143</f>
        <v>293.65</v>
      </c>
      <c r="D143">
        <f>1+IF(OR(D136="Air conditioning",D136="Heat pump (heating &amp; cooling)"),IF(DE_Base_Profile!D10=1,J137-1,0),0)+IF(OR(D136="Electric heating",D136="Heat pump (heating &amp; cooling)"),IF(DE_Base_Profile!E10=1,L137-1,0),0)</f>
        <v>1</v>
      </c>
      <c r="E143">
        <f t="shared" si="9"/>
        <v>293.65</v>
      </c>
      <c r="F143">
        <f>IF(D136="Electric heating",IF(DE_Base_Profile!E10=1,B143*L137,0),IF(D136="Heat pump (heating &amp; cooling)",IF(DE_Base_Profile!D10=1,B143*J137,0)+IF(DE_Base_Profile!E10=1,B143*L137,0),0))</f>
        <v>0</v>
      </c>
      <c r="G143">
        <f>IF(SUM($F$139:$F$150)=0,0,D137*F143/SUM($F$139:$F$150))</f>
        <v>0</v>
      </c>
      <c r="H143">
        <f>F137/12</f>
        <v>0</v>
      </c>
      <c r="I143">
        <f>E143/SUM($E$139:$E$150)*L136+G143+H143</f>
        <v>293.65</v>
      </c>
      <c r="J143">
        <f>I143/H137</f>
        <v>0.0839</v>
      </c>
    </row>
    <row r="144" spans="1:16">
      <c r="A144" t="str">
        <f>DE_Base_Profile!A11</f>
        <v>6月</v>
      </c>
      <c r="B144">
        <f>DE_Base_Profile!B11</f>
        <v>0.0876</v>
      </c>
      <c r="C144">
        <f>L136*B144</f>
        <v>306.6</v>
      </c>
      <c r="D144">
        <f>1+IF(OR(D136="Air conditioning",D136="Heat pump (heating &amp; cooling)"),IF(DE_Base_Profile!D11=1,J137-1,0),0)+IF(OR(D136="Electric heating",D136="Heat pump (heating &amp; cooling)"),IF(DE_Base_Profile!E11=1,L137-1,0),0)</f>
        <v>1</v>
      </c>
      <c r="E144">
        <f t="shared" si="9"/>
        <v>306.6</v>
      </c>
      <c r="F144">
        <f>IF(D136="Electric heating",IF(DE_Base_Profile!E11=1,B144*L137,0),IF(D136="Heat pump (heating &amp; cooling)",IF(DE_Base_Profile!D11=1,B144*J137,0)+IF(DE_Base_Profile!E11=1,B144*L137,0),0))</f>
        <v>0</v>
      </c>
      <c r="G144">
        <f>IF(SUM($F$139:$F$150)=0,0,D137*F144/SUM($F$139:$F$150))</f>
        <v>0</v>
      </c>
      <c r="H144">
        <f>F137/12</f>
        <v>0</v>
      </c>
      <c r="I144">
        <f>E144/SUM($E$139:$E$150)*L136+G144+H144</f>
        <v>306.6</v>
      </c>
      <c r="J144">
        <f>I144/H137</f>
        <v>0.0876</v>
      </c>
    </row>
    <row r="145" spans="1:10">
      <c r="A145" t="str">
        <f>DE_Base_Profile!A12</f>
        <v>7月</v>
      </c>
      <c r="B145">
        <f>DE_Base_Profile!B12</f>
        <v>0.0917</v>
      </c>
      <c r="C145">
        <f>L136*B145</f>
        <v>320.95</v>
      </c>
      <c r="D145">
        <f>1+IF(OR(D136="Air conditioning",D136="Heat pump (heating &amp; cooling)"),IF(DE_Base_Profile!D12=1,J137-1,0),0)+IF(OR(D136="Electric heating",D136="Heat pump (heating &amp; cooling)"),IF(DE_Base_Profile!E12=1,L137-1,0),0)</f>
        <v>1</v>
      </c>
      <c r="E145">
        <f t="shared" si="9"/>
        <v>320.95</v>
      </c>
      <c r="F145">
        <f>IF(D136="Electric heating",IF(DE_Base_Profile!E12=1,B145*L137,0),IF(D136="Heat pump (heating &amp; cooling)",IF(DE_Base_Profile!D12=1,B145*J137,0)+IF(DE_Base_Profile!E12=1,B145*L137,0),0))</f>
        <v>0</v>
      </c>
      <c r="G145">
        <f>IF(SUM($F$139:$F$150)=0,0,D137*F145/SUM($F$139:$F$150))</f>
        <v>0</v>
      </c>
      <c r="H145">
        <f>F137/12</f>
        <v>0</v>
      </c>
      <c r="I145">
        <f>E145/SUM($E$139:$E$150)*L136+G145+H145</f>
        <v>320.95</v>
      </c>
      <c r="J145">
        <f>I145/H137</f>
        <v>0.0917</v>
      </c>
    </row>
    <row r="146" spans="1:10">
      <c r="A146" t="str">
        <f>DE_Base_Profile!A13</f>
        <v>8月</v>
      </c>
      <c r="B146">
        <f>DE_Base_Profile!B13</f>
        <v>0.0887</v>
      </c>
      <c r="C146">
        <f>L136*B146</f>
        <v>310.45</v>
      </c>
      <c r="D146">
        <f>1+IF(OR(D136="Air conditioning",D136="Heat pump (heating &amp; cooling)"),IF(DE_Base_Profile!D13=1,J137-1,0),0)+IF(OR(D136="Electric heating",D136="Heat pump (heating &amp; cooling)"),IF(DE_Base_Profile!E13=1,L137-1,0),0)</f>
        <v>1</v>
      </c>
      <c r="E146">
        <f t="shared" si="9"/>
        <v>310.45</v>
      </c>
      <c r="F146">
        <f>IF(D136="Electric heating",IF(DE_Base_Profile!E13=1,B146*L137,0),IF(D136="Heat pump (heating &amp; cooling)",IF(DE_Base_Profile!D13=1,B146*J137,0)+IF(DE_Base_Profile!E13=1,B146*L137,0),0))</f>
        <v>0</v>
      </c>
      <c r="G146">
        <f>IF(SUM($F$139:$F$150)=0,0,D137*F146/SUM($F$139:$F$150))</f>
        <v>0</v>
      </c>
      <c r="H146">
        <f>F137/12</f>
        <v>0</v>
      </c>
      <c r="I146">
        <f>E146/SUM($E$139:$E$150)*L136+G146+H146</f>
        <v>310.45</v>
      </c>
      <c r="J146">
        <f>I146/H137</f>
        <v>0.0887</v>
      </c>
    </row>
    <row r="147" spans="1:10">
      <c r="A147" t="str">
        <f>DE_Base_Profile!A14</f>
        <v>9月</v>
      </c>
      <c r="B147">
        <f>DE_Base_Profile!B14</f>
        <v>0.0853</v>
      </c>
      <c r="C147">
        <f>L136*B147</f>
        <v>298.55</v>
      </c>
      <c r="D147">
        <f>1+IF(OR(D136="Air conditioning",D136="Heat pump (heating &amp; cooling)"),IF(DE_Base_Profile!D14=1,J137-1,0),0)+IF(OR(D136="Electric heating",D136="Heat pump (heating &amp; cooling)"),IF(DE_Base_Profile!E14=1,L137-1,0),0)</f>
        <v>1</v>
      </c>
      <c r="E147">
        <f t="shared" si="9"/>
        <v>298.55</v>
      </c>
      <c r="F147">
        <f>IF(D136="Electric heating",IF(DE_Base_Profile!E14=1,B147*L137,0),IF(D136="Heat pump (heating &amp; cooling)",IF(DE_Base_Profile!D14=1,B147*J137,0)+IF(DE_Base_Profile!E14=1,B147*L137,0),0))</f>
        <v>0</v>
      </c>
      <c r="G147">
        <f>IF(SUM($F$139:$F$150)=0,0,D137*F147/SUM($F$139:$F$150))</f>
        <v>0</v>
      </c>
      <c r="H147">
        <f>F137/12</f>
        <v>0</v>
      </c>
      <c r="I147">
        <f>E147/SUM($E$139:$E$150)*L136+G147+H147</f>
        <v>298.55</v>
      </c>
      <c r="J147">
        <f>I147/H137</f>
        <v>0.0853</v>
      </c>
    </row>
    <row r="148" spans="1:10">
      <c r="A148" t="str">
        <f>DE_Base_Profile!A15</f>
        <v>10月</v>
      </c>
      <c r="B148">
        <f>DE_Base_Profile!B15</f>
        <v>0.0838</v>
      </c>
      <c r="C148">
        <f>L136*B148</f>
        <v>293.3</v>
      </c>
      <c r="D148">
        <f>1+IF(OR(D136="Air conditioning",D136="Heat pump (heating &amp; cooling)"),IF(DE_Base_Profile!D15=1,J137-1,0),0)+IF(OR(D136="Electric heating",D136="Heat pump (heating &amp; cooling)"),IF(DE_Base_Profile!E15=1,L137-1,0),0)</f>
        <v>1</v>
      </c>
      <c r="E148">
        <f t="shared" si="9"/>
        <v>293.3</v>
      </c>
      <c r="F148">
        <f>IF(D136="Electric heating",IF(DE_Base_Profile!E15=1,B148*L137,0),IF(D136="Heat pump (heating &amp; cooling)",IF(DE_Base_Profile!D15=1,B148*J137,0)+IF(DE_Base_Profile!E15=1,B148*L137,0),0))</f>
        <v>0</v>
      </c>
      <c r="G148">
        <f>IF(SUM($F$139:$F$150)=0,0,D137*F148/SUM($F$139:$F$150))</f>
        <v>0</v>
      </c>
      <c r="H148">
        <f>F137/12</f>
        <v>0</v>
      </c>
      <c r="I148">
        <f>E148/SUM($E$139:$E$150)*L136+G148+H148</f>
        <v>293.3</v>
      </c>
      <c r="J148">
        <f>I148/H137</f>
        <v>0.0838</v>
      </c>
    </row>
    <row r="149" spans="1:10">
      <c r="A149" t="str">
        <f>DE_Base_Profile!A16</f>
        <v>11月</v>
      </c>
      <c r="B149">
        <f>DE_Base_Profile!B16</f>
        <v>0.0819</v>
      </c>
      <c r="C149">
        <f>L136*B149</f>
        <v>286.65</v>
      </c>
      <c r="D149">
        <f>1+IF(OR(D136="Air conditioning",D136="Heat pump (heating &amp; cooling)"),IF(DE_Base_Profile!D16=1,J137-1,0),0)+IF(OR(D136="Electric heating",D136="Heat pump (heating &amp; cooling)"),IF(DE_Base_Profile!E16=1,L137-1,0),0)</f>
        <v>1</v>
      </c>
      <c r="E149">
        <f t="shared" si="9"/>
        <v>286.65</v>
      </c>
      <c r="F149">
        <f>IF(D136="Electric heating",IF(DE_Base_Profile!E16=1,B149*L137,0),IF(D136="Heat pump (heating &amp; cooling)",IF(DE_Base_Profile!D16=1,B149*J137,0)+IF(DE_Base_Profile!E16=1,B149*L137,0),0))</f>
        <v>0</v>
      </c>
      <c r="G149">
        <f>IF(SUM($F$139:$F$150)=0,0,D137*F149/SUM($F$139:$F$150))</f>
        <v>0</v>
      </c>
      <c r="H149">
        <f>F137/12</f>
        <v>0</v>
      </c>
      <c r="I149">
        <f>E149/SUM($E$139:$E$150)*L136+G149+H149</f>
        <v>286.65</v>
      </c>
      <c r="J149">
        <f>I149/H137</f>
        <v>0.0819</v>
      </c>
    </row>
    <row r="150" spans="1:10">
      <c r="A150" t="str">
        <f>DE_Base_Profile!A17</f>
        <v>12月</v>
      </c>
      <c r="B150">
        <f>DE_Base_Profile!B17</f>
        <v>0.0796</v>
      </c>
      <c r="C150">
        <f>L136*B150</f>
        <v>278.6</v>
      </c>
      <c r="D150">
        <f>1+IF(OR(D136="Air conditioning",D136="Heat pump (heating &amp; cooling)"),IF(DE_Base_Profile!D17=1,J137-1,0),0)+IF(OR(D136="Electric heating",D136="Heat pump (heating &amp; cooling)"),IF(DE_Base_Profile!E17=1,L137-1,0),0)</f>
        <v>1</v>
      </c>
      <c r="E150">
        <f t="shared" si="9"/>
        <v>278.6</v>
      </c>
      <c r="F150">
        <f>IF(D136="Electric heating",IF(DE_Base_Profile!E17=1,B150*L137,0),IF(D136="Heat pump (heating &amp; cooling)",IF(DE_Base_Profile!D17=1,B150*J137,0)+IF(DE_Base_Profile!E17=1,B150*L137,0),0))</f>
        <v>0</v>
      </c>
      <c r="G150">
        <f>IF(SUM($F$139:$F$150)=0,0,D137*F150/SUM($F$139:$F$150))</f>
        <v>0</v>
      </c>
      <c r="H150">
        <f>F137/12</f>
        <v>0</v>
      </c>
      <c r="I150">
        <f>E150/SUM($E$139:$E$150)*L136+G150+H150</f>
        <v>278.6</v>
      </c>
      <c r="J150">
        <f>I150/H137</f>
        <v>0.0796</v>
      </c>
    </row>
    <row r="153" spans="1:10">
      <c r="A153">
        <f>DE_Base_Profile!H6</f>
        <v>0</v>
      </c>
      <c r="B153">
        <f>DE_Base_Profile!I6</f>
        <v>0.0301</v>
      </c>
      <c r="C153">
        <f>IF(DE_Base_Profile!J6=1,INDEX(DE_Lookups!$B$2:$B$4,MATCH(B136,DE_Lookups!$A$2:$A$4,0)),1)</f>
        <v>1</v>
      </c>
      <c r="D153">
        <f>IF(OR(D136="Air conditioning",D136="Heat pump (heating &amp; cooling)"),IF(DE_Base_Profile!K6=1,N137,1),1)*IF(OR(D136="Electric heating",D136="Heat pump (heating &amp; cooling)"),IF(DE_Base_Profile!L6=1,P137,1),1)</f>
        <v>1</v>
      </c>
      <c r="E153">
        <f t="shared" ref="E153:E176" si="10">B153*C153*D153</f>
        <v>0.0301</v>
      </c>
      <c r="F153">
        <f t="shared" ref="F153:F176" si="11">E153/SUM($E$153:$E$176)</f>
        <v>0.0364495035117462</v>
      </c>
      <c r="G153">
        <f>((L136+D137)/365)*F153</f>
        <v>0.349515787098936</v>
      </c>
      <c r="H153">
        <f>INDEX(DE_Base_Profile!$N$6:$Q$29,ROW()-152,MATCH(J136,DE_Base_Profile!$N$5:$Q$5,0))</f>
        <v>0.125</v>
      </c>
      <c r="I153">
        <f>(F137/365)*H153</f>
        <v>0</v>
      </c>
      <c r="J153">
        <f>(G153+I153)/(H137/365)</f>
        <v>0.0364495035117462</v>
      </c>
    </row>
    <row r="154" spans="1:10">
      <c r="A154">
        <f>DE_Base_Profile!H7</f>
        <v>1</v>
      </c>
      <c r="B154">
        <f>DE_Base_Profile!I7</f>
        <v>0.0258</v>
      </c>
      <c r="C154">
        <f>IF(DE_Base_Profile!J7=1,INDEX(DE_Lookups!$B$2:$B$4,MATCH(B136,DE_Lookups!$A$2:$A$4,0)),1)</f>
        <v>1</v>
      </c>
      <c r="D154">
        <f>IF(OR(D136="Air conditioning",D136="Heat pump (heating &amp; cooling)"),IF(DE_Base_Profile!K7=1,N137,1),1)*IF(OR(D136="Electric heating",D136="Heat pump (heating &amp; cooling)"),IF(DE_Base_Profile!L7=1,P137,1),1)</f>
        <v>1</v>
      </c>
      <c r="E154">
        <f t="shared" si="10"/>
        <v>0.0258</v>
      </c>
      <c r="F154">
        <f t="shared" si="11"/>
        <v>0.0312424315814967</v>
      </c>
      <c r="G154">
        <f>((L136+D137)/365)*F154</f>
        <v>0.299584960370517</v>
      </c>
      <c r="H154">
        <f>INDEX(DE_Base_Profile!$N$6:$Q$29,ROW()-152,MATCH(J136,DE_Base_Profile!$N$5:$Q$5,0))</f>
        <v>0.125</v>
      </c>
      <c r="I154">
        <f>(F137/365)*H154</f>
        <v>0</v>
      </c>
      <c r="J154">
        <f>(G154+I154)/(H137/365)</f>
        <v>0.0312424315814967</v>
      </c>
    </row>
    <row r="155" spans="1:10">
      <c r="A155">
        <f>DE_Base_Profile!H8</f>
        <v>2</v>
      </c>
      <c r="B155">
        <f>DE_Base_Profile!I8</f>
        <v>0.0239</v>
      </c>
      <c r="C155">
        <f>IF(DE_Base_Profile!J8=1,INDEX(DE_Lookups!$B$2:$B$4,MATCH(B136,DE_Lookups!$A$2:$A$4,0)),1)</f>
        <v>1</v>
      </c>
      <c r="D155">
        <f>IF(OR(D136="Air conditioning",D136="Heat pump (heating &amp; cooling)"),IF(DE_Base_Profile!K8=1,N137,1),1)*IF(OR(D136="Electric heating",D136="Heat pump (heating &amp; cooling)"),IF(DE_Base_Profile!L8=1,P137,1),1)</f>
        <v>1</v>
      </c>
      <c r="E155">
        <f t="shared" si="10"/>
        <v>0.0239</v>
      </c>
      <c r="F155">
        <f t="shared" si="11"/>
        <v>0.0289416323565028</v>
      </c>
      <c r="G155">
        <f>((L136+D137)/365)*F155</f>
        <v>0.277522502048657</v>
      </c>
      <c r="H155">
        <f>INDEX(DE_Base_Profile!$N$6:$Q$29,ROW()-152,MATCH(J136,DE_Base_Profile!$N$5:$Q$5,0))</f>
        <v>0.125</v>
      </c>
      <c r="I155">
        <f>(F137/365)*H155</f>
        <v>0</v>
      </c>
      <c r="J155">
        <f>(G155+I155)/(H137/365)</f>
        <v>0.0289416323565028</v>
      </c>
    </row>
    <row r="156" spans="1:10">
      <c r="A156">
        <f>DE_Base_Profile!H9</f>
        <v>3</v>
      </c>
      <c r="B156">
        <f>DE_Base_Profile!I9</f>
        <v>0.0232</v>
      </c>
      <c r="C156">
        <f>IF(DE_Base_Profile!J9=1,INDEX(DE_Lookups!$B$2:$B$4,MATCH(B136,DE_Lookups!$A$2:$A$4,0)),1)</f>
        <v>1</v>
      </c>
      <c r="D156">
        <f>IF(OR(D136="Air conditioning",D136="Heat pump (heating &amp; cooling)"),IF(DE_Base_Profile!K9=1,N137,1),1)*IF(OR(D136="Electric heating",D136="Heat pump (heating &amp; cooling)"),IF(DE_Base_Profile!L9=1,P137,1),1)</f>
        <v>1</v>
      </c>
      <c r="E156">
        <f t="shared" si="10"/>
        <v>0.0232</v>
      </c>
      <c r="F156">
        <f t="shared" si="11"/>
        <v>0.0280939694841366</v>
      </c>
      <c r="G156">
        <f>((L136+D137)/365)*F156</f>
        <v>0.269394227930077</v>
      </c>
      <c r="H156">
        <f>INDEX(DE_Base_Profile!$N$6:$Q$29,ROW()-152,MATCH(J136,DE_Base_Profile!$N$5:$Q$5,0))</f>
        <v>0.125</v>
      </c>
      <c r="I156">
        <f>(F137/365)*H156</f>
        <v>0</v>
      </c>
      <c r="J156">
        <f>(G156+I156)/(H137/365)</f>
        <v>0.0280939694841366</v>
      </c>
    </row>
    <row r="157" spans="1:10">
      <c r="A157">
        <f>DE_Base_Profile!H10</f>
        <v>4</v>
      </c>
      <c r="B157">
        <f>DE_Base_Profile!I10</f>
        <v>0.0236</v>
      </c>
      <c r="C157">
        <f>IF(DE_Base_Profile!J10=1,INDEX(DE_Lookups!$B$2:$B$4,MATCH(B136,DE_Lookups!$A$2:$A$4,0)),1)</f>
        <v>1</v>
      </c>
      <c r="D157">
        <f>IF(OR(D136="Air conditioning",D136="Heat pump (heating &amp; cooling)"),IF(DE_Base_Profile!K10=1,N137,1),1)*IF(OR(D136="Electric heating",D136="Heat pump (heating &amp; cooling)"),IF(DE_Base_Profile!L10=1,P137,1),1)</f>
        <v>1</v>
      </c>
      <c r="E157">
        <f t="shared" si="10"/>
        <v>0.0236</v>
      </c>
      <c r="F157">
        <f t="shared" si="11"/>
        <v>0.0285783482683458</v>
      </c>
      <c r="G157">
        <f>((L136+D137)/365)*F157</f>
        <v>0.274038955997837</v>
      </c>
      <c r="H157">
        <f>INDEX(DE_Base_Profile!$N$6:$Q$29,ROW()-152,MATCH(J136,DE_Base_Profile!$N$5:$Q$5,0))</f>
        <v>0.125</v>
      </c>
      <c r="I157">
        <f>(F137/365)*H157</f>
        <v>0</v>
      </c>
      <c r="J157">
        <f>(G157+I157)/(H137/365)</f>
        <v>0.0285783482683458</v>
      </c>
    </row>
    <row r="158" spans="1:10">
      <c r="A158">
        <f>DE_Base_Profile!H11</f>
        <v>5</v>
      </c>
      <c r="B158">
        <f>DE_Base_Profile!I11</f>
        <v>0.0252</v>
      </c>
      <c r="C158">
        <f>IF(DE_Base_Profile!J11=1,INDEX(DE_Lookups!$B$2:$B$4,MATCH(B136,DE_Lookups!$A$2:$A$4,0)),1)</f>
        <v>1</v>
      </c>
      <c r="D158">
        <f>IF(OR(D136="Air conditioning",D136="Heat pump (heating &amp; cooling)"),IF(DE_Base_Profile!K11=1,N137,1),1)*IF(OR(D136="Electric heating",D136="Heat pump (heating &amp; cooling)"),IF(DE_Base_Profile!L11=1,P137,1),1)</f>
        <v>1</v>
      </c>
      <c r="E158">
        <f t="shared" si="10"/>
        <v>0.0252</v>
      </c>
      <c r="F158">
        <f t="shared" si="11"/>
        <v>0.0305158634051829</v>
      </c>
      <c r="G158">
        <f>((L136+D137)/365)*F158</f>
        <v>0.292617868268877</v>
      </c>
      <c r="H158">
        <f>INDEX(DE_Base_Profile!$N$6:$Q$29,ROW()-152,MATCH(J136,DE_Base_Profile!$N$5:$Q$5,0))</f>
        <v>0.125</v>
      </c>
      <c r="I158">
        <f>(F137/365)*H158</f>
        <v>0</v>
      </c>
      <c r="J158">
        <f>(G158+I158)/(H137/365)</f>
        <v>0.0305158634051829</v>
      </c>
    </row>
    <row r="159" spans="1:10">
      <c r="A159">
        <f>DE_Base_Profile!H12</f>
        <v>6</v>
      </c>
      <c r="B159">
        <f>DE_Base_Profile!I12</f>
        <v>0.03</v>
      </c>
      <c r="C159">
        <f>IF(DE_Base_Profile!J12=1,INDEX(DE_Lookups!$B$2:$B$4,MATCH(B136,DE_Lookups!$A$2:$A$4,0)),1)</f>
        <v>1</v>
      </c>
      <c r="D159">
        <f>IF(OR(D136="Air conditioning",D136="Heat pump (heating &amp; cooling)"),IF(DE_Base_Profile!K12=1,N137,1),1)*IF(OR(D136="Electric heating",D136="Heat pump (heating &amp; cooling)"),IF(DE_Base_Profile!L12=1,P137,1),1)</f>
        <v>1</v>
      </c>
      <c r="E159">
        <f t="shared" si="10"/>
        <v>0.03</v>
      </c>
      <c r="F159">
        <f t="shared" si="11"/>
        <v>0.0363284088156939</v>
      </c>
      <c r="G159">
        <f>((L136+D137)/365)*F159</f>
        <v>0.348354605081996</v>
      </c>
      <c r="H159">
        <f>INDEX(DE_Base_Profile!$N$6:$Q$29,ROW()-152,MATCH(J136,DE_Base_Profile!$N$5:$Q$5,0))</f>
        <v>0</v>
      </c>
      <c r="I159">
        <f>(F137/365)*H159</f>
        <v>0</v>
      </c>
      <c r="J159">
        <f>(G159+I159)/(H137/365)</f>
        <v>0.0363284088156939</v>
      </c>
    </row>
    <row r="160" spans="1:10">
      <c r="A160">
        <f>DE_Base_Profile!H13</f>
        <v>7</v>
      </c>
      <c r="B160">
        <f>DE_Base_Profile!I13</f>
        <v>0.0358</v>
      </c>
      <c r="C160">
        <f>IF(DE_Base_Profile!J13=1,INDEX(DE_Lookups!$B$2:$B$4,MATCH(B136,DE_Lookups!$A$2:$A$4,0)),1)</f>
        <v>1</v>
      </c>
      <c r="D160">
        <f>IF(OR(D136="Air conditioning",D136="Heat pump (heating &amp; cooling)"),IF(DE_Base_Profile!K13=1,N137,1),1)*IF(OR(D136="Electric heating",D136="Heat pump (heating &amp; cooling)"),IF(DE_Base_Profile!L13=1,P137,1),1)</f>
        <v>1</v>
      </c>
      <c r="E160">
        <f t="shared" si="10"/>
        <v>0.0358</v>
      </c>
      <c r="F160">
        <f t="shared" si="11"/>
        <v>0.043351901186728</v>
      </c>
      <c r="G160">
        <f>((L136+D137)/365)*F160</f>
        <v>0.415703162064515</v>
      </c>
      <c r="H160">
        <f>INDEX(DE_Base_Profile!$N$6:$Q$29,ROW()-152,MATCH(J136,DE_Base_Profile!$N$5:$Q$5,0))</f>
        <v>0</v>
      </c>
      <c r="I160">
        <f>(F137/365)*H160</f>
        <v>0</v>
      </c>
      <c r="J160">
        <f>(G160+I160)/(H137/365)</f>
        <v>0.043351901186728</v>
      </c>
    </row>
    <row r="161" spans="1:10">
      <c r="A161">
        <f>DE_Base_Profile!H14</f>
        <v>8</v>
      </c>
      <c r="B161">
        <f>DE_Base_Profile!I14</f>
        <v>0.041</v>
      </c>
      <c r="C161">
        <f>IF(DE_Base_Profile!J14=1,INDEX(DE_Lookups!$B$2:$B$4,MATCH(B136,DE_Lookups!$A$2:$A$4,0)),1)</f>
        <v>1</v>
      </c>
      <c r="D161">
        <f>IF(OR(D136="Air conditioning",D136="Heat pump (heating &amp; cooling)"),IF(DE_Base_Profile!K14=1,N137,1),1)*IF(OR(D136="Electric heating",D136="Heat pump (heating &amp; cooling)"),IF(DE_Base_Profile!L14=1,P137,1),1)</f>
        <v>1</v>
      </c>
      <c r="E161">
        <f t="shared" si="10"/>
        <v>0.041</v>
      </c>
      <c r="F161">
        <f t="shared" si="11"/>
        <v>0.0496488253814483</v>
      </c>
      <c r="G161">
        <f>((L136+D137)/365)*F161</f>
        <v>0.476084626945395</v>
      </c>
      <c r="H161">
        <f>INDEX(DE_Base_Profile!$N$6:$Q$29,ROW()-152,MATCH(J136,DE_Base_Profile!$N$5:$Q$5,0))</f>
        <v>0</v>
      </c>
      <c r="I161">
        <f>(F137/365)*H161</f>
        <v>0</v>
      </c>
      <c r="J161">
        <f>(G161+I161)/(H137/365)</f>
        <v>0.0496488253814483</v>
      </c>
    </row>
    <row r="162" spans="1:10">
      <c r="A162">
        <f>DE_Base_Profile!H15</f>
        <v>9</v>
      </c>
      <c r="B162">
        <f>DE_Base_Profile!I15</f>
        <v>0.0446</v>
      </c>
      <c r="C162">
        <f>IF(DE_Base_Profile!J15=1,INDEX(DE_Lookups!$B$2:$B$4,MATCH(B136,DE_Lookups!$A$2:$A$4,0)),1)</f>
        <v>0.6</v>
      </c>
      <c r="D162">
        <f>IF(OR(D136="Air conditioning",D136="Heat pump (heating &amp; cooling)"),IF(DE_Base_Profile!K15=1,N137,1),1)*IF(OR(D136="Electric heating",D136="Heat pump (heating &amp; cooling)"),IF(DE_Base_Profile!L15=1,P137,1),1)</f>
        <v>1</v>
      </c>
      <c r="E162">
        <f t="shared" si="10"/>
        <v>0.02676</v>
      </c>
      <c r="F162">
        <f t="shared" si="11"/>
        <v>0.0324049406635989</v>
      </c>
      <c r="G162">
        <f>((L136+D137)/365)*F162</f>
        <v>0.31073230773314</v>
      </c>
      <c r="H162">
        <f>INDEX(DE_Base_Profile!$N$6:$Q$29,ROW()-152,MATCH(J136,DE_Base_Profile!$N$5:$Q$5,0))</f>
        <v>0</v>
      </c>
      <c r="I162">
        <f>(F137/365)*H162</f>
        <v>0</v>
      </c>
      <c r="J162">
        <f>(G162+I162)/(H137/365)</f>
        <v>0.0324049406635989</v>
      </c>
    </row>
    <row r="163" spans="1:10">
      <c r="A163">
        <f>DE_Base_Profile!H16</f>
        <v>10</v>
      </c>
      <c r="B163">
        <f>DE_Base_Profile!I16</f>
        <v>0.0474</v>
      </c>
      <c r="C163">
        <f>IF(DE_Base_Profile!J16=1,INDEX(DE_Lookups!$B$2:$B$4,MATCH(B136,DE_Lookups!$A$2:$A$4,0)),1)</f>
        <v>0.6</v>
      </c>
      <c r="D163">
        <f>IF(OR(D136="Air conditioning",D136="Heat pump (heating &amp; cooling)"),IF(DE_Base_Profile!K16=1,N137,1),1)*IF(OR(D136="Electric heating",D136="Heat pump (heating &amp; cooling)"),IF(DE_Base_Profile!L16=1,P137,1),1)</f>
        <v>1</v>
      </c>
      <c r="E163">
        <f t="shared" si="10"/>
        <v>0.02844</v>
      </c>
      <c r="F163">
        <f t="shared" si="11"/>
        <v>0.0344393315572778</v>
      </c>
      <c r="G163">
        <f>((L136+D137)/365)*F163</f>
        <v>0.330240165617732</v>
      </c>
      <c r="H163">
        <f>INDEX(DE_Base_Profile!$N$6:$Q$29,ROW()-152,MATCH(J136,DE_Base_Profile!$N$5:$Q$5,0))</f>
        <v>0</v>
      </c>
      <c r="I163">
        <f>(F137/365)*H163</f>
        <v>0</v>
      </c>
      <c r="J163">
        <f>(G163+I163)/(H137/365)</f>
        <v>0.0344393315572778</v>
      </c>
    </row>
    <row r="164" spans="1:10">
      <c r="A164">
        <f>DE_Base_Profile!H17</f>
        <v>11</v>
      </c>
      <c r="B164">
        <f>DE_Base_Profile!I17</f>
        <v>0.0518</v>
      </c>
      <c r="C164">
        <f>IF(DE_Base_Profile!J17=1,INDEX(DE_Lookups!$B$2:$B$4,MATCH(B136,DE_Lookups!$A$2:$A$4,0)),1)</f>
        <v>0.6</v>
      </c>
      <c r="D164">
        <f>IF(OR(D136="Air conditioning",D136="Heat pump (heating &amp; cooling)"),IF(DE_Base_Profile!K17=1,N137,1),1)*IF(OR(D136="Electric heating",D136="Heat pump (heating &amp; cooling)"),IF(DE_Base_Profile!L17=1,P137,1),1)</f>
        <v>1</v>
      </c>
      <c r="E164">
        <f t="shared" si="10"/>
        <v>0.03108</v>
      </c>
      <c r="F164">
        <f t="shared" si="11"/>
        <v>0.0376362315330588</v>
      </c>
      <c r="G164">
        <f>((L136+D137)/365)*F164</f>
        <v>0.360895370864948</v>
      </c>
      <c r="H164">
        <f>INDEX(DE_Base_Profile!$N$6:$Q$29,ROW()-152,MATCH(J136,DE_Base_Profile!$N$5:$Q$5,0))</f>
        <v>0</v>
      </c>
      <c r="I164">
        <f>(F137/365)*H164</f>
        <v>0</v>
      </c>
      <c r="J164">
        <f>(G164+I164)/(H137/365)</f>
        <v>0.0376362315330588</v>
      </c>
    </row>
    <row r="165" spans="1:10">
      <c r="A165">
        <f>DE_Base_Profile!H18</f>
        <v>12</v>
      </c>
      <c r="B165">
        <f>DE_Base_Profile!I18</f>
        <v>0.0513</v>
      </c>
      <c r="C165">
        <f>IF(DE_Base_Profile!J18=1,INDEX(DE_Lookups!$B$2:$B$4,MATCH(B136,DE_Lookups!$A$2:$A$4,0)),1)</f>
        <v>0.6</v>
      </c>
      <c r="D165">
        <f>IF(OR(D136="Air conditioning",D136="Heat pump (heating &amp; cooling)"),IF(DE_Base_Profile!K18=1,N137,1),1)*IF(OR(D136="Electric heating",D136="Heat pump (heating &amp; cooling)"),IF(DE_Base_Profile!L18=1,P137,1),1)</f>
        <v>1</v>
      </c>
      <c r="E165">
        <f t="shared" si="10"/>
        <v>0.03078</v>
      </c>
      <c r="F165">
        <f t="shared" si="11"/>
        <v>0.0372729474449019</v>
      </c>
      <c r="G165">
        <f>((L136+D137)/365)*F165</f>
        <v>0.357411824814128</v>
      </c>
      <c r="H165">
        <f>INDEX(DE_Base_Profile!$N$6:$Q$29,ROW()-152,MATCH(J136,DE_Base_Profile!$N$5:$Q$5,0))</f>
        <v>0</v>
      </c>
      <c r="I165">
        <f>(F137/365)*H165</f>
        <v>0</v>
      </c>
      <c r="J165">
        <f>(G165+I165)/(H137/365)</f>
        <v>0.0372729474449019</v>
      </c>
    </row>
    <row r="166" spans="1:10">
      <c r="A166">
        <f>DE_Base_Profile!H19</f>
        <v>13</v>
      </c>
      <c r="B166">
        <f>DE_Base_Profile!I19</f>
        <v>0.0481</v>
      </c>
      <c r="C166">
        <f>IF(DE_Base_Profile!J19=1,INDEX(DE_Lookups!$B$2:$B$4,MATCH(B136,DE_Lookups!$A$2:$A$4,0)),1)</f>
        <v>0.6</v>
      </c>
      <c r="D166">
        <f>IF(OR(D136="Air conditioning",D136="Heat pump (heating &amp; cooling)"),IF(DE_Base_Profile!K19=1,N137,1),1)*IF(OR(D136="Electric heating",D136="Heat pump (heating &amp; cooling)"),IF(DE_Base_Profile!L19=1,P137,1),1)</f>
        <v>1</v>
      </c>
      <c r="E166">
        <f t="shared" si="10"/>
        <v>0.02886</v>
      </c>
      <c r="F166">
        <f t="shared" si="11"/>
        <v>0.0349479292806975</v>
      </c>
      <c r="G166">
        <f>((L136+D137)/365)*F166</f>
        <v>0.33511713008888</v>
      </c>
      <c r="H166">
        <f>INDEX(DE_Base_Profile!$N$6:$Q$29,ROW()-152,MATCH(J136,DE_Base_Profile!$N$5:$Q$5,0))</f>
        <v>0</v>
      </c>
      <c r="I166">
        <f>(F137/365)*H166</f>
        <v>0</v>
      </c>
      <c r="J166">
        <f>(G166+I166)/(H137/365)</f>
        <v>0.0349479292806975</v>
      </c>
    </row>
    <row r="167" spans="1:10">
      <c r="A167">
        <f>DE_Base_Profile!H20</f>
        <v>14</v>
      </c>
      <c r="B167">
        <f>DE_Base_Profile!I20</f>
        <v>0.0459</v>
      </c>
      <c r="C167">
        <f>IF(DE_Base_Profile!J20=1,INDEX(DE_Lookups!$B$2:$B$4,MATCH(B136,DE_Lookups!$A$2:$A$4,0)),1)</f>
        <v>0.6</v>
      </c>
      <c r="D167">
        <f>IF(OR(D136="Air conditioning",D136="Heat pump (heating &amp; cooling)"),IF(DE_Base_Profile!K20=1,N137,1),1)*IF(OR(D136="Electric heating",D136="Heat pump (heating &amp; cooling)"),IF(DE_Base_Profile!L20=1,P137,1),1)</f>
        <v>1</v>
      </c>
      <c r="E167">
        <f t="shared" si="10"/>
        <v>0.02754</v>
      </c>
      <c r="F167">
        <f t="shared" si="11"/>
        <v>0.033349479292807</v>
      </c>
      <c r="G167">
        <f>((L136+D137)/365)*F167</f>
        <v>0.319789527465272</v>
      </c>
      <c r="H167">
        <f>INDEX(DE_Base_Profile!$N$6:$Q$29,ROW()-152,MATCH(J136,DE_Base_Profile!$N$5:$Q$5,0))</f>
        <v>0</v>
      </c>
      <c r="I167">
        <f>(F137/365)*H167</f>
        <v>0</v>
      </c>
      <c r="J167">
        <f>(G167+I167)/(H137/365)</f>
        <v>0.033349479292807</v>
      </c>
    </row>
    <row r="168" spans="1:10">
      <c r="A168">
        <f>DE_Base_Profile!H21</f>
        <v>15</v>
      </c>
      <c r="B168">
        <f>DE_Base_Profile!I21</f>
        <v>0.0454</v>
      </c>
      <c r="C168">
        <f>IF(DE_Base_Profile!J21=1,INDEX(DE_Lookups!$B$2:$B$4,MATCH(B136,DE_Lookups!$A$2:$A$4,0)),1)</f>
        <v>0.6</v>
      </c>
      <c r="D168">
        <f>IF(OR(D136="Air conditioning",D136="Heat pump (heating &amp; cooling)"),IF(DE_Base_Profile!K21=1,N137,1),1)*IF(OR(D136="Electric heating",D136="Heat pump (heating &amp; cooling)"),IF(DE_Base_Profile!L21=1,P137,1),1)</f>
        <v>1</v>
      </c>
      <c r="E168">
        <f t="shared" si="10"/>
        <v>0.02724</v>
      </c>
      <c r="F168">
        <f t="shared" si="11"/>
        <v>0.03298619520465</v>
      </c>
      <c r="G168">
        <f>((L136+D137)/365)*F168</f>
        <v>0.316305981414452</v>
      </c>
      <c r="H168">
        <f>INDEX(DE_Base_Profile!$N$6:$Q$29,ROW()-152,MATCH(J136,DE_Base_Profile!$N$5:$Q$5,0))</f>
        <v>0</v>
      </c>
      <c r="I168">
        <f>(F137/365)*H168</f>
        <v>0</v>
      </c>
      <c r="J168">
        <f>(G168+I168)/(H137/365)</f>
        <v>0.03298619520465</v>
      </c>
    </row>
    <row r="169" spans="1:10">
      <c r="A169">
        <f>DE_Base_Profile!H22</f>
        <v>16</v>
      </c>
      <c r="B169">
        <f>DE_Base_Profile!I22</f>
        <v>0.0475</v>
      </c>
      <c r="C169">
        <f>IF(DE_Base_Profile!J22=1,INDEX(DE_Lookups!$B$2:$B$4,MATCH(B136,DE_Lookups!$A$2:$A$4,0)),1)</f>
        <v>0.6</v>
      </c>
      <c r="D169">
        <f>IF(OR(D136="Air conditioning",D136="Heat pump (heating &amp; cooling)"),IF(DE_Base_Profile!K22=1,N137,1),1)*IF(OR(D136="Electric heating",D136="Heat pump (heating &amp; cooling)"),IF(DE_Base_Profile!L22=1,P137,1),1)</f>
        <v>1</v>
      </c>
      <c r="E169">
        <f t="shared" si="10"/>
        <v>0.0285</v>
      </c>
      <c r="F169">
        <f t="shared" si="11"/>
        <v>0.0345119883749092</v>
      </c>
      <c r="G169">
        <f>((L136+D137)/365)*F169</f>
        <v>0.330936874827896</v>
      </c>
      <c r="H169">
        <f>INDEX(DE_Base_Profile!$N$6:$Q$29,ROW()-152,MATCH(J136,DE_Base_Profile!$N$5:$Q$5,0))</f>
        <v>0</v>
      </c>
      <c r="I169">
        <f>(F137/365)*H169</f>
        <v>0</v>
      </c>
      <c r="J169">
        <f>(G169+I169)/(H137/365)</f>
        <v>0.0345119883749092</v>
      </c>
    </row>
    <row r="170" spans="1:10">
      <c r="A170">
        <f>DE_Base_Profile!H23</f>
        <v>17</v>
      </c>
      <c r="B170">
        <f>DE_Base_Profile!I23</f>
        <v>0.0535</v>
      </c>
      <c r="C170">
        <f>IF(DE_Base_Profile!J23=1,INDEX(DE_Lookups!$B$2:$B$4,MATCH(B136,DE_Lookups!$A$2:$A$4,0)),1)</f>
        <v>0.6</v>
      </c>
      <c r="D170">
        <f>IF(OR(D136="Air conditioning",D136="Heat pump (heating &amp; cooling)"),IF(DE_Base_Profile!K23=1,N137,1),1)*IF(OR(D136="Electric heating",D136="Heat pump (heating &amp; cooling)"),IF(DE_Base_Profile!L23=1,P137,1),1)</f>
        <v>1</v>
      </c>
      <c r="E170">
        <f t="shared" si="10"/>
        <v>0.0321</v>
      </c>
      <c r="F170">
        <f t="shared" si="11"/>
        <v>0.0388713974327924</v>
      </c>
      <c r="G170">
        <f>((L136+D137)/365)*F170</f>
        <v>0.372739427437736</v>
      </c>
      <c r="H170">
        <f>INDEX(DE_Base_Profile!$N$6:$Q$29,ROW()-152,MATCH(J136,DE_Base_Profile!$N$5:$Q$5,0))</f>
        <v>0</v>
      </c>
      <c r="I170">
        <f>(F137/365)*H170</f>
        <v>0</v>
      </c>
      <c r="J170">
        <f>(G170+I170)/(H137/365)</f>
        <v>0.0388713974327924</v>
      </c>
    </row>
    <row r="171" spans="1:10">
      <c r="A171">
        <f>DE_Base_Profile!H24</f>
        <v>18</v>
      </c>
      <c r="B171">
        <f>DE_Base_Profile!I24</f>
        <v>0.0587</v>
      </c>
      <c r="C171">
        <f>IF(DE_Base_Profile!J24=1,INDEX(DE_Lookups!$B$2:$B$4,MATCH(B136,DE_Lookups!$A$2:$A$4,0)),1)</f>
        <v>1</v>
      </c>
      <c r="D171">
        <f>IF(OR(D136="Air conditioning",D136="Heat pump (heating &amp; cooling)"),IF(DE_Base_Profile!K24=1,N137,1),1)*IF(OR(D136="Electric heating",D136="Heat pump (heating &amp; cooling)"),IF(DE_Base_Profile!L24=1,P137,1),1)</f>
        <v>1</v>
      </c>
      <c r="E171">
        <f t="shared" si="10"/>
        <v>0.0587</v>
      </c>
      <c r="F171">
        <f t="shared" si="11"/>
        <v>0.0710825865827077</v>
      </c>
      <c r="G171">
        <f>((L136+D137)/365)*F171</f>
        <v>0.681613843943772</v>
      </c>
      <c r="H171">
        <f>INDEX(DE_Base_Profile!$N$6:$Q$29,ROW()-152,MATCH(J136,DE_Base_Profile!$N$5:$Q$5,0))</f>
        <v>0</v>
      </c>
      <c r="I171">
        <f>(F137/365)*H171</f>
        <v>0</v>
      </c>
      <c r="J171">
        <f>(G171+I171)/(H137/365)</f>
        <v>0.0710825865827077</v>
      </c>
    </row>
    <row r="172" spans="1:10">
      <c r="A172">
        <f>DE_Base_Profile!H25</f>
        <v>19</v>
      </c>
      <c r="B172">
        <f>DE_Base_Profile!I25</f>
        <v>0.0591</v>
      </c>
      <c r="C172">
        <f>IF(DE_Base_Profile!J25=1,INDEX(DE_Lookups!$B$2:$B$4,MATCH(B136,DE_Lookups!$A$2:$A$4,0)),1)</f>
        <v>1</v>
      </c>
      <c r="D172">
        <f>IF(OR(D136="Air conditioning",D136="Heat pump (heating &amp; cooling)"),IF(DE_Base_Profile!K25=1,N137,1),1)*IF(OR(D136="Electric heating",D136="Heat pump (heating &amp; cooling)"),IF(DE_Base_Profile!L25=1,P137,1),1)</f>
        <v>1</v>
      </c>
      <c r="E172">
        <f t="shared" si="10"/>
        <v>0.0591</v>
      </c>
      <c r="F172">
        <f t="shared" si="11"/>
        <v>0.0715669653669169</v>
      </c>
      <c r="G172">
        <f>((L136+D137)/365)*F172</f>
        <v>0.686258572011532</v>
      </c>
      <c r="H172">
        <f>INDEX(DE_Base_Profile!$N$6:$Q$29,ROW()-152,MATCH(J136,DE_Base_Profile!$N$5:$Q$5,0))</f>
        <v>0</v>
      </c>
      <c r="I172">
        <f>(F137/365)*H172</f>
        <v>0</v>
      </c>
      <c r="J172">
        <f>(G172+I172)/(H137/365)</f>
        <v>0.0715669653669169</v>
      </c>
    </row>
    <row r="173" spans="1:10">
      <c r="A173">
        <f>DE_Base_Profile!H26</f>
        <v>20</v>
      </c>
      <c r="B173">
        <f>DE_Base_Profile!I26</f>
        <v>0.0556</v>
      </c>
      <c r="C173">
        <f>IF(DE_Base_Profile!J26=1,INDEX(DE_Lookups!$B$2:$B$4,MATCH(B136,DE_Lookups!$A$2:$A$4,0)),1)</f>
        <v>1</v>
      </c>
      <c r="D173">
        <f>IF(OR(D136="Air conditioning",D136="Heat pump (heating &amp; cooling)"),IF(DE_Base_Profile!K26=1,N137,1),1)*IF(OR(D136="Electric heating",D136="Heat pump (heating &amp; cooling)"),IF(DE_Base_Profile!L26=1,P137,1),1)</f>
        <v>1</v>
      </c>
      <c r="E173">
        <f t="shared" si="10"/>
        <v>0.0556</v>
      </c>
      <c r="F173">
        <f t="shared" si="11"/>
        <v>0.067328651005086</v>
      </c>
      <c r="G173">
        <f>((L136+D137)/365)*F173</f>
        <v>0.645617201418633</v>
      </c>
      <c r="H173">
        <f>INDEX(DE_Base_Profile!$N$6:$Q$29,ROW()-152,MATCH(J136,DE_Base_Profile!$N$5:$Q$5,0))</f>
        <v>0</v>
      </c>
      <c r="I173">
        <f>(F137/365)*H173</f>
        <v>0</v>
      </c>
      <c r="J173">
        <f>(G173+I173)/(H137/365)</f>
        <v>0.067328651005086</v>
      </c>
    </row>
    <row r="174" spans="1:10">
      <c r="A174">
        <f>DE_Base_Profile!H27</f>
        <v>21</v>
      </c>
      <c r="B174">
        <f>DE_Base_Profile!I27</f>
        <v>0.0508</v>
      </c>
      <c r="C174">
        <f>IF(DE_Base_Profile!J27=1,INDEX(DE_Lookups!$B$2:$B$4,MATCH(B136,DE_Lookups!$A$2:$A$4,0)),1)</f>
        <v>1</v>
      </c>
      <c r="D174">
        <f>IF(OR(D136="Air conditioning",D136="Heat pump (heating &amp; cooling)"),IF(DE_Base_Profile!K27=1,N137,1),1)*IF(OR(D136="Electric heating",D136="Heat pump (heating &amp; cooling)"),IF(DE_Base_Profile!L27=1,P137,1),1)</f>
        <v>1</v>
      </c>
      <c r="E174">
        <f t="shared" si="10"/>
        <v>0.0508</v>
      </c>
      <c r="F174">
        <f t="shared" si="11"/>
        <v>0.061516105594575</v>
      </c>
      <c r="G174">
        <f>((L136+D137)/365)*F174</f>
        <v>0.589880464605513</v>
      </c>
      <c r="H174">
        <f>INDEX(DE_Base_Profile!$N$6:$Q$29,ROW()-152,MATCH(J136,DE_Base_Profile!$N$5:$Q$5,0))</f>
        <v>0</v>
      </c>
      <c r="I174">
        <f>(F137/365)*H174</f>
        <v>0</v>
      </c>
      <c r="J174">
        <f>(G174+I174)/(H137/365)</f>
        <v>0.061516105594575</v>
      </c>
    </row>
    <row r="175" spans="1:10">
      <c r="A175">
        <f>DE_Base_Profile!H28</f>
        <v>22</v>
      </c>
      <c r="B175">
        <f>DE_Base_Profile!I28</f>
        <v>0.0451</v>
      </c>
      <c r="C175">
        <f>IF(DE_Base_Profile!J28=1,INDEX(DE_Lookups!$B$2:$B$4,MATCH(B136,DE_Lookups!$A$2:$A$4,0)),1)</f>
        <v>1</v>
      </c>
      <c r="D175">
        <f>IF(OR(D136="Air conditioning",D136="Heat pump (heating &amp; cooling)"),IF(DE_Base_Profile!K28=1,N137,1),1)*IF(OR(D136="Electric heating",D136="Heat pump (heating &amp; cooling)"),IF(DE_Base_Profile!L28=1,P137,1),1)</f>
        <v>1</v>
      </c>
      <c r="E175">
        <f t="shared" si="10"/>
        <v>0.0451</v>
      </c>
      <c r="F175">
        <f t="shared" si="11"/>
        <v>0.0546137079195931</v>
      </c>
      <c r="G175">
        <f>((L136+D137)/365)*F175</f>
        <v>0.523693089639934</v>
      </c>
      <c r="H175">
        <f>INDEX(DE_Base_Profile!$N$6:$Q$29,ROW()-152,MATCH(J136,DE_Base_Profile!$N$5:$Q$5,0))</f>
        <v>0.125</v>
      </c>
      <c r="I175">
        <f>(F137/365)*H175</f>
        <v>0</v>
      </c>
      <c r="J175">
        <f>(G175+I175)/(H137/365)</f>
        <v>0.0546137079195931</v>
      </c>
    </row>
    <row r="176" spans="1:10">
      <c r="A176">
        <f>DE_Base_Profile!H29</f>
        <v>23</v>
      </c>
      <c r="B176">
        <f>DE_Base_Profile!I29</f>
        <v>0.0366</v>
      </c>
      <c r="C176">
        <f>IF(DE_Base_Profile!J29=1,INDEX(DE_Lookups!$B$2:$B$4,MATCH(B136,DE_Lookups!$A$2:$A$4,0)),1)</f>
        <v>1</v>
      </c>
      <c r="D176">
        <f>IF(OR(D136="Air conditioning",D136="Heat pump (heating &amp; cooling)"),IF(DE_Base_Profile!K29=1,N137,1),1)*IF(OR(D136="Electric heating",D136="Heat pump (heating &amp; cooling)"),IF(DE_Base_Profile!L29=1,P137,1),1)</f>
        <v>1</v>
      </c>
      <c r="E176">
        <f t="shared" si="10"/>
        <v>0.0366</v>
      </c>
      <c r="F176">
        <f t="shared" si="11"/>
        <v>0.0443206587551465</v>
      </c>
      <c r="G176">
        <f>((L136+D137)/365)*F176</f>
        <v>0.424992618200035</v>
      </c>
      <c r="H176">
        <f>INDEX(DE_Base_Profile!$N$6:$Q$29,ROW()-152,MATCH(J136,DE_Base_Profile!$N$5:$Q$5,0))</f>
        <v>0.125</v>
      </c>
      <c r="I176">
        <f>(F137/365)*H176</f>
        <v>0</v>
      </c>
      <c r="J176">
        <f>(G176+I176)/(H137/365)</f>
        <v>0.0443206587551465</v>
      </c>
    </row>
    <row r="181" spans="1:16">
      <c r="A181" t="s">
        <v>51</v>
      </c>
      <c r="B181" t="str">
        <f>DE_Option_Monthly!C8</f>
        <v>Mostly away during the day</v>
      </c>
      <c r="C181" t="s">
        <v>188</v>
      </c>
      <c r="D181" t="str">
        <f>DE_Option_Monthly!D8</f>
        <v>Air conditioning</v>
      </c>
      <c r="E181" t="s">
        <v>68</v>
      </c>
      <c r="F181" t="str">
        <f>DE_Option_Monthly!E8</f>
        <v>Medium</v>
      </c>
      <c r="G181" t="s">
        <v>98</v>
      </c>
      <c r="H181" t="str">
        <f>DE_Option_Monthly!F8</f>
        <v>No electric vehicle</v>
      </c>
      <c r="I181" t="s">
        <v>289</v>
      </c>
      <c r="J181" t="str">
        <f>DE_Option_Monthly!G8</f>
        <v>Mostly overnight</v>
      </c>
      <c r="K181" t="s">
        <v>290</v>
      </c>
      <c r="L181">
        <f>DE_Option_Monthly!$B$1</f>
        <v>3500</v>
      </c>
    </row>
    <row r="182" spans="1:16">
      <c r="A182" t="s">
        <v>291</v>
      </c>
      <c r="B182">
        <f>INDEX(DE_Lookups!$E$2:$E$5,MATCH(F181,DE_Lookups!$D$2:$D$5,0))</f>
        <v>1</v>
      </c>
      <c r="C182" t="s">
        <v>292</v>
      </c>
      <c r="D182">
        <f>IF(OR(D181="Electric heating",D181="Heat pump (heating &amp; cooling)"),INDEX(DE_Lookups!$L$2:$L$5,MATCH(D181,DE_Lookups!$K$2:$K$5,0))*B182,0)</f>
        <v>0</v>
      </c>
      <c r="E182" t="s">
        <v>293</v>
      </c>
      <c r="F182">
        <f>INDEX(DE_Lookups!$O$2:$O$7,MATCH(H181,DE_Lookups!$N$2:$N$7,0))*0.18</f>
        <v>0</v>
      </c>
      <c r="G182" t="s">
        <v>294</v>
      </c>
      <c r="H182">
        <f>L181+D182+F182</f>
        <v>3500</v>
      </c>
      <c r="I182" t="s">
        <v>295</v>
      </c>
      <c r="J182">
        <f>INDEX(DE_Lookups!$F$2:$F$5,MATCH(F181,DE_Lookups!$D$2:$D$5,0))</f>
        <v>1.1</v>
      </c>
      <c r="K182" t="s">
        <v>296</v>
      </c>
      <c r="L182">
        <f>INDEX(DE_Lookups!$G$2:$G$5,MATCH(F181,DE_Lookups!$D$2:$D$5,0))</f>
        <v>1.15</v>
      </c>
      <c r="M182" t="s">
        <v>297</v>
      </c>
      <c r="N182">
        <f>INDEX(DE_Lookups!$H$2:$H$5,MATCH(F181,DE_Lookups!$D$2:$D$5,0))</f>
        <v>1.2</v>
      </c>
      <c r="O182" t="s">
        <v>298</v>
      </c>
      <c r="P182">
        <f>INDEX(DE_Lookups!$I$2:$I$5,MATCH(F181,DE_Lookups!$D$2:$D$5,0))</f>
        <v>1.15</v>
      </c>
    </row>
    <row r="184" spans="1:16">
      <c r="A184" t="str">
        <f>DE_Base_Profile!A6</f>
        <v>1月</v>
      </c>
      <c r="B184">
        <f>DE_Base_Profile!B6</f>
        <v>0.0789</v>
      </c>
      <c r="C184">
        <f>L181*B184</f>
        <v>276.15</v>
      </c>
      <c r="D184">
        <f>1+IF(OR(D181="Air conditioning",D181="Heat pump (heating &amp; cooling)"),IF(DE_Base_Profile!D6=1,J182-1,0),0)+IF(OR(D181="Electric heating",D181="Heat pump (heating &amp; cooling)"),IF(DE_Base_Profile!E6=1,L182-1,0),0)</f>
        <v>1</v>
      </c>
      <c r="E184">
        <f t="shared" ref="E184:E195" si="12">C184*D184</f>
        <v>276.15</v>
      </c>
      <c r="F184">
        <f>IF(D181="Electric heating",IF(DE_Base_Profile!E6=1,B184*L182,0),IF(D181="Heat pump (heating &amp; cooling)",IF(DE_Base_Profile!D6=1,B184*J182,0)+IF(DE_Base_Profile!E6=1,B184*L182,0),0))</f>
        <v>0</v>
      </c>
      <c r="G184">
        <f>IF(SUM($F$184:$F$195)=0,0,D182*F184/SUM($F$184:$F$195))</f>
        <v>0</v>
      </c>
      <c r="H184">
        <f>F182/12</f>
        <v>0</v>
      </c>
      <c r="I184">
        <f>E184/SUM($E$184:$E$195)*L181+G184+H184</f>
        <v>268.94234514998</v>
      </c>
      <c r="J184">
        <f>I184/H182</f>
        <v>0.0768406700428516</v>
      </c>
    </row>
    <row r="185" spans="1:16">
      <c r="A185" t="str">
        <f>DE_Base_Profile!A7</f>
        <v>2月</v>
      </c>
      <c r="B185">
        <f>DE_Base_Profile!B7</f>
        <v>0.0791</v>
      </c>
      <c r="C185">
        <f>L181*B185</f>
        <v>276.85</v>
      </c>
      <c r="D185">
        <f>1+IF(OR(D181="Air conditioning",D181="Heat pump (heating &amp; cooling)"),IF(DE_Base_Profile!D7=1,J182-1,0),0)+IF(OR(D181="Electric heating",D181="Heat pump (heating &amp; cooling)"),IF(DE_Base_Profile!E7=1,L182-1,0),0)</f>
        <v>1</v>
      </c>
      <c r="E185">
        <f t="shared" si="12"/>
        <v>276.85</v>
      </c>
      <c r="F185">
        <f>IF(D181="Electric heating",IF(DE_Base_Profile!E7=1,B185*L182,0),IF(D181="Heat pump (heating &amp; cooling)",IF(DE_Base_Profile!D7=1,B185*J182,0)+IF(DE_Base_Profile!E7=1,B185*L182,0),0))</f>
        <v>0</v>
      </c>
      <c r="G185">
        <f>IF(SUM($F$184:$F$195)=0,0,D182*F185/SUM($F$184:$F$195))</f>
        <v>0</v>
      </c>
      <c r="H185">
        <f>F182/12</f>
        <v>0</v>
      </c>
      <c r="I185">
        <f>E185/SUM($E$184:$E$195)*L181+G185+H185</f>
        <v>269.624074795481</v>
      </c>
      <c r="J185">
        <f>I185/H182</f>
        <v>0.077035449941566</v>
      </c>
    </row>
    <row r="186" spans="1:16">
      <c r="A186" t="str">
        <f>DE_Base_Profile!A8</f>
        <v>3月</v>
      </c>
      <c r="B186">
        <f>DE_Base_Profile!B8</f>
        <v>0.0773</v>
      </c>
      <c r="C186">
        <f>L181*B186</f>
        <v>270.55</v>
      </c>
      <c r="D186">
        <f>1+IF(OR(D181="Air conditioning",D181="Heat pump (heating &amp; cooling)"),IF(DE_Base_Profile!D8=1,J182-1,0),0)+IF(OR(D181="Electric heating",D181="Heat pump (heating &amp; cooling)"),IF(DE_Base_Profile!E8=1,L182-1,0),0)</f>
        <v>1</v>
      </c>
      <c r="E186">
        <f t="shared" si="12"/>
        <v>270.55</v>
      </c>
      <c r="F186">
        <f>IF(D181="Electric heating",IF(DE_Base_Profile!E8=1,B186*L182,0),IF(D181="Heat pump (heating &amp; cooling)",IF(DE_Base_Profile!D8=1,B186*J182,0)+IF(DE_Base_Profile!E8=1,B186*L182,0),0))</f>
        <v>0</v>
      </c>
      <c r="G186">
        <f>IF(SUM($F$184:$F$195)=0,0,D182*F186/SUM($F$184:$F$195))</f>
        <v>0</v>
      </c>
      <c r="H186">
        <f>F182/12</f>
        <v>0</v>
      </c>
      <c r="I186">
        <f>E186/SUM($E$184:$E$195)*L181+G186+H186</f>
        <v>263.488507985976</v>
      </c>
      <c r="J186">
        <f>I186/H182</f>
        <v>0.0752824308531359</v>
      </c>
    </row>
    <row r="187" spans="1:16">
      <c r="A187" t="str">
        <f>DE_Base_Profile!A9</f>
        <v>4月</v>
      </c>
      <c r="B187">
        <f>DE_Base_Profile!B9</f>
        <v>0.0822</v>
      </c>
      <c r="C187">
        <f>L181*B187</f>
        <v>287.7</v>
      </c>
      <c r="D187">
        <f>1+IF(OR(D181="Air conditioning",D181="Heat pump (heating &amp; cooling)"),IF(DE_Base_Profile!D9=1,J182-1,0),0)+IF(OR(D181="Electric heating",D181="Heat pump (heating &amp; cooling)"),IF(DE_Base_Profile!E9=1,L182-1,0),0)</f>
        <v>1</v>
      </c>
      <c r="E187">
        <f t="shared" si="12"/>
        <v>287.7</v>
      </c>
      <c r="F187">
        <f>IF(D181="Electric heating",IF(DE_Base_Profile!E9=1,B187*L182,0),IF(D181="Heat pump (heating &amp; cooling)",IF(DE_Base_Profile!D9=1,B187*J182,0)+IF(DE_Base_Profile!E9=1,B187*L182,0),0))</f>
        <v>0</v>
      </c>
      <c r="G187">
        <f>IF(SUM($F$184:$F$195)=0,0,D182*F187/SUM($F$184:$F$195))</f>
        <v>0</v>
      </c>
      <c r="H187">
        <f>F182/12</f>
        <v>0</v>
      </c>
      <c r="I187">
        <f>E187/SUM($E$184:$E$195)*L181+G187+H187</f>
        <v>280.19088430074</v>
      </c>
      <c r="J187">
        <f>I187/H182</f>
        <v>0.08005453837164</v>
      </c>
    </row>
    <row r="188" spans="1:16">
      <c r="A188" t="str">
        <f>DE_Base_Profile!A10</f>
        <v>5月</v>
      </c>
      <c r="B188">
        <f>DE_Base_Profile!B10</f>
        <v>0.0839</v>
      </c>
      <c r="C188">
        <f>L181*B188</f>
        <v>293.65</v>
      </c>
      <c r="D188">
        <f>1+IF(OR(D181="Air conditioning",D181="Heat pump (heating &amp; cooling)"),IF(DE_Base_Profile!D10=1,J182-1,0),0)+IF(OR(D181="Electric heating",D181="Heat pump (heating &amp; cooling)"),IF(DE_Base_Profile!E10=1,L182-1,0),0)</f>
        <v>1</v>
      </c>
      <c r="E188">
        <f t="shared" si="12"/>
        <v>293.65</v>
      </c>
      <c r="F188">
        <f>IF(D181="Electric heating",IF(DE_Base_Profile!E10=1,B188*L182,0),IF(D181="Heat pump (heating &amp; cooling)",IF(DE_Base_Profile!D10=1,B188*J182,0)+IF(DE_Base_Profile!E10=1,B188*L182,0),0))</f>
        <v>0</v>
      </c>
      <c r="G188">
        <f>IF(SUM($F$184:$F$195)=0,0,D182*F188/SUM($F$184:$F$195))</f>
        <v>0</v>
      </c>
      <c r="H188">
        <f>F182/12</f>
        <v>0</v>
      </c>
      <c r="I188">
        <f>E188/SUM($E$184:$E$195)*L181+G188+H188</f>
        <v>285.985586287495</v>
      </c>
      <c r="J188">
        <f>I188/H182</f>
        <v>0.0817101675107129</v>
      </c>
    </row>
    <row r="189" spans="1:16">
      <c r="A189" t="str">
        <f>DE_Base_Profile!A11</f>
        <v>6月</v>
      </c>
      <c r="B189">
        <f>DE_Base_Profile!B11</f>
        <v>0.0876</v>
      </c>
      <c r="C189">
        <f>L181*B189</f>
        <v>306.6</v>
      </c>
      <c r="D189">
        <f>1+IF(OR(D181="Air conditioning",D181="Heat pump (heating &amp; cooling)"),IF(DE_Base_Profile!D11=1,J182-1,0),0)+IF(OR(D181="Electric heating",D181="Heat pump (heating &amp; cooling)"),IF(DE_Base_Profile!E11=1,L182-1,0),0)</f>
        <v>1.1</v>
      </c>
      <c r="E189">
        <f t="shared" si="12"/>
        <v>337.26</v>
      </c>
      <c r="F189">
        <f>IF(D181="Electric heating",IF(DE_Base_Profile!E11=1,B189*L182,0),IF(D181="Heat pump (heating &amp; cooling)",IF(DE_Base_Profile!D11=1,B189*J182,0)+IF(DE_Base_Profile!E11=1,B189*L182,0),0))</f>
        <v>0</v>
      </c>
      <c r="G189">
        <f>IF(SUM($F$184:$F$195)=0,0,D182*F189/SUM($F$184:$F$195))</f>
        <v>0</v>
      </c>
      <c r="H189">
        <f>F182/12</f>
        <v>0</v>
      </c>
      <c r="I189">
        <f>E189/SUM($E$184:$E$195)*L181+G189+H189</f>
        <v>328.457343202182</v>
      </c>
      <c r="J189">
        <f>I189/H182</f>
        <v>0.0938449552006233</v>
      </c>
    </row>
    <row r="190" spans="1:16">
      <c r="A190" t="str">
        <f>DE_Base_Profile!A12</f>
        <v>7月</v>
      </c>
      <c r="B190">
        <f>DE_Base_Profile!B12</f>
        <v>0.0917</v>
      </c>
      <c r="C190">
        <f>L181*B190</f>
        <v>320.95</v>
      </c>
      <c r="D190">
        <f>1+IF(OR(D181="Air conditioning",D181="Heat pump (heating &amp; cooling)"),IF(DE_Base_Profile!D12=1,J182-1,0),0)+IF(OR(D181="Electric heating",D181="Heat pump (heating &amp; cooling)"),IF(DE_Base_Profile!E12=1,L182-1,0),0)</f>
        <v>1.1</v>
      </c>
      <c r="E190">
        <f t="shared" si="12"/>
        <v>353.045</v>
      </c>
      <c r="F190">
        <f>IF(D181="Electric heating",IF(DE_Base_Profile!E12=1,B190*L182,0),IF(D181="Heat pump (heating &amp; cooling)",IF(DE_Base_Profile!D12=1,B190*J182,0)+IF(DE_Base_Profile!E12=1,B190*L182,0),0))</f>
        <v>0</v>
      </c>
      <c r="G190">
        <f>IF(SUM($F$184:$F$195)=0,0,D182*F190/SUM($F$184:$F$195))</f>
        <v>0</v>
      </c>
      <c r="H190">
        <f>F182/12</f>
        <v>0</v>
      </c>
      <c r="I190">
        <f>E190/SUM($E$184:$E$195)*L181+G190+H190</f>
        <v>343.83034670822</v>
      </c>
      <c r="J190">
        <f>I190/H182</f>
        <v>0.0982372419166342</v>
      </c>
    </row>
    <row r="191" spans="1:16">
      <c r="A191" t="str">
        <f>DE_Base_Profile!A13</f>
        <v>8月</v>
      </c>
      <c r="B191">
        <f>DE_Base_Profile!B13</f>
        <v>0.0887</v>
      </c>
      <c r="C191">
        <f>L181*B191</f>
        <v>310.45</v>
      </c>
      <c r="D191">
        <f>1+IF(OR(D181="Air conditioning",D181="Heat pump (heating &amp; cooling)"),IF(DE_Base_Profile!D13=1,J182-1,0),0)+IF(OR(D181="Electric heating",D181="Heat pump (heating &amp; cooling)"),IF(DE_Base_Profile!E13=1,L182-1,0),0)</f>
        <v>1.1</v>
      </c>
      <c r="E191">
        <f t="shared" si="12"/>
        <v>341.495</v>
      </c>
      <c r="F191">
        <f>IF(D181="Electric heating",IF(DE_Base_Profile!E13=1,B191*L182,0),IF(D181="Heat pump (heating &amp; cooling)",IF(DE_Base_Profile!D13=1,B191*J182,0)+IF(DE_Base_Profile!E13=1,B191*L182,0),0))</f>
        <v>0</v>
      </c>
      <c r="G191">
        <f>IF(SUM($F$184:$F$195)=0,0,D182*F191/SUM($F$184:$F$195))</f>
        <v>0</v>
      </c>
      <c r="H191">
        <f>F182/12</f>
        <v>0</v>
      </c>
      <c r="I191">
        <f>E191/SUM($E$184:$E$195)*L181+G191+H191</f>
        <v>332.58180755746</v>
      </c>
      <c r="J191">
        <f>I191/H182</f>
        <v>0.0950233735878457</v>
      </c>
    </row>
    <row r="192" spans="1:16">
      <c r="A192" t="str">
        <f>DE_Base_Profile!A14</f>
        <v>9月</v>
      </c>
      <c r="B192">
        <f>DE_Base_Profile!B14</f>
        <v>0.0853</v>
      </c>
      <c r="C192">
        <f>L181*B192</f>
        <v>298.55</v>
      </c>
      <c r="D192">
        <f>1+IF(OR(D181="Air conditioning",D181="Heat pump (heating &amp; cooling)"),IF(DE_Base_Profile!D14=1,J182-1,0),0)+IF(OR(D181="Electric heating",D181="Heat pump (heating &amp; cooling)"),IF(DE_Base_Profile!E14=1,L182-1,0),0)</f>
        <v>1</v>
      </c>
      <c r="E192">
        <f t="shared" si="12"/>
        <v>298.55</v>
      </c>
      <c r="F192">
        <f>IF(D181="Electric heating",IF(DE_Base_Profile!E14=1,B192*L182,0),IF(D181="Heat pump (heating &amp; cooling)",IF(DE_Base_Profile!D14=1,B192*J182,0)+IF(DE_Base_Profile!E14=1,B192*L182,0),0))</f>
        <v>0</v>
      </c>
      <c r="G192">
        <f>IF(SUM($F$184:$F$195)=0,0,D182*F192/SUM($F$184:$F$195))</f>
        <v>0</v>
      </c>
      <c r="H192">
        <f>F182/12</f>
        <v>0</v>
      </c>
      <c r="I192">
        <f>E192/SUM($E$184:$E$195)*L181+G192+H192</f>
        <v>290.757693805999</v>
      </c>
      <c r="J192">
        <f>I192/H182</f>
        <v>0.0830736268017141</v>
      </c>
    </row>
    <row r="193" spans="1:10">
      <c r="A193" t="str">
        <f>DE_Base_Profile!A15</f>
        <v>10月</v>
      </c>
      <c r="B193">
        <f>DE_Base_Profile!B15</f>
        <v>0.0838</v>
      </c>
      <c r="C193">
        <f>L181*B193</f>
        <v>293.3</v>
      </c>
      <c r="D193">
        <f>1+IF(OR(D181="Air conditioning",D181="Heat pump (heating &amp; cooling)"),IF(DE_Base_Profile!D15=1,J182-1,0),0)+IF(OR(D181="Electric heating",D181="Heat pump (heating &amp; cooling)"),IF(DE_Base_Profile!E15=1,L182-1,0),0)</f>
        <v>1</v>
      </c>
      <c r="E193">
        <f t="shared" si="12"/>
        <v>293.3</v>
      </c>
      <c r="F193">
        <f>IF(D181="Electric heating",IF(DE_Base_Profile!E15=1,B193*L182,0),IF(D181="Heat pump (heating &amp; cooling)",IF(DE_Base_Profile!D15=1,B193*J182,0)+IF(DE_Base_Profile!E15=1,B193*L182,0),0))</f>
        <v>0</v>
      </c>
      <c r="G193">
        <f>IF(SUM($F$184:$F$195)=0,0,D182*F193/SUM($F$184:$F$195))</f>
        <v>0</v>
      </c>
      <c r="H193">
        <f>F182/12</f>
        <v>0</v>
      </c>
      <c r="I193">
        <f>E193/SUM($E$184:$E$195)*L181+G193+H193</f>
        <v>285.644721464745</v>
      </c>
      <c r="J193">
        <f>I193/H182</f>
        <v>0.0816127775613557</v>
      </c>
    </row>
    <row r="194" spans="1:10">
      <c r="A194" t="str">
        <f>DE_Base_Profile!A16</f>
        <v>11月</v>
      </c>
      <c r="B194">
        <f>DE_Base_Profile!B16</f>
        <v>0.0819</v>
      </c>
      <c r="C194">
        <f>L181*B194</f>
        <v>286.65</v>
      </c>
      <c r="D194">
        <f>1+IF(OR(D181="Air conditioning",D181="Heat pump (heating &amp; cooling)"),IF(DE_Base_Profile!D16=1,J182-1,0),0)+IF(OR(D181="Electric heating",D181="Heat pump (heating &amp; cooling)"),IF(DE_Base_Profile!E16=1,L182-1,0),0)</f>
        <v>1</v>
      </c>
      <c r="E194">
        <f t="shared" si="12"/>
        <v>286.65</v>
      </c>
      <c r="F194">
        <f>IF(D181="Electric heating",IF(DE_Base_Profile!E16=1,B194*L182,0),IF(D181="Heat pump (heating &amp; cooling)",IF(DE_Base_Profile!D16=1,B194*J182,0)+IF(DE_Base_Profile!E16=1,B194*L182,0),0))</f>
        <v>0</v>
      </c>
      <c r="G194">
        <f>IF(SUM($F$184:$F$195)=0,0,D182*F194/SUM($F$184:$F$195))</f>
        <v>0</v>
      </c>
      <c r="H194">
        <f>F182/12</f>
        <v>0</v>
      </c>
      <c r="I194">
        <f>E194/SUM($E$184:$E$195)*L181+G194+H194</f>
        <v>279.168289832489</v>
      </c>
      <c r="J194">
        <f>I194/H182</f>
        <v>0.0797623685235684</v>
      </c>
    </row>
    <row r="195" spans="1:10">
      <c r="A195" t="str">
        <f>DE_Base_Profile!A17</f>
        <v>12月</v>
      </c>
      <c r="B195">
        <f>DE_Base_Profile!B17</f>
        <v>0.0796</v>
      </c>
      <c r="C195">
        <f>L181*B195</f>
        <v>278.6</v>
      </c>
      <c r="D195">
        <f>1+IF(OR(D181="Air conditioning",D181="Heat pump (heating &amp; cooling)"),IF(DE_Base_Profile!D17=1,J182-1,0),0)+IF(OR(D181="Electric heating",D181="Heat pump (heating &amp; cooling)"),IF(DE_Base_Profile!E17=1,L182-1,0),0)</f>
        <v>1</v>
      </c>
      <c r="E195">
        <f t="shared" si="12"/>
        <v>278.6</v>
      </c>
      <c r="F195">
        <f>IF(D181="Electric heating",IF(DE_Base_Profile!E17=1,B195*L182,0),IF(D181="Heat pump (heating &amp; cooling)",IF(DE_Base_Profile!D17=1,B195*J182,0)+IF(DE_Base_Profile!E17=1,B195*L182,0),0))</f>
        <v>0</v>
      </c>
      <c r="G195">
        <f>IF(SUM($F$184:$F$195)=0,0,D182*F195/SUM($F$184:$F$195))</f>
        <v>0</v>
      </c>
      <c r="H195">
        <f>F182/12</f>
        <v>0</v>
      </c>
      <c r="I195">
        <f>E195/SUM($E$184:$E$195)*L181+G195+H195</f>
        <v>271.328398909233</v>
      </c>
      <c r="J195">
        <f>I195/H182</f>
        <v>0.0775223996883522</v>
      </c>
    </row>
    <row r="198" spans="1:10">
      <c r="A198">
        <f>DE_Base_Profile!H6</f>
        <v>0</v>
      </c>
      <c r="B198">
        <f>DE_Base_Profile!I6</f>
        <v>0.0301</v>
      </c>
      <c r="C198">
        <f>IF(DE_Base_Profile!J6=1,INDEX(DE_Lookups!$B$2:$B$4,MATCH(B181,DE_Lookups!$A$2:$A$4,0)),1)</f>
        <v>1</v>
      </c>
      <c r="D198">
        <f>IF(OR(D181="Air conditioning",D181="Heat pump (heating &amp; cooling)"),IF(DE_Base_Profile!K6=1,N182,1),1)*IF(OR(D181="Electric heating",D181="Heat pump (heating &amp; cooling)"),IF(DE_Base_Profile!L6=1,P182,1),1)</f>
        <v>1</v>
      </c>
      <c r="E198">
        <f t="shared" ref="E198:E221" si="13">B198*C198*D198</f>
        <v>0.0301</v>
      </c>
      <c r="F198">
        <f t="shared" ref="F198:F221" si="14">E198/SUM($E$198:$E$221)</f>
        <v>0.0345010980748158</v>
      </c>
      <c r="G198">
        <f>((L181+D182)/365)*F198</f>
        <v>0.330832447292754</v>
      </c>
      <c r="H198">
        <f>INDEX(DE_Base_Profile!$N$6:$Q$29,ROW()-197,MATCH(J181,DE_Base_Profile!$N$5:$Q$5,0))</f>
        <v>0.125</v>
      </c>
      <c r="I198">
        <f>(F182/365)*H198</f>
        <v>0</v>
      </c>
      <c r="J198">
        <f>(G198+I198)/(H182/365)</f>
        <v>0.0345010980748158</v>
      </c>
    </row>
    <row r="199" spans="1:10">
      <c r="A199">
        <f>DE_Base_Profile!H7</f>
        <v>1</v>
      </c>
      <c r="B199">
        <f>DE_Base_Profile!I7</f>
        <v>0.0258</v>
      </c>
      <c r="C199">
        <f>IF(DE_Base_Profile!J7=1,INDEX(DE_Lookups!$B$2:$B$4,MATCH(B181,DE_Lookups!$A$2:$A$4,0)),1)</f>
        <v>1</v>
      </c>
      <c r="D199">
        <f>IF(OR(D181="Air conditioning",D181="Heat pump (heating &amp; cooling)"),IF(DE_Base_Profile!K7=1,N182,1),1)*IF(OR(D181="Electric heating",D181="Heat pump (heating &amp; cooling)"),IF(DE_Base_Profile!L7=1,P182,1),1)</f>
        <v>1</v>
      </c>
      <c r="E199">
        <f t="shared" si="13"/>
        <v>0.0258</v>
      </c>
      <c r="F199">
        <f t="shared" si="14"/>
        <v>0.0295723697784136</v>
      </c>
      <c r="G199">
        <f>((L181+D182)/365)*F199</f>
        <v>0.283570669108075</v>
      </c>
      <c r="H199">
        <f>INDEX(DE_Base_Profile!$N$6:$Q$29,ROW()-197,MATCH(J181,DE_Base_Profile!$N$5:$Q$5,0))</f>
        <v>0.125</v>
      </c>
      <c r="I199">
        <f>(F182/365)*H199</f>
        <v>0</v>
      </c>
      <c r="J199">
        <f>(G199+I199)/(H182/365)</f>
        <v>0.0295723697784136</v>
      </c>
    </row>
    <row r="200" spans="1:10">
      <c r="A200">
        <f>DE_Base_Profile!H8</f>
        <v>2</v>
      </c>
      <c r="B200">
        <f>DE_Base_Profile!I8</f>
        <v>0.0239</v>
      </c>
      <c r="C200">
        <f>IF(DE_Base_Profile!J8=1,INDEX(DE_Lookups!$B$2:$B$4,MATCH(B181,DE_Lookups!$A$2:$A$4,0)),1)</f>
        <v>1</v>
      </c>
      <c r="D200">
        <f>IF(OR(D181="Air conditioning",D181="Heat pump (heating &amp; cooling)"),IF(DE_Base_Profile!K8=1,N182,1),1)*IF(OR(D181="Electric heating",D181="Heat pump (heating &amp; cooling)"),IF(DE_Base_Profile!L8=1,P182,1),1)</f>
        <v>1</v>
      </c>
      <c r="E200">
        <f t="shared" si="13"/>
        <v>0.0239</v>
      </c>
      <c r="F200">
        <f t="shared" si="14"/>
        <v>0.0273945596009335</v>
      </c>
      <c r="G200">
        <f>((L181+D182)/365)*F200</f>
        <v>0.26268755781717</v>
      </c>
      <c r="H200">
        <f>INDEX(DE_Base_Profile!$N$6:$Q$29,ROW()-197,MATCH(J181,DE_Base_Profile!$N$5:$Q$5,0))</f>
        <v>0.125</v>
      </c>
      <c r="I200">
        <f>(F182/365)*H200</f>
        <v>0</v>
      </c>
      <c r="J200">
        <f>(G200+I200)/(H182/365)</f>
        <v>0.0273945596009335</v>
      </c>
    </row>
    <row r="201" spans="1:10">
      <c r="A201">
        <f>DE_Base_Profile!H9</f>
        <v>3</v>
      </c>
      <c r="B201">
        <f>DE_Base_Profile!I9</f>
        <v>0.0232</v>
      </c>
      <c r="C201">
        <f>IF(DE_Base_Profile!J9=1,INDEX(DE_Lookups!$B$2:$B$4,MATCH(B181,DE_Lookups!$A$2:$A$4,0)),1)</f>
        <v>1</v>
      </c>
      <c r="D201">
        <f>IF(OR(D181="Air conditioning",D181="Heat pump (heating &amp; cooling)"),IF(DE_Base_Profile!K9=1,N182,1),1)*IF(OR(D181="Electric heating",D181="Heat pump (heating &amp; cooling)"),IF(DE_Base_Profile!L9=1,P182,1),1)</f>
        <v>1</v>
      </c>
      <c r="E201">
        <f t="shared" si="13"/>
        <v>0.0232</v>
      </c>
      <c r="F201">
        <f t="shared" si="14"/>
        <v>0.0265922084829145</v>
      </c>
      <c r="G201">
        <f>((L181+D182)/365)*F201</f>
        <v>0.254993779973153</v>
      </c>
      <c r="H201">
        <f>INDEX(DE_Base_Profile!$N$6:$Q$29,ROW()-197,MATCH(J181,DE_Base_Profile!$N$5:$Q$5,0))</f>
        <v>0.125</v>
      </c>
      <c r="I201">
        <f>(F182/365)*H201</f>
        <v>0</v>
      </c>
      <c r="J201">
        <f>(G201+I201)/(H182/365)</f>
        <v>0.0265922084829145</v>
      </c>
    </row>
    <row r="202" spans="1:10">
      <c r="A202">
        <f>DE_Base_Profile!H10</f>
        <v>4</v>
      </c>
      <c r="B202">
        <f>DE_Base_Profile!I10</f>
        <v>0.0236</v>
      </c>
      <c r="C202">
        <f>IF(DE_Base_Profile!J10=1,INDEX(DE_Lookups!$B$2:$B$4,MATCH(B181,DE_Lookups!$A$2:$A$4,0)),1)</f>
        <v>1</v>
      </c>
      <c r="D202">
        <f>IF(OR(D181="Air conditioning",D181="Heat pump (heating &amp; cooling)"),IF(DE_Base_Profile!K10=1,N182,1),1)*IF(OR(D181="Electric heating",D181="Heat pump (heating &amp; cooling)"),IF(DE_Base_Profile!L10=1,P182,1),1)</f>
        <v>1</v>
      </c>
      <c r="E202">
        <f t="shared" si="13"/>
        <v>0.0236</v>
      </c>
      <c r="F202">
        <f t="shared" si="14"/>
        <v>0.0270506948360682</v>
      </c>
      <c r="G202">
        <f>((L181+D182)/365)*F202</f>
        <v>0.259390224455449</v>
      </c>
      <c r="H202">
        <f>INDEX(DE_Base_Profile!$N$6:$Q$29,ROW()-197,MATCH(J181,DE_Base_Profile!$N$5:$Q$5,0))</f>
        <v>0.125</v>
      </c>
      <c r="I202">
        <f>(F182/365)*H202</f>
        <v>0</v>
      </c>
      <c r="J202">
        <f>(G202+I202)/(H182/365)</f>
        <v>0.0270506948360682</v>
      </c>
    </row>
    <row r="203" spans="1:10">
      <c r="A203">
        <f>DE_Base_Profile!H11</f>
        <v>5</v>
      </c>
      <c r="B203">
        <f>DE_Base_Profile!I11</f>
        <v>0.0252</v>
      </c>
      <c r="C203">
        <f>IF(DE_Base_Profile!J11=1,INDEX(DE_Lookups!$B$2:$B$4,MATCH(B181,DE_Lookups!$A$2:$A$4,0)),1)</f>
        <v>1</v>
      </c>
      <c r="D203">
        <f>IF(OR(D181="Air conditioning",D181="Heat pump (heating &amp; cooling)"),IF(DE_Base_Profile!K11=1,N182,1),1)*IF(OR(D181="Electric heating",D181="Heat pump (heating &amp; cooling)"),IF(DE_Base_Profile!L11=1,P182,1),1)</f>
        <v>1</v>
      </c>
      <c r="E203">
        <f t="shared" si="13"/>
        <v>0.0252</v>
      </c>
      <c r="F203">
        <f t="shared" si="14"/>
        <v>0.028884640248683</v>
      </c>
      <c r="G203">
        <f>((L181+D182)/365)*F203</f>
        <v>0.276976002384631</v>
      </c>
      <c r="H203">
        <f>INDEX(DE_Base_Profile!$N$6:$Q$29,ROW()-197,MATCH(J181,DE_Base_Profile!$N$5:$Q$5,0))</f>
        <v>0.125</v>
      </c>
      <c r="I203">
        <f>(F182/365)*H203</f>
        <v>0</v>
      </c>
      <c r="J203">
        <f>(G203+I203)/(H182/365)</f>
        <v>0.028884640248683</v>
      </c>
    </row>
    <row r="204" spans="1:10">
      <c r="A204">
        <f>DE_Base_Profile!H12</f>
        <v>6</v>
      </c>
      <c r="B204">
        <f>DE_Base_Profile!I12</f>
        <v>0.03</v>
      </c>
      <c r="C204">
        <f>IF(DE_Base_Profile!J12=1,INDEX(DE_Lookups!$B$2:$B$4,MATCH(B181,DE_Lookups!$A$2:$A$4,0)),1)</f>
        <v>1</v>
      </c>
      <c r="D204">
        <f>IF(OR(D181="Air conditioning",D181="Heat pump (heating &amp; cooling)"),IF(DE_Base_Profile!K12=1,N182,1),1)*IF(OR(D181="Electric heating",D181="Heat pump (heating &amp; cooling)"),IF(DE_Base_Profile!L12=1,P182,1),1)</f>
        <v>1</v>
      </c>
      <c r="E204">
        <f t="shared" si="13"/>
        <v>0.03</v>
      </c>
      <c r="F204">
        <f t="shared" si="14"/>
        <v>0.0343864764865274</v>
      </c>
      <c r="G204">
        <f>((L181+D182)/365)*F204</f>
        <v>0.32973333617218</v>
      </c>
      <c r="H204">
        <f>INDEX(DE_Base_Profile!$N$6:$Q$29,ROW()-197,MATCH(J181,DE_Base_Profile!$N$5:$Q$5,0))</f>
        <v>0</v>
      </c>
      <c r="I204">
        <f>(F182/365)*H204</f>
        <v>0</v>
      </c>
      <c r="J204">
        <f>(G204+I204)/(H182/365)</f>
        <v>0.0343864764865274</v>
      </c>
    </row>
    <row r="205" spans="1:10">
      <c r="A205">
        <f>DE_Base_Profile!H13</f>
        <v>7</v>
      </c>
      <c r="B205">
        <f>DE_Base_Profile!I13</f>
        <v>0.0358</v>
      </c>
      <c r="C205">
        <f>IF(DE_Base_Profile!J13=1,INDEX(DE_Lookups!$B$2:$B$4,MATCH(B181,DE_Lookups!$A$2:$A$4,0)),1)</f>
        <v>1</v>
      </c>
      <c r="D205">
        <f>IF(OR(D181="Air conditioning",D181="Heat pump (heating &amp; cooling)"),IF(DE_Base_Profile!K13=1,N182,1),1)*IF(OR(D181="Electric heating",D181="Heat pump (heating &amp; cooling)"),IF(DE_Base_Profile!L13=1,P182,1),1)</f>
        <v>1</v>
      </c>
      <c r="E205">
        <f t="shared" si="13"/>
        <v>0.0358</v>
      </c>
      <c r="F205">
        <f t="shared" si="14"/>
        <v>0.041034528607256</v>
      </c>
      <c r="G205">
        <f>((L181+D182)/365)*F205</f>
        <v>0.393481781165469</v>
      </c>
      <c r="H205">
        <f>INDEX(DE_Base_Profile!$N$6:$Q$29,ROW()-197,MATCH(J181,DE_Base_Profile!$N$5:$Q$5,0))</f>
        <v>0</v>
      </c>
      <c r="I205">
        <f>(F182/365)*H205</f>
        <v>0</v>
      </c>
      <c r="J205">
        <f>(G205+I205)/(H182/365)</f>
        <v>0.041034528607256</v>
      </c>
    </row>
    <row r="206" spans="1:10">
      <c r="A206">
        <f>DE_Base_Profile!H14</f>
        <v>8</v>
      </c>
      <c r="B206">
        <f>DE_Base_Profile!I14</f>
        <v>0.041</v>
      </c>
      <c r="C206">
        <f>IF(DE_Base_Profile!J14=1,INDEX(DE_Lookups!$B$2:$B$4,MATCH(B181,DE_Lookups!$A$2:$A$4,0)),1)</f>
        <v>1</v>
      </c>
      <c r="D206">
        <f>IF(OR(D181="Air conditioning",D181="Heat pump (heating &amp; cooling)"),IF(DE_Base_Profile!K14=1,N182,1),1)*IF(OR(D181="Electric heating",D181="Heat pump (heating &amp; cooling)"),IF(DE_Base_Profile!L14=1,P182,1),1)</f>
        <v>1</v>
      </c>
      <c r="E206">
        <f t="shared" si="13"/>
        <v>0.041</v>
      </c>
      <c r="F206">
        <f t="shared" si="14"/>
        <v>0.0469948511982541</v>
      </c>
      <c r="G206">
        <f>((L181+D182)/365)*F206</f>
        <v>0.450635559435313</v>
      </c>
      <c r="H206">
        <f>INDEX(DE_Base_Profile!$N$6:$Q$29,ROW()-197,MATCH(J181,DE_Base_Profile!$N$5:$Q$5,0))</f>
        <v>0</v>
      </c>
      <c r="I206">
        <f>(F182/365)*H206</f>
        <v>0</v>
      </c>
      <c r="J206">
        <f>(G206+I206)/(H182/365)</f>
        <v>0.0469948511982541</v>
      </c>
    </row>
    <row r="207" spans="1:10">
      <c r="A207">
        <f>DE_Base_Profile!H15</f>
        <v>9</v>
      </c>
      <c r="B207">
        <f>DE_Base_Profile!I15</f>
        <v>0.0446</v>
      </c>
      <c r="C207">
        <f>IF(DE_Base_Profile!J15=1,INDEX(DE_Lookups!$B$2:$B$4,MATCH(B181,DE_Lookups!$A$2:$A$4,0)),1)</f>
        <v>0.6</v>
      </c>
      <c r="D207">
        <f>IF(OR(D181="Air conditioning",D181="Heat pump (heating &amp; cooling)"),IF(DE_Base_Profile!K15=1,N182,1),1)*IF(OR(D181="Electric heating",D181="Heat pump (heating &amp; cooling)"),IF(DE_Base_Profile!L15=1,P182,1),1)</f>
        <v>1</v>
      </c>
      <c r="E207">
        <f t="shared" si="13"/>
        <v>0.02676</v>
      </c>
      <c r="F207">
        <f t="shared" si="14"/>
        <v>0.0306727370259824</v>
      </c>
      <c r="G207">
        <f>((L181+D182)/365)*F207</f>
        <v>0.294122135865585</v>
      </c>
      <c r="H207">
        <f>INDEX(DE_Base_Profile!$N$6:$Q$29,ROW()-197,MATCH(J181,DE_Base_Profile!$N$5:$Q$5,0))</f>
        <v>0</v>
      </c>
      <c r="I207">
        <f>(F182/365)*H207</f>
        <v>0</v>
      </c>
      <c r="J207">
        <f>(G207+I207)/(H182/365)</f>
        <v>0.0306727370259824</v>
      </c>
    </row>
    <row r="208" spans="1:10">
      <c r="A208">
        <f>DE_Base_Profile!H16</f>
        <v>10</v>
      </c>
      <c r="B208">
        <f>DE_Base_Profile!I16</f>
        <v>0.0474</v>
      </c>
      <c r="C208">
        <f>IF(DE_Base_Profile!J16=1,INDEX(DE_Lookups!$B$2:$B$4,MATCH(B181,DE_Lookups!$A$2:$A$4,0)),1)</f>
        <v>0.6</v>
      </c>
      <c r="D208">
        <f>IF(OR(D181="Air conditioning",D181="Heat pump (heating &amp; cooling)"),IF(DE_Base_Profile!K16=1,N182,1),1)*IF(OR(D181="Electric heating",D181="Heat pump (heating &amp; cooling)"),IF(DE_Base_Profile!L16=1,P182,1),1)</f>
        <v>1</v>
      </c>
      <c r="E208">
        <f t="shared" si="13"/>
        <v>0.02844</v>
      </c>
      <c r="F208">
        <f t="shared" si="14"/>
        <v>0.032598379709228</v>
      </c>
      <c r="G208">
        <f>((L181+D182)/365)*F208</f>
        <v>0.312587202691227</v>
      </c>
      <c r="H208">
        <f>INDEX(DE_Base_Profile!$N$6:$Q$29,ROW()-197,MATCH(J181,DE_Base_Profile!$N$5:$Q$5,0))</f>
        <v>0</v>
      </c>
      <c r="I208">
        <f>(F182/365)*H208</f>
        <v>0</v>
      </c>
      <c r="J208">
        <f>(G208+I208)/(H182/365)</f>
        <v>0.032598379709228</v>
      </c>
    </row>
    <row r="209" spans="1:10">
      <c r="A209">
        <f>DE_Base_Profile!H17</f>
        <v>11</v>
      </c>
      <c r="B209">
        <f>DE_Base_Profile!I17</f>
        <v>0.0518</v>
      </c>
      <c r="C209">
        <f>IF(DE_Base_Profile!J17=1,INDEX(DE_Lookups!$B$2:$B$4,MATCH(B181,DE_Lookups!$A$2:$A$4,0)),1)</f>
        <v>0.6</v>
      </c>
      <c r="D209">
        <f>IF(OR(D181="Air conditioning",D181="Heat pump (heating &amp; cooling)"),IF(DE_Base_Profile!K17=1,N182,1),1)*IF(OR(D181="Electric heating",D181="Heat pump (heating &amp; cooling)"),IF(DE_Base_Profile!L17=1,P182,1),1)</f>
        <v>1</v>
      </c>
      <c r="E209">
        <f t="shared" si="13"/>
        <v>0.03108</v>
      </c>
      <c r="F209">
        <f t="shared" si="14"/>
        <v>0.0356243896400424</v>
      </c>
      <c r="G209">
        <f>((L181+D182)/365)*F209</f>
        <v>0.341603736274379</v>
      </c>
      <c r="H209">
        <f>INDEX(DE_Base_Profile!$N$6:$Q$29,ROW()-197,MATCH(J181,DE_Base_Profile!$N$5:$Q$5,0))</f>
        <v>0</v>
      </c>
      <c r="I209">
        <f>(F182/365)*H209</f>
        <v>0</v>
      </c>
      <c r="J209">
        <f>(G209+I209)/(H182/365)</f>
        <v>0.0356243896400424</v>
      </c>
    </row>
    <row r="210" spans="1:10">
      <c r="A210">
        <f>DE_Base_Profile!H18</f>
        <v>12</v>
      </c>
      <c r="B210">
        <f>DE_Base_Profile!I18</f>
        <v>0.0513</v>
      </c>
      <c r="C210">
        <f>IF(DE_Base_Profile!J18=1,INDEX(DE_Lookups!$B$2:$B$4,MATCH(B181,DE_Lookups!$A$2:$A$4,0)),1)</f>
        <v>0.6</v>
      </c>
      <c r="D210">
        <f>IF(OR(D181="Air conditioning",D181="Heat pump (heating &amp; cooling)"),IF(DE_Base_Profile!K18=1,N182,1),1)*IF(OR(D181="Electric heating",D181="Heat pump (heating &amp; cooling)"),IF(DE_Base_Profile!L18=1,P182,1),1)</f>
        <v>1</v>
      </c>
      <c r="E210">
        <f t="shared" si="13"/>
        <v>0.03078</v>
      </c>
      <c r="F210">
        <f t="shared" si="14"/>
        <v>0.0352805248751771</v>
      </c>
      <c r="G210">
        <f>((L181+D182)/365)*F210</f>
        <v>0.338306402912657</v>
      </c>
      <c r="H210">
        <f>INDEX(DE_Base_Profile!$N$6:$Q$29,ROW()-197,MATCH(J181,DE_Base_Profile!$N$5:$Q$5,0))</f>
        <v>0</v>
      </c>
      <c r="I210">
        <f>(F182/365)*H210</f>
        <v>0</v>
      </c>
      <c r="J210">
        <f>(G210+I210)/(H182/365)</f>
        <v>0.0352805248751771</v>
      </c>
    </row>
    <row r="211" spans="1:10">
      <c r="A211">
        <f>DE_Base_Profile!H19</f>
        <v>13</v>
      </c>
      <c r="B211">
        <f>DE_Base_Profile!I19</f>
        <v>0.0481</v>
      </c>
      <c r="C211">
        <f>IF(DE_Base_Profile!J19=1,INDEX(DE_Lookups!$B$2:$B$4,MATCH(B181,DE_Lookups!$A$2:$A$4,0)),1)</f>
        <v>0.6</v>
      </c>
      <c r="D211">
        <f>IF(OR(D181="Air conditioning",D181="Heat pump (heating &amp; cooling)"),IF(DE_Base_Profile!K19=1,N182,1),1)*IF(OR(D181="Electric heating",D181="Heat pump (heating &amp; cooling)"),IF(DE_Base_Profile!L19=1,P182,1),1)</f>
        <v>1</v>
      </c>
      <c r="E211">
        <f t="shared" si="13"/>
        <v>0.02886</v>
      </c>
      <c r="F211">
        <f t="shared" si="14"/>
        <v>0.0330797903800393</v>
      </c>
      <c r="G211">
        <f>((L181+D182)/365)*F211</f>
        <v>0.317203469397637</v>
      </c>
      <c r="H211">
        <f>INDEX(DE_Base_Profile!$N$6:$Q$29,ROW()-197,MATCH(J181,DE_Base_Profile!$N$5:$Q$5,0))</f>
        <v>0</v>
      </c>
      <c r="I211">
        <f>(F182/365)*H211</f>
        <v>0</v>
      </c>
      <c r="J211">
        <f>(G211+I211)/(H182/365)</f>
        <v>0.0330797903800393</v>
      </c>
    </row>
    <row r="212" spans="1:10">
      <c r="A212">
        <f>DE_Base_Profile!H20</f>
        <v>14</v>
      </c>
      <c r="B212">
        <f>DE_Base_Profile!I20</f>
        <v>0.0459</v>
      </c>
      <c r="C212">
        <f>IF(DE_Base_Profile!J20=1,INDEX(DE_Lookups!$B$2:$B$4,MATCH(B181,DE_Lookups!$A$2:$A$4,0)),1)</f>
        <v>0.6</v>
      </c>
      <c r="D212">
        <f>IF(OR(D181="Air conditioning",D181="Heat pump (heating &amp; cooling)"),IF(DE_Base_Profile!K20=1,N182,1),1)*IF(OR(D181="Electric heating",D181="Heat pump (heating &amp; cooling)"),IF(DE_Base_Profile!L20=1,P182,1),1)</f>
        <v>1.2</v>
      </c>
      <c r="E212">
        <f t="shared" si="13"/>
        <v>0.033048</v>
      </c>
      <c r="F212">
        <f t="shared" si="14"/>
        <v>0.0378801424975586</v>
      </c>
      <c r="G212">
        <f>((L181+D182)/365)*F212</f>
        <v>0.363234243127274</v>
      </c>
      <c r="H212">
        <f>INDEX(DE_Base_Profile!$N$6:$Q$29,ROW()-197,MATCH(J181,DE_Base_Profile!$N$5:$Q$5,0))</f>
        <v>0</v>
      </c>
      <c r="I212">
        <f>(F182/365)*H212</f>
        <v>0</v>
      </c>
      <c r="J212">
        <f>(G212+I212)/(H182/365)</f>
        <v>0.0378801424975586</v>
      </c>
    </row>
    <row r="213" spans="1:10">
      <c r="A213">
        <f>DE_Base_Profile!H21</f>
        <v>15</v>
      </c>
      <c r="B213">
        <f>DE_Base_Profile!I21</f>
        <v>0.0454</v>
      </c>
      <c r="C213">
        <f>IF(DE_Base_Profile!J21=1,INDEX(DE_Lookups!$B$2:$B$4,MATCH(B181,DE_Lookups!$A$2:$A$4,0)),1)</f>
        <v>0.6</v>
      </c>
      <c r="D213">
        <f>IF(OR(D181="Air conditioning",D181="Heat pump (heating &amp; cooling)"),IF(DE_Base_Profile!K21=1,N182,1),1)*IF(OR(D181="Electric heating",D181="Heat pump (heating &amp; cooling)"),IF(DE_Base_Profile!L21=1,P182,1),1)</f>
        <v>1.2</v>
      </c>
      <c r="E213">
        <f t="shared" si="13"/>
        <v>0.032688</v>
      </c>
      <c r="F213">
        <f t="shared" si="14"/>
        <v>0.0374675047797202</v>
      </c>
      <c r="G213">
        <f>((L181+D182)/365)*F213</f>
        <v>0.359277443093208</v>
      </c>
      <c r="H213">
        <f>INDEX(DE_Base_Profile!$N$6:$Q$29,ROW()-197,MATCH(J181,DE_Base_Profile!$N$5:$Q$5,0))</f>
        <v>0</v>
      </c>
      <c r="I213">
        <f>(F182/365)*H213</f>
        <v>0</v>
      </c>
      <c r="J213">
        <f>(G213+I213)/(H182/365)</f>
        <v>0.0374675047797202</v>
      </c>
    </row>
    <row r="214" spans="1:10">
      <c r="A214">
        <f>DE_Base_Profile!H22</f>
        <v>16</v>
      </c>
      <c r="B214">
        <f>DE_Base_Profile!I22</f>
        <v>0.0475</v>
      </c>
      <c r="C214">
        <f>IF(DE_Base_Profile!J22=1,INDEX(DE_Lookups!$B$2:$B$4,MATCH(B181,DE_Lookups!$A$2:$A$4,0)),1)</f>
        <v>0.6</v>
      </c>
      <c r="D214">
        <f>IF(OR(D181="Air conditioning",D181="Heat pump (heating &amp; cooling)"),IF(DE_Base_Profile!K22=1,N182,1),1)*IF(OR(D181="Electric heating",D181="Heat pump (heating &amp; cooling)"),IF(DE_Base_Profile!L22=1,P182,1),1)</f>
        <v>1.2</v>
      </c>
      <c r="E214">
        <f t="shared" si="13"/>
        <v>0.0342</v>
      </c>
      <c r="F214">
        <f t="shared" si="14"/>
        <v>0.0392005831946412</v>
      </c>
      <c r="G214">
        <f>((L181+D182)/365)*F214</f>
        <v>0.375896003236286</v>
      </c>
      <c r="H214">
        <f>INDEX(DE_Base_Profile!$N$6:$Q$29,ROW()-197,MATCH(J181,DE_Base_Profile!$N$5:$Q$5,0))</f>
        <v>0</v>
      </c>
      <c r="I214">
        <f>(F182/365)*H214</f>
        <v>0</v>
      </c>
      <c r="J214">
        <f>(G214+I214)/(H182/365)</f>
        <v>0.0392005831946412</v>
      </c>
    </row>
    <row r="215" spans="1:10">
      <c r="A215">
        <f>DE_Base_Profile!H23</f>
        <v>17</v>
      </c>
      <c r="B215">
        <f>DE_Base_Profile!I23</f>
        <v>0.0535</v>
      </c>
      <c r="C215">
        <f>IF(DE_Base_Profile!J23=1,INDEX(DE_Lookups!$B$2:$B$4,MATCH(B181,DE_Lookups!$A$2:$A$4,0)),1)</f>
        <v>0.6</v>
      </c>
      <c r="D215">
        <f>IF(OR(D181="Air conditioning",D181="Heat pump (heating &amp; cooling)"),IF(DE_Base_Profile!K23=1,N182,1),1)*IF(OR(D181="Electric heating",D181="Heat pump (heating &amp; cooling)"),IF(DE_Base_Profile!L23=1,P182,1),1)</f>
        <v>1.2</v>
      </c>
      <c r="E215">
        <f t="shared" si="13"/>
        <v>0.03852</v>
      </c>
      <c r="F215">
        <f t="shared" si="14"/>
        <v>0.0441522358087012</v>
      </c>
      <c r="G215">
        <f>((L181+D182)/365)*F215</f>
        <v>0.42337760364508</v>
      </c>
      <c r="H215">
        <f>INDEX(DE_Base_Profile!$N$6:$Q$29,ROW()-197,MATCH(J181,DE_Base_Profile!$N$5:$Q$5,0))</f>
        <v>0</v>
      </c>
      <c r="I215">
        <f>(F182/365)*H215</f>
        <v>0</v>
      </c>
      <c r="J215">
        <f>(G215+I215)/(H182/365)</f>
        <v>0.0441522358087012</v>
      </c>
    </row>
    <row r="216" spans="1:10">
      <c r="A216">
        <f>DE_Base_Profile!H24</f>
        <v>18</v>
      </c>
      <c r="B216">
        <f>DE_Base_Profile!I24</f>
        <v>0.0587</v>
      </c>
      <c r="C216">
        <f>IF(DE_Base_Profile!J24=1,INDEX(DE_Lookups!$B$2:$B$4,MATCH(B181,DE_Lookups!$A$2:$A$4,0)),1)</f>
        <v>1</v>
      </c>
      <c r="D216">
        <f>IF(OR(D181="Air conditioning",D181="Heat pump (heating &amp; cooling)"),IF(DE_Base_Profile!K24=1,N182,1),1)*IF(OR(D181="Electric heating",D181="Heat pump (heating &amp; cooling)"),IF(DE_Base_Profile!L24=1,P182,1),1)</f>
        <v>1.2</v>
      </c>
      <c r="E216">
        <f t="shared" si="13"/>
        <v>0.07044</v>
      </c>
      <c r="F216">
        <f t="shared" si="14"/>
        <v>0.0807394467903663</v>
      </c>
      <c r="G216">
        <f>((L181+D182)/365)*F216</f>
        <v>0.774213873332279</v>
      </c>
      <c r="H216">
        <f>INDEX(DE_Base_Profile!$N$6:$Q$29,ROW()-197,MATCH(J181,DE_Base_Profile!$N$5:$Q$5,0))</f>
        <v>0</v>
      </c>
      <c r="I216">
        <f>(F182/365)*H216</f>
        <v>0</v>
      </c>
      <c r="J216">
        <f>(G216+I216)/(H182/365)</f>
        <v>0.0807394467903663</v>
      </c>
    </row>
    <row r="217" spans="1:10">
      <c r="A217">
        <f>DE_Base_Profile!H25</f>
        <v>19</v>
      </c>
      <c r="B217">
        <f>DE_Base_Profile!I25</f>
        <v>0.0591</v>
      </c>
      <c r="C217">
        <f>IF(DE_Base_Profile!J25=1,INDEX(DE_Lookups!$B$2:$B$4,MATCH(B181,DE_Lookups!$A$2:$A$4,0)),1)</f>
        <v>1</v>
      </c>
      <c r="D217">
        <f>IF(OR(D181="Air conditioning",D181="Heat pump (heating &amp; cooling)"),IF(DE_Base_Profile!K25=1,N182,1),1)*IF(OR(D181="Electric heating",D181="Heat pump (heating &amp; cooling)"),IF(DE_Base_Profile!L25=1,P182,1),1)</f>
        <v>1.2</v>
      </c>
      <c r="E217">
        <f t="shared" si="13"/>
        <v>0.07092</v>
      </c>
      <c r="F217">
        <f t="shared" si="14"/>
        <v>0.0812896304141507</v>
      </c>
      <c r="G217">
        <f>((L181+D182)/365)*F217</f>
        <v>0.779489606711034</v>
      </c>
      <c r="H217">
        <f>INDEX(DE_Base_Profile!$N$6:$Q$29,ROW()-197,MATCH(J181,DE_Base_Profile!$N$5:$Q$5,0))</f>
        <v>0</v>
      </c>
      <c r="I217">
        <f>(F182/365)*H217</f>
        <v>0</v>
      </c>
      <c r="J217">
        <f>(G217+I217)/(H182/365)</f>
        <v>0.0812896304141507</v>
      </c>
    </row>
    <row r="218" spans="1:10">
      <c r="A218">
        <f>DE_Base_Profile!H26</f>
        <v>20</v>
      </c>
      <c r="B218">
        <f>DE_Base_Profile!I26</f>
        <v>0.0556</v>
      </c>
      <c r="C218">
        <f>IF(DE_Base_Profile!J26=1,INDEX(DE_Lookups!$B$2:$B$4,MATCH(B181,DE_Lookups!$A$2:$A$4,0)),1)</f>
        <v>1</v>
      </c>
      <c r="D218">
        <f>IF(OR(D181="Air conditioning",D181="Heat pump (heating &amp; cooling)"),IF(DE_Base_Profile!K26=1,N182,1),1)*IF(OR(D181="Electric heating",D181="Heat pump (heating &amp; cooling)"),IF(DE_Base_Profile!L26=1,P182,1),1)</f>
        <v>1</v>
      </c>
      <c r="E218">
        <f t="shared" si="13"/>
        <v>0.0556</v>
      </c>
      <c r="F218">
        <f t="shared" si="14"/>
        <v>0.0637296030883641</v>
      </c>
      <c r="G218">
        <f>((L181+D182)/365)*F218</f>
        <v>0.611105783039108</v>
      </c>
      <c r="H218">
        <f>INDEX(DE_Base_Profile!$N$6:$Q$29,ROW()-197,MATCH(J181,DE_Base_Profile!$N$5:$Q$5,0))</f>
        <v>0</v>
      </c>
      <c r="I218">
        <f>(F182/365)*H218</f>
        <v>0</v>
      </c>
      <c r="J218">
        <f>(G218+I218)/(H182/365)</f>
        <v>0.0637296030883641</v>
      </c>
    </row>
    <row r="219" spans="1:10">
      <c r="A219">
        <f>DE_Base_Profile!H27</f>
        <v>21</v>
      </c>
      <c r="B219">
        <f>DE_Base_Profile!I27</f>
        <v>0.0508</v>
      </c>
      <c r="C219">
        <f>IF(DE_Base_Profile!J27=1,INDEX(DE_Lookups!$B$2:$B$4,MATCH(B181,DE_Lookups!$A$2:$A$4,0)),1)</f>
        <v>1</v>
      </c>
      <c r="D219">
        <f>IF(OR(D181="Air conditioning",D181="Heat pump (heating &amp; cooling)"),IF(DE_Base_Profile!K27=1,N182,1),1)*IF(OR(D181="Electric heating",D181="Heat pump (heating &amp; cooling)"),IF(DE_Base_Profile!L27=1,P182,1),1)</f>
        <v>1</v>
      </c>
      <c r="E219">
        <f t="shared" si="13"/>
        <v>0.0508</v>
      </c>
      <c r="F219">
        <f t="shared" si="14"/>
        <v>0.0582277668505197</v>
      </c>
      <c r="G219">
        <f>((L181+D182)/365)*F219</f>
        <v>0.558348449251559</v>
      </c>
      <c r="H219">
        <f>INDEX(DE_Base_Profile!$N$6:$Q$29,ROW()-197,MATCH(J181,DE_Base_Profile!$N$5:$Q$5,0))</f>
        <v>0</v>
      </c>
      <c r="I219">
        <f>(F182/365)*H219</f>
        <v>0</v>
      </c>
      <c r="J219">
        <f>(G219+I219)/(H182/365)</f>
        <v>0.0582277668505197</v>
      </c>
    </row>
    <row r="220" spans="1:10">
      <c r="A220">
        <f>DE_Base_Profile!H28</f>
        <v>22</v>
      </c>
      <c r="B220">
        <f>DE_Base_Profile!I28</f>
        <v>0.0451</v>
      </c>
      <c r="C220">
        <f>IF(DE_Base_Profile!J28=1,INDEX(DE_Lookups!$B$2:$B$4,MATCH(B181,DE_Lookups!$A$2:$A$4,0)),1)</f>
        <v>1</v>
      </c>
      <c r="D220">
        <f>IF(OR(D181="Air conditioning",D181="Heat pump (heating &amp; cooling)"),IF(DE_Base_Profile!K28=1,N182,1),1)*IF(OR(D181="Electric heating",D181="Heat pump (heating &amp; cooling)"),IF(DE_Base_Profile!L28=1,P182,1),1)</f>
        <v>1</v>
      </c>
      <c r="E220">
        <f t="shared" si="13"/>
        <v>0.0451</v>
      </c>
      <c r="F220">
        <f t="shared" si="14"/>
        <v>0.0516943363180795</v>
      </c>
      <c r="G220">
        <f>((L181+D182)/365)*F220</f>
        <v>0.495699115378844</v>
      </c>
      <c r="H220">
        <f>INDEX(DE_Base_Profile!$N$6:$Q$29,ROW()-197,MATCH(J181,DE_Base_Profile!$N$5:$Q$5,0))</f>
        <v>0.125</v>
      </c>
      <c r="I220">
        <f>(F182/365)*H220</f>
        <v>0</v>
      </c>
      <c r="J220">
        <f>(G220+I220)/(H182/365)</f>
        <v>0.0516943363180795</v>
      </c>
    </row>
    <row r="221" spans="1:10">
      <c r="A221">
        <f>DE_Base_Profile!H29</f>
        <v>23</v>
      </c>
      <c r="B221">
        <f>DE_Base_Profile!I29</f>
        <v>0.0366</v>
      </c>
      <c r="C221">
        <f>IF(DE_Base_Profile!J29=1,INDEX(DE_Lookups!$B$2:$B$4,MATCH(B181,DE_Lookups!$A$2:$A$4,0)),1)</f>
        <v>1</v>
      </c>
      <c r="D221">
        <f>IF(OR(D181="Air conditioning",D181="Heat pump (heating &amp; cooling)"),IF(DE_Base_Profile!K29=1,N182,1),1)*IF(OR(D181="Electric heating",D181="Heat pump (heating &amp; cooling)"),IF(DE_Base_Profile!L29=1,P182,1),1)</f>
        <v>1</v>
      </c>
      <c r="E221">
        <f t="shared" si="13"/>
        <v>0.0366</v>
      </c>
      <c r="F221">
        <f t="shared" si="14"/>
        <v>0.0419515013135634</v>
      </c>
      <c r="G221">
        <f>((L181+D182)/365)*F221</f>
        <v>0.40227467013006</v>
      </c>
      <c r="H221">
        <f>INDEX(DE_Base_Profile!$N$6:$Q$29,ROW()-197,MATCH(J181,DE_Base_Profile!$N$5:$Q$5,0))</f>
        <v>0.125</v>
      </c>
      <c r="I221">
        <f>(F182/365)*H221</f>
        <v>0</v>
      </c>
      <c r="J221">
        <f>(G221+I221)/(H182/365)</f>
        <v>0.0419515013135634</v>
      </c>
    </row>
    <row r="226" spans="1:16">
      <c r="A226" t="s">
        <v>51</v>
      </c>
      <c r="B226" t="str">
        <f>DE_Option_Monthly!C9</f>
        <v>Mostly away during the day</v>
      </c>
      <c r="C226" t="s">
        <v>188</v>
      </c>
      <c r="D226" t="str">
        <f>DE_Option_Monthly!D9</f>
        <v>Electric heating</v>
      </c>
      <c r="E226" t="s">
        <v>68</v>
      </c>
      <c r="F226" t="str">
        <f>DE_Option_Monthly!E9</f>
        <v>Medium</v>
      </c>
      <c r="G226" t="s">
        <v>98</v>
      </c>
      <c r="H226" t="str">
        <f>DE_Option_Monthly!F9</f>
        <v>No electric vehicle</v>
      </c>
      <c r="I226" t="s">
        <v>289</v>
      </c>
      <c r="J226" t="str">
        <f>DE_Option_Monthly!G9</f>
        <v>Mostly overnight</v>
      </c>
      <c r="K226" t="s">
        <v>290</v>
      </c>
      <c r="L226">
        <f>DE_Option_Monthly!$B$1</f>
        <v>3500</v>
      </c>
    </row>
    <row r="227" spans="1:16">
      <c r="A227" t="s">
        <v>291</v>
      </c>
      <c r="B227">
        <f>INDEX(DE_Lookups!$E$2:$E$5,MATCH(F226,DE_Lookups!$D$2:$D$5,0))</f>
        <v>1</v>
      </c>
      <c r="C227" t="s">
        <v>292</v>
      </c>
      <c r="D227">
        <f>IF(OR(D226="Electric heating",D226="Heat pump (heating &amp; cooling)"),INDEX(DE_Lookups!$L$2:$L$5,MATCH(D226,DE_Lookups!$K$2:$K$5,0))*B227,0)</f>
        <v>3000</v>
      </c>
      <c r="E227" t="s">
        <v>293</v>
      </c>
      <c r="F227">
        <f>INDEX(DE_Lookups!$O$2:$O$7,MATCH(H226,DE_Lookups!$N$2:$N$7,0))*0.18</f>
        <v>0</v>
      </c>
      <c r="G227" t="s">
        <v>294</v>
      </c>
      <c r="H227">
        <f>L226+D227+F227</f>
        <v>6500</v>
      </c>
      <c r="I227" t="s">
        <v>295</v>
      </c>
      <c r="J227">
        <f>INDEX(DE_Lookups!$F$2:$F$5,MATCH(F226,DE_Lookups!$D$2:$D$5,0))</f>
        <v>1.1</v>
      </c>
      <c r="K227" t="s">
        <v>296</v>
      </c>
      <c r="L227">
        <f>INDEX(DE_Lookups!$G$2:$G$5,MATCH(F226,DE_Lookups!$D$2:$D$5,0))</f>
        <v>1.15</v>
      </c>
      <c r="M227" t="s">
        <v>297</v>
      </c>
      <c r="N227">
        <f>INDEX(DE_Lookups!$H$2:$H$5,MATCH(F226,DE_Lookups!$D$2:$D$5,0))</f>
        <v>1.2</v>
      </c>
      <c r="O227" t="s">
        <v>298</v>
      </c>
      <c r="P227">
        <f>INDEX(DE_Lookups!$I$2:$I$5,MATCH(F226,DE_Lookups!$D$2:$D$5,0))</f>
        <v>1.15</v>
      </c>
    </row>
    <row r="229" spans="1:16">
      <c r="A229" t="str">
        <f>DE_Base_Profile!A6</f>
        <v>1月</v>
      </c>
      <c r="B229">
        <f>DE_Base_Profile!B6</f>
        <v>0.0789</v>
      </c>
      <c r="C229">
        <f>L226*B229</f>
        <v>276.15</v>
      </c>
      <c r="D229">
        <f>1+IF(OR(D226="Air conditioning",D226="Heat pump (heating &amp; cooling)"),IF(DE_Base_Profile!D6=1,J227-1,0),0)+IF(OR(D226="Electric heating",D226="Heat pump (heating &amp; cooling)"),IF(DE_Base_Profile!E6=1,L227-1,0),0)</f>
        <v>1.15</v>
      </c>
      <c r="E229">
        <f t="shared" ref="E229:E240" si="15">C229*D229</f>
        <v>317.5725</v>
      </c>
      <c r="F229">
        <f>IF(D226="Electric heating",IF(DE_Base_Profile!E6=1,B229*L227,0),IF(D226="Heat pump (heating &amp; cooling)",IF(DE_Base_Profile!D6=1,B229*J227,0)+IF(DE_Base_Profile!E6=1,B229*L227,0),0))</f>
        <v>0.090735</v>
      </c>
      <c r="G229">
        <f>IF(SUM($F$229:$F$240)=0,0,D227*F229/SUM($F$229:$F$240))</f>
        <v>420.575692963753</v>
      </c>
      <c r="H229">
        <f>F227/12</f>
        <v>0</v>
      </c>
      <c r="I229">
        <f>E229/SUM($E$229:$E$240)*L226+G229+H229</f>
        <v>713.425787945402</v>
      </c>
      <c r="J229">
        <f>I229/H227</f>
        <v>0.109757813530062</v>
      </c>
    </row>
    <row r="230" spans="1:16">
      <c r="A230" t="str">
        <f>DE_Base_Profile!A7</f>
        <v>2月</v>
      </c>
      <c r="B230">
        <f>DE_Base_Profile!B7</f>
        <v>0.0791</v>
      </c>
      <c r="C230">
        <f>L226*B230</f>
        <v>276.85</v>
      </c>
      <c r="D230">
        <f>1+IF(OR(D226="Air conditioning",D226="Heat pump (heating &amp; cooling)"),IF(DE_Base_Profile!D7=1,J227-1,0),0)+IF(OR(D226="Electric heating",D226="Heat pump (heating &amp; cooling)"),IF(DE_Base_Profile!E7=1,L227-1,0),0)</f>
        <v>1.15</v>
      </c>
      <c r="E230">
        <f t="shared" si="15"/>
        <v>318.3775</v>
      </c>
      <c r="F230">
        <f>IF(D226="Electric heating",IF(DE_Base_Profile!E7=1,B230*L227,0),IF(D226="Heat pump (heating &amp; cooling)",IF(DE_Base_Profile!D7=1,B230*J227,0)+IF(DE_Base_Profile!E7=1,B230*L227,0),0))</f>
        <v>0.090965</v>
      </c>
      <c r="G230">
        <f>IF(SUM($F$229:$F$240)=0,0,D227*F230/SUM($F$229:$F$240))</f>
        <v>421.641791044776</v>
      </c>
      <c r="H230">
        <f>F227/12</f>
        <v>0</v>
      </c>
      <c r="I230">
        <f>E230/SUM($E$229:$E$240)*L226+G230+H230</f>
        <v>715.234218333096</v>
      </c>
      <c r="J230">
        <f>I230/H227</f>
        <v>0.110036033589707</v>
      </c>
    </row>
    <row r="231" spans="1:16">
      <c r="A231" t="str">
        <f>DE_Base_Profile!A8</f>
        <v>3月</v>
      </c>
      <c r="B231">
        <f>DE_Base_Profile!B8</f>
        <v>0.0773</v>
      </c>
      <c r="C231">
        <f>L226*B231</f>
        <v>270.55</v>
      </c>
      <c r="D231">
        <f>1+IF(OR(D226="Air conditioning",D226="Heat pump (heating &amp; cooling)"),IF(DE_Base_Profile!D8=1,J227-1,0),0)+IF(OR(D226="Electric heating",D226="Heat pump (heating &amp; cooling)"),IF(DE_Base_Profile!E8=1,L227-1,0),0)</f>
        <v>1.15</v>
      </c>
      <c r="E231">
        <f t="shared" si="15"/>
        <v>311.1325</v>
      </c>
      <c r="F231">
        <f>IF(D226="Electric heating",IF(DE_Base_Profile!E8=1,B231*L227,0),IF(D226="Heat pump (heating &amp; cooling)",IF(DE_Base_Profile!D8=1,B231*J227,0)+IF(DE_Base_Profile!E8=1,B231*L227,0),0))</f>
        <v>0.088895</v>
      </c>
      <c r="G231">
        <f>IF(SUM($F$229:$F$240)=0,0,D227*F231/SUM($F$229:$F$240))</f>
        <v>412.046908315565</v>
      </c>
      <c r="H231">
        <f>F227/12</f>
        <v>0</v>
      </c>
      <c r="I231">
        <f>E231/SUM($E$229:$E$240)*L226+G231+H231</f>
        <v>698.958344843847</v>
      </c>
      <c r="J231">
        <f>I231/H227</f>
        <v>0.1075320530529</v>
      </c>
    </row>
    <row r="232" spans="1:16">
      <c r="A232" t="str">
        <f>DE_Base_Profile!A9</f>
        <v>4月</v>
      </c>
      <c r="B232">
        <f>DE_Base_Profile!B9</f>
        <v>0.0822</v>
      </c>
      <c r="C232">
        <f>L226*B232</f>
        <v>287.7</v>
      </c>
      <c r="D232">
        <f>1+IF(OR(D226="Air conditioning",D226="Heat pump (heating &amp; cooling)"),IF(DE_Base_Profile!D9=1,J227-1,0),0)+IF(OR(D226="Electric heating",D226="Heat pump (heating &amp; cooling)"),IF(DE_Base_Profile!E9=1,L227-1,0),0)</f>
        <v>1.15</v>
      </c>
      <c r="E232">
        <f t="shared" si="15"/>
        <v>330.855</v>
      </c>
      <c r="F232">
        <f>IF(D226="Electric heating",IF(DE_Base_Profile!E9=1,B232*L227,0),IF(D226="Heat pump (heating &amp; cooling)",IF(DE_Base_Profile!D9=1,B232*J227,0)+IF(DE_Base_Profile!E9=1,B232*L227,0),0))</f>
        <v>0.09453</v>
      </c>
      <c r="G232">
        <f>IF(SUM($F$229:$F$240)=0,0,D227*F232/SUM($F$229:$F$240))</f>
        <v>438.16631130064</v>
      </c>
      <c r="H232">
        <f>F227/12</f>
        <v>0</v>
      </c>
      <c r="I232">
        <f>E232/SUM($E$229:$E$240)*L226+G232+H232</f>
        <v>743.264889342358</v>
      </c>
      <c r="J232">
        <f>I232/H227</f>
        <v>0.114348444514209</v>
      </c>
    </row>
    <row r="233" spans="1:16">
      <c r="A233" t="str">
        <f>DE_Base_Profile!A10</f>
        <v>5月</v>
      </c>
      <c r="B233">
        <f>DE_Base_Profile!B10</f>
        <v>0.0839</v>
      </c>
      <c r="C233">
        <f>L226*B233</f>
        <v>293.65</v>
      </c>
      <c r="D233">
        <f>1+IF(OR(D226="Air conditioning",D226="Heat pump (heating &amp; cooling)"),IF(DE_Base_Profile!D10=1,J227-1,0),0)+IF(OR(D226="Electric heating",D226="Heat pump (heating &amp; cooling)"),IF(DE_Base_Profile!E10=1,L227-1,0),0)</f>
        <v>1</v>
      </c>
      <c r="E233">
        <f t="shared" si="15"/>
        <v>293.65</v>
      </c>
      <c r="F233">
        <f>IF(D226="Electric heating",IF(DE_Base_Profile!E10=1,B233*L227,0),IF(D226="Heat pump (heating &amp; cooling)",IF(DE_Base_Profile!D10=1,B233*J227,0)+IF(DE_Base_Profile!E10=1,B233*L227,0),0))</f>
        <v>0</v>
      </c>
      <c r="G233">
        <f>IF(SUM($F$229:$F$240)=0,0,D227*F233/SUM($F$229:$F$240))</f>
        <v>0</v>
      </c>
      <c r="H233">
        <f>F227/12</f>
        <v>0</v>
      </c>
      <c r="I233">
        <f>E233/SUM($E$229:$E$240)*L226+G233+H233</f>
        <v>270.789915346453</v>
      </c>
      <c r="J233">
        <f>I233/H227</f>
        <v>0.0416599869763773</v>
      </c>
    </row>
    <row r="234" spans="1:16">
      <c r="A234" t="str">
        <f>DE_Base_Profile!A11</f>
        <v>6月</v>
      </c>
      <c r="B234">
        <f>DE_Base_Profile!B11</f>
        <v>0.0876</v>
      </c>
      <c r="C234">
        <f>L226*B234</f>
        <v>306.6</v>
      </c>
      <c r="D234">
        <f>1+IF(OR(D226="Air conditioning",D226="Heat pump (heating &amp; cooling)"),IF(DE_Base_Profile!D11=1,J227-1,0),0)+IF(OR(D226="Electric heating",D226="Heat pump (heating &amp; cooling)"),IF(DE_Base_Profile!E11=1,L227-1,0),0)</f>
        <v>1</v>
      </c>
      <c r="E234">
        <f t="shared" si="15"/>
        <v>306.6</v>
      </c>
      <c r="F234">
        <f>IF(D226="Electric heating",IF(DE_Base_Profile!E11=1,B234*L227,0),IF(D226="Heat pump (heating &amp; cooling)",IF(DE_Base_Profile!D11=1,B234*J227,0)+IF(DE_Base_Profile!E11=1,B234*L227,0),0))</f>
        <v>0</v>
      </c>
      <c r="G234">
        <f>IF(SUM($F$229:$F$240)=0,0,D227*F234/SUM($F$229:$F$240))</f>
        <v>0</v>
      </c>
      <c r="H234">
        <f>F227/12</f>
        <v>0</v>
      </c>
      <c r="I234">
        <f>E234/SUM($E$229:$E$240)*L226+G234+H234</f>
        <v>282.731782888549</v>
      </c>
      <c r="J234">
        <f>I234/H227</f>
        <v>0.043497197367469</v>
      </c>
    </row>
    <row r="235" spans="1:16">
      <c r="A235" t="str">
        <f>DE_Base_Profile!A12</f>
        <v>7月</v>
      </c>
      <c r="B235">
        <f>DE_Base_Profile!B12</f>
        <v>0.0917</v>
      </c>
      <c r="C235">
        <f>L226*B235</f>
        <v>320.95</v>
      </c>
      <c r="D235">
        <f>1+IF(OR(D226="Air conditioning",D226="Heat pump (heating &amp; cooling)"),IF(DE_Base_Profile!D12=1,J227-1,0),0)+IF(OR(D226="Electric heating",D226="Heat pump (heating &amp; cooling)"),IF(DE_Base_Profile!E12=1,L227-1,0),0)</f>
        <v>1</v>
      </c>
      <c r="E235">
        <f t="shared" si="15"/>
        <v>320.95</v>
      </c>
      <c r="F235">
        <f>IF(D226="Electric heating",IF(DE_Base_Profile!E12=1,B235*L227,0),IF(D226="Heat pump (heating &amp; cooling)",IF(DE_Base_Profile!D12=1,B235*J227,0)+IF(DE_Base_Profile!E12=1,B235*L227,0),0))</f>
        <v>0</v>
      </c>
      <c r="G235">
        <f>IF(SUM($F$229:$F$240)=0,0,D227*F235/SUM($F$229:$F$240))</f>
        <v>0</v>
      </c>
      <c r="H235">
        <f>F227/12</f>
        <v>0</v>
      </c>
      <c r="I235">
        <f>E235/SUM($E$229:$E$240)*L226+G235+H235</f>
        <v>295.964663137899</v>
      </c>
      <c r="J235">
        <f>I235/H227</f>
        <v>0.0455330250981382</v>
      </c>
    </row>
    <row r="236" spans="1:16">
      <c r="A236" t="str">
        <f>DE_Base_Profile!A13</f>
        <v>8月</v>
      </c>
      <c r="B236">
        <f>DE_Base_Profile!B13</f>
        <v>0.0887</v>
      </c>
      <c r="C236">
        <f>L226*B236</f>
        <v>310.45</v>
      </c>
      <c r="D236">
        <f>1+IF(OR(D226="Air conditioning",D226="Heat pump (heating &amp; cooling)"),IF(DE_Base_Profile!D13=1,J227-1,0),0)+IF(OR(D226="Electric heating",D226="Heat pump (heating &amp; cooling)"),IF(DE_Base_Profile!E13=1,L227-1,0),0)</f>
        <v>1</v>
      </c>
      <c r="E236">
        <f t="shared" si="15"/>
        <v>310.45</v>
      </c>
      <c r="F236">
        <f>IF(D226="Electric heating",IF(DE_Base_Profile!E13=1,B236*L227,0),IF(D226="Heat pump (heating &amp; cooling)",IF(DE_Base_Profile!D13=1,B236*J227,0)+IF(DE_Base_Profile!E13=1,B236*L227,0),0))</f>
        <v>0</v>
      </c>
      <c r="G236">
        <f>IF(SUM($F$229:$F$240)=0,0,D227*F236/SUM($F$229:$F$240))</f>
        <v>0</v>
      </c>
      <c r="H236">
        <f>F227/12</f>
        <v>0</v>
      </c>
      <c r="I236">
        <f>E236/SUM($E$229:$E$240)*L226+G236+H236</f>
        <v>286.282067833496</v>
      </c>
      <c r="J236">
        <f>I236/H227</f>
        <v>0.0440433950513071</v>
      </c>
    </row>
    <row r="237" spans="1:16">
      <c r="A237" t="str">
        <f>DE_Base_Profile!A14</f>
        <v>9月</v>
      </c>
      <c r="B237">
        <f>DE_Base_Profile!B14</f>
        <v>0.0853</v>
      </c>
      <c r="C237">
        <f>L226*B237</f>
        <v>298.55</v>
      </c>
      <c r="D237">
        <f>1+IF(OR(D226="Air conditioning",D226="Heat pump (heating &amp; cooling)"),IF(DE_Base_Profile!D14=1,J227-1,0),0)+IF(OR(D226="Electric heating",D226="Heat pump (heating &amp; cooling)"),IF(DE_Base_Profile!E14=1,L227-1,0),0)</f>
        <v>1</v>
      </c>
      <c r="E237">
        <f t="shared" si="15"/>
        <v>298.55</v>
      </c>
      <c r="F237">
        <f>IF(D226="Electric heating",IF(DE_Base_Profile!E14=1,B237*L227,0),IF(D226="Heat pump (heating &amp; cooling)",IF(DE_Base_Profile!D14=1,B237*J227,0)+IF(DE_Base_Profile!E14=1,B237*L227,0),0))</f>
        <v>0</v>
      </c>
      <c r="G237">
        <f>IF(SUM($F$229:$F$240)=0,0,D227*F237/SUM($F$229:$F$240))</f>
        <v>0</v>
      </c>
      <c r="H237">
        <f>F227/12</f>
        <v>0</v>
      </c>
      <c r="I237">
        <f>E237/SUM($E$229:$E$240)*L226+G237+H237</f>
        <v>275.30845982184</v>
      </c>
      <c r="J237">
        <f>I237/H227</f>
        <v>0.0423551476648985</v>
      </c>
    </row>
    <row r="238" spans="1:16">
      <c r="A238" t="str">
        <f>DE_Base_Profile!A15</f>
        <v>10月</v>
      </c>
      <c r="B238">
        <f>DE_Base_Profile!B15</f>
        <v>0.0838</v>
      </c>
      <c r="C238">
        <f>L226*B238</f>
        <v>293.3</v>
      </c>
      <c r="D238">
        <f>1+IF(OR(D226="Air conditioning",D226="Heat pump (heating &amp; cooling)"),IF(DE_Base_Profile!D15=1,J227-1,0),0)+IF(OR(D226="Electric heating",D226="Heat pump (heating &amp; cooling)"),IF(DE_Base_Profile!E15=1,L227-1,0),0)</f>
        <v>1.15</v>
      </c>
      <c r="E238">
        <f t="shared" si="15"/>
        <v>337.295</v>
      </c>
      <c r="F238">
        <f>IF(D226="Electric heating",IF(DE_Base_Profile!E15=1,B238*L227,0),IF(D226="Heat pump (heating &amp; cooling)",IF(DE_Base_Profile!D15=1,B238*J227,0)+IF(DE_Base_Profile!E15=1,B238*L227,0),0))</f>
        <v>0.09637</v>
      </c>
      <c r="G238">
        <f>IF(SUM($F$229:$F$240)=0,0,D227*F238/SUM($F$229:$F$240))</f>
        <v>446.695095948827</v>
      </c>
      <c r="H238">
        <f>F227/12</f>
        <v>0</v>
      </c>
      <c r="I238">
        <f>E238/SUM($E$229:$E$240)*L226+G238+H238</f>
        <v>757.732332443912</v>
      </c>
      <c r="J238">
        <f>I238/H227</f>
        <v>0.116574204991371</v>
      </c>
    </row>
    <row r="239" spans="1:16">
      <c r="A239" t="str">
        <f>DE_Base_Profile!A16</f>
        <v>11月</v>
      </c>
      <c r="B239">
        <f>DE_Base_Profile!B16</f>
        <v>0.0819</v>
      </c>
      <c r="C239">
        <f>L226*B239</f>
        <v>286.65</v>
      </c>
      <c r="D239">
        <f>1+IF(OR(D226="Air conditioning",D226="Heat pump (heating &amp; cooling)"),IF(DE_Base_Profile!D16=1,J227-1,0),0)+IF(OR(D226="Electric heating",D226="Heat pump (heating &amp; cooling)"),IF(DE_Base_Profile!E16=1,L227-1,0),0)</f>
        <v>1.15</v>
      </c>
      <c r="E239">
        <f t="shared" si="15"/>
        <v>329.6475</v>
      </c>
      <c r="F239">
        <f>IF(D226="Electric heating",IF(DE_Base_Profile!E16=1,B239*L227,0),IF(D226="Heat pump (heating &amp; cooling)",IF(DE_Base_Profile!D16=1,B239*J227,0)+IF(DE_Base_Profile!E16=1,B239*L227,0),0))</f>
        <v>0.094185</v>
      </c>
      <c r="G239">
        <f>IF(SUM($F$229:$F$240)=0,0,D227*F239/SUM($F$229:$F$240))</f>
        <v>436.567164179104</v>
      </c>
      <c r="H239">
        <f>F227/12</f>
        <v>0</v>
      </c>
      <c r="I239">
        <f>E239/SUM($E$229:$E$240)*L226+G239+H239</f>
        <v>740.552243760816</v>
      </c>
      <c r="J239">
        <f>I239/H227</f>
        <v>0.113931114424741</v>
      </c>
    </row>
    <row r="240" spans="1:16">
      <c r="A240" t="str">
        <f>DE_Base_Profile!A17</f>
        <v>12月</v>
      </c>
      <c r="B240">
        <f>DE_Base_Profile!B17</f>
        <v>0.0796</v>
      </c>
      <c r="C240">
        <f>L226*B240</f>
        <v>278.6</v>
      </c>
      <c r="D240">
        <f>1+IF(OR(D226="Air conditioning",D226="Heat pump (heating &amp; cooling)"),IF(DE_Base_Profile!D17=1,J227-1,0),0)+IF(OR(D226="Electric heating",D226="Heat pump (heating &amp; cooling)"),IF(DE_Base_Profile!E17=1,L227-1,0),0)</f>
        <v>1.15</v>
      </c>
      <c r="E240">
        <f t="shared" si="15"/>
        <v>320.39</v>
      </c>
      <c r="F240">
        <f>IF(D226="Electric heating",IF(DE_Base_Profile!E17=1,B240*L227,0),IF(D226="Heat pump (heating &amp; cooling)",IF(DE_Base_Profile!D17=1,B240*J227,0)+IF(DE_Base_Profile!E17=1,B240*L227,0),0))</f>
        <v>0.09154</v>
      </c>
      <c r="G240">
        <f>IF(SUM($F$229:$F$240)=0,0,D227*F240/SUM($F$229:$F$240))</f>
        <v>424.307036247335</v>
      </c>
      <c r="H240">
        <f>F227/12</f>
        <v>0</v>
      </c>
      <c r="I240">
        <f>E240/SUM($E$229:$E$240)*L226+G240+H240</f>
        <v>719.755294302332</v>
      </c>
      <c r="J240">
        <f>I240/H227</f>
        <v>0.11073158373882</v>
      </c>
    </row>
    <row r="243" spans="1:10">
      <c r="A243">
        <f>DE_Base_Profile!H6</f>
        <v>0</v>
      </c>
      <c r="B243">
        <f>DE_Base_Profile!I6</f>
        <v>0.0301</v>
      </c>
      <c r="C243">
        <f>IF(DE_Base_Profile!J6=1,INDEX(DE_Lookups!$B$2:$B$4,MATCH(B226,DE_Lookups!$A$2:$A$4,0)),1)</f>
        <v>1</v>
      </c>
      <c r="D243">
        <f>IF(OR(D226="Air conditioning",D226="Heat pump (heating &amp; cooling)"),IF(DE_Base_Profile!K6=1,N227,1),1)*IF(OR(D226="Electric heating",D226="Heat pump (heating &amp; cooling)"),IF(DE_Base_Profile!L6=1,P227,1),1)</f>
        <v>1</v>
      </c>
      <c r="E243">
        <f t="shared" ref="E243:E266" si="16">B243*C243*D243</f>
        <v>0.0301</v>
      </c>
      <c r="F243">
        <f t="shared" ref="F243:F266" si="17">E243/SUM($E$243:$E$266)</f>
        <v>0.0339641334237539</v>
      </c>
      <c r="G243">
        <f>((L226+D227)/365)*F243</f>
        <v>0.604840732203837</v>
      </c>
      <c r="H243">
        <f>INDEX(DE_Base_Profile!$N$6:$Q$29,ROW()-242,MATCH(J226,DE_Base_Profile!$N$5:$Q$5,0))</f>
        <v>0.125</v>
      </c>
      <c r="I243">
        <f>(F227/365)*H243</f>
        <v>0</v>
      </c>
      <c r="J243">
        <f>(G243+I243)/(H227/365)</f>
        <v>0.0339641334237539</v>
      </c>
    </row>
    <row r="244" spans="1:10">
      <c r="A244">
        <f>DE_Base_Profile!H7</f>
        <v>1</v>
      </c>
      <c r="B244">
        <f>DE_Base_Profile!I7</f>
        <v>0.0258</v>
      </c>
      <c r="C244">
        <f>IF(DE_Base_Profile!J7=1,INDEX(DE_Lookups!$B$2:$B$4,MATCH(B226,DE_Lookups!$A$2:$A$4,0)),1)</f>
        <v>1</v>
      </c>
      <c r="D244">
        <f>IF(OR(D226="Air conditioning",D226="Heat pump (heating &amp; cooling)"),IF(DE_Base_Profile!K7=1,N227,1),1)*IF(OR(D226="Electric heating",D226="Heat pump (heating &amp; cooling)"),IF(DE_Base_Profile!L7=1,P227,1),1)</f>
        <v>1</v>
      </c>
      <c r="E244">
        <f t="shared" si="16"/>
        <v>0.0258</v>
      </c>
      <c r="F244">
        <f t="shared" si="17"/>
        <v>0.0291121143632176</v>
      </c>
      <c r="G244">
        <f>((L226+D227)/365)*F244</f>
        <v>0.518434913317574</v>
      </c>
      <c r="H244">
        <f>INDEX(DE_Base_Profile!$N$6:$Q$29,ROW()-242,MATCH(J226,DE_Base_Profile!$N$5:$Q$5,0))</f>
        <v>0.125</v>
      </c>
      <c r="I244">
        <f>(F227/365)*H244</f>
        <v>0</v>
      </c>
      <c r="J244">
        <f>(G244+I244)/(H227/365)</f>
        <v>0.0291121143632176</v>
      </c>
    </row>
    <row r="245" spans="1:10">
      <c r="A245">
        <f>DE_Base_Profile!H8</f>
        <v>2</v>
      </c>
      <c r="B245">
        <f>DE_Base_Profile!I8</f>
        <v>0.0239</v>
      </c>
      <c r="C245">
        <f>IF(DE_Base_Profile!J8=1,INDEX(DE_Lookups!$B$2:$B$4,MATCH(B226,DE_Lookups!$A$2:$A$4,0)),1)</f>
        <v>1</v>
      </c>
      <c r="D245">
        <f>IF(OR(D226="Air conditioning",D226="Heat pump (heating &amp; cooling)"),IF(DE_Base_Profile!K8=1,N227,1),1)*IF(OR(D226="Electric heating",D226="Heat pump (heating &amp; cooling)"),IF(DE_Base_Profile!L8=1,P227,1),1)</f>
        <v>1</v>
      </c>
      <c r="E245">
        <f t="shared" si="16"/>
        <v>0.0239</v>
      </c>
      <c r="F245">
        <f t="shared" si="17"/>
        <v>0.026968198964376</v>
      </c>
      <c r="G245">
        <f>((L226+D227)/365)*F245</f>
        <v>0.480255597995737</v>
      </c>
      <c r="H245">
        <f>INDEX(DE_Base_Profile!$N$6:$Q$29,ROW()-242,MATCH(J226,DE_Base_Profile!$N$5:$Q$5,0))</f>
        <v>0.125</v>
      </c>
      <c r="I245">
        <f>(F227/365)*H245</f>
        <v>0</v>
      </c>
      <c r="J245">
        <f>(G245+I245)/(H227/365)</f>
        <v>0.026968198964376</v>
      </c>
    </row>
    <row r="246" spans="1:10">
      <c r="A246">
        <f>DE_Base_Profile!H9</f>
        <v>3</v>
      </c>
      <c r="B246">
        <f>DE_Base_Profile!I9</f>
        <v>0.0232</v>
      </c>
      <c r="C246">
        <f>IF(DE_Base_Profile!J9=1,INDEX(DE_Lookups!$B$2:$B$4,MATCH(B226,DE_Lookups!$A$2:$A$4,0)),1)</f>
        <v>1</v>
      </c>
      <c r="D246">
        <f>IF(OR(D226="Air conditioning",D226="Heat pump (heating &amp; cooling)"),IF(DE_Base_Profile!K9=1,N227,1),1)*IF(OR(D226="Electric heating",D226="Heat pump (heating &amp; cooling)"),IF(DE_Base_Profile!L9=1,P227,1),1)</f>
        <v>1</v>
      </c>
      <c r="E246">
        <f t="shared" si="16"/>
        <v>0.0232</v>
      </c>
      <c r="F246">
        <f t="shared" si="17"/>
        <v>0.0261783353963817</v>
      </c>
      <c r="G246">
        <f>((L226+D227)/365)*F246</f>
        <v>0.466189534456113</v>
      </c>
      <c r="H246">
        <f>INDEX(DE_Base_Profile!$N$6:$Q$29,ROW()-242,MATCH(J226,DE_Base_Profile!$N$5:$Q$5,0))</f>
        <v>0.125</v>
      </c>
      <c r="I246">
        <f>(F227/365)*H246</f>
        <v>0</v>
      </c>
      <c r="J246">
        <f>(G246+I246)/(H227/365)</f>
        <v>0.0261783353963817</v>
      </c>
    </row>
    <row r="247" spans="1:10">
      <c r="A247">
        <f>DE_Base_Profile!H10</f>
        <v>4</v>
      </c>
      <c r="B247">
        <f>DE_Base_Profile!I10</f>
        <v>0.0236</v>
      </c>
      <c r="C247">
        <f>IF(DE_Base_Profile!J10=1,INDEX(DE_Lookups!$B$2:$B$4,MATCH(B226,DE_Lookups!$A$2:$A$4,0)),1)</f>
        <v>1</v>
      </c>
      <c r="D247">
        <f>IF(OR(D226="Air conditioning",D226="Heat pump (heating &amp; cooling)"),IF(DE_Base_Profile!K10=1,N227,1),1)*IF(OR(D226="Electric heating",D226="Heat pump (heating &amp; cooling)"),IF(DE_Base_Profile!L10=1,P227,1),1)</f>
        <v>1</v>
      </c>
      <c r="E247">
        <f t="shared" si="16"/>
        <v>0.0236</v>
      </c>
      <c r="F247">
        <f t="shared" si="17"/>
        <v>0.0266296860066642</v>
      </c>
      <c r="G247">
        <f>((L226+D227)/365)*F247</f>
        <v>0.474227285050184</v>
      </c>
      <c r="H247">
        <f>INDEX(DE_Base_Profile!$N$6:$Q$29,ROW()-242,MATCH(J226,DE_Base_Profile!$N$5:$Q$5,0))</f>
        <v>0.125</v>
      </c>
      <c r="I247">
        <f>(F227/365)*H247</f>
        <v>0</v>
      </c>
      <c r="J247">
        <f>(G247+I247)/(H227/365)</f>
        <v>0.0266296860066642</v>
      </c>
    </row>
    <row r="248" spans="1:10">
      <c r="A248">
        <f>DE_Base_Profile!H11</f>
        <v>5</v>
      </c>
      <c r="B248">
        <f>DE_Base_Profile!I11</f>
        <v>0.0252</v>
      </c>
      <c r="C248">
        <f>IF(DE_Base_Profile!J11=1,INDEX(DE_Lookups!$B$2:$B$4,MATCH(B226,DE_Lookups!$A$2:$A$4,0)),1)</f>
        <v>1</v>
      </c>
      <c r="D248">
        <f>IF(OR(D226="Air conditioning",D226="Heat pump (heating &amp; cooling)"),IF(DE_Base_Profile!K11=1,N227,1),1)*IF(OR(D226="Electric heating",D226="Heat pump (heating &amp; cooling)"),IF(DE_Base_Profile!L11=1,P227,1),1)</f>
        <v>1</v>
      </c>
      <c r="E248">
        <f t="shared" si="16"/>
        <v>0.0252</v>
      </c>
      <c r="F248">
        <f t="shared" si="17"/>
        <v>0.028435088447794</v>
      </c>
      <c r="G248">
        <f>((L226+D227)/365)*F248</f>
        <v>0.506378287426468</v>
      </c>
      <c r="H248">
        <f>INDEX(DE_Base_Profile!$N$6:$Q$29,ROW()-242,MATCH(J226,DE_Base_Profile!$N$5:$Q$5,0))</f>
        <v>0.125</v>
      </c>
      <c r="I248">
        <f>(F227/365)*H248</f>
        <v>0</v>
      </c>
      <c r="J248">
        <f>(G248+I248)/(H227/365)</f>
        <v>0.028435088447794</v>
      </c>
    </row>
    <row r="249" spans="1:10">
      <c r="A249">
        <f>DE_Base_Profile!H12</f>
        <v>6</v>
      </c>
      <c r="B249">
        <f>DE_Base_Profile!I12</f>
        <v>0.03</v>
      </c>
      <c r="C249">
        <f>IF(DE_Base_Profile!J12=1,INDEX(DE_Lookups!$B$2:$B$4,MATCH(B226,DE_Lookups!$A$2:$A$4,0)),1)</f>
        <v>1</v>
      </c>
      <c r="D249">
        <f>IF(OR(D226="Air conditioning",D226="Heat pump (heating &amp; cooling)"),IF(DE_Base_Profile!K12=1,N227,1),1)*IF(OR(D226="Electric heating",D226="Heat pump (heating &amp; cooling)"),IF(DE_Base_Profile!L12=1,P227,1),1)</f>
        <v>1.15</v>
      </c>
      <c r="E249">
        <f t="shared" si="16"/>
        <v>0.0345</v>
      </c>
      <c r="F249">
        <f t="shared" si="17"/>
        <v>0.0389289901368608</v>
      </c>
      <c r="G249">
        <f>((L226+D227)/365)*F249</f>
        <v>0.693255988738617</v>
      </c>
      <c r="H249">
        <f>INDEX(DE_Base_Profile!$N$6:$Q$29,ROW()-242,MATCH(J226,DE_Base_Profile!$N$5:$Q$5,0))</f>
        <v>0</v>
      </c>
      <c r="I249">
        <f>(F227/365)*H249</f>
        <v>0</v>
      </c>
      <c r="J249">
        <f>(G249+I249)/(H227/365)</f>
        <v>0.0389289901368608</v>
      </c>
    </row>
    <row r="250" spans="1:10">
      <c r="A250">
        <f>DE_Base_Profile!H13</f>
        <v>7</v>
      </c>
      <c r="B250">
        <f>DE_Base_Profile!I13</f>
        <v>0.0358</v>
      </c>
      <c r="C250">
        <f>IF(DE_Base_Profile!J13=1,INDEX(DE_Lookups!$B$2:$B$4,MATCH(B226,DE_Lookups!$A$2:$A$4,0)),1)</f>
        <v>1</v>
      </c>
      <c r="D250">
        <f>IF(OR(D226="Air conditioning",D226="Heat pump (heating &amp; cooling)"),IF(DE_Base_Profile!K13=1,N227,1),1)*IF(OR(D226="Electric heating",D226="Heat pump (heating &amp; cooling)"),IF(DE_Base_Profile!L13=1,P227,1),1)</f>
        <v>1.15</v>
      </c>
      <c r="E250">
        <f t="shared" si="16"/>
        <v>0.04117</v>
      </c>
      <c r="F250">
        <f t="shared" si="17"/>
        <v>0.0464552615633205</v>
      </c>
      <c r="G250">
        <f>((L226+D227)/365)*F250</f>
        <v>0.827285479894749</v>
      </c>
      <c r="H250">
        <f>INDEX(DE_Base_Profile!$N$6:$Q$29,ROW()-242,MATCH(J226,DE_Base_Profile!$N$5:$Q$5,0))</f>
        <v>0</v>
      </c>
      <c r="I250">
        <f>(F227/365)*H250</f>
        <v>0</v>
      </c>
      <c r="J250">
        <f>(G250+I250)/(H227/365)</f>
        <v>0.0464552615633205</v>
      </c>
    </row>
    <row r="251" spans="1:10">
      <c r="A251">
        <f>DE_Base_Profile!H14</f>
        <v>8</v>
      </c>
      <c r="B251">
        <f>DE_Base_Profile!I14</f>
        <v>0.041</v>
      </c>
      <c r="C251">
        <f>IF(DE_Base_Profile!J14=1,INDEX(DE_Lookups!$B$2:$B$4,MATCH(B226,DE_Lookups!$A$2:$A$4,0)),1)</f>
        <v>1</v>
      </c>
      <c r="D251">
        <f>IF(OR(D226="Air conditioning",D226="Heat pump (heating &amp; cooling)"),IF(DE_Base_Profile!K14=1,N227,1),1)*IF(OR(D226="Electric heating",D226="Heat pump (heating &amp; cooling)"),IF(DE_Base_Profile!L14=1,P227,1),1)</f>
        <v>1.15</v>
      </c>
      <c r="E251">
        <f t="shared" si="16"/>
        <v>0.04715</v>
      </c>
      <c r="F251">
        <f t="shared" si="17"/>
        <v>0.0532029531870431</v>
      </c>
      <c r="G251">
        <f>((L226+D227)/365)*F251</f>
        <v>0.94744985127611</v>
      </c>
      <c r="H251">
        <f>INDEX(DE_Base_Profile!$N$6:$Q$29,ROW()-242,MATCH(J226,DE_Base_Profile!$N$5:$Q$5,0))</f>
        <v>0</v>
      </c>
      <c r="I251">
        <f>(F227/365)*H251</f>
        <v>0</v>
      </c>
      <c r="J251">
        <f>(G251+I251)/(H227/365)</f>
        <v>0.0532029531870431</v>
      </c>
    </row>
    <row r="252" spans="1:10">
      <c r="A252">
        <f>DE_Base_Profile!H15</f>
        <v>9</v>
      </c>
      <c r="B252">
        <f>DE_Base_Profile!I15</f>
        <v>0.0446</v>
      </c>
      <c r="C252">
        <f>IF(DE_Base_Profile!J15=1,INDEX(DE_Lookups!$B$2:$B$4,MATCH(B226,DE_Lookups!$A$2:$A$4,0)),1)</f>
        <v>0.6</v>
      </c>
      <c r="D252">
        <f>IF(OR(D226="Air conditioning",D226="Heat pump (heating &amp; cooling)"),IF(DE_Base_Profile!K15=1,N227,1),1)*IF(OR(D226="Electric heating",D226="Heat pump (heating &amp; cooling)"),IF(DE_Base_Profile!L15=1,P227,1),1)</f>
        <v>1.15</v>
      </c>
      <c r="E252">
        <f t="shared" si="16"/>
        <v>0.030774</v>
      </c>
      <c r="F252">
        <f t="shared" si="17"/>
        <v>0.0347246592020798</v>
      </c>
      <c r="G252">
        <f>((L226+D227)/365)*F252</f>
        <v>0.618384341954846</v>
      </c>
      <c r="H252">
        <f>INDEX(DE_Base_Profile!$N$6:$Q$29,ROW()-242,MATCH(J226,DE_Base_Profile!$N$5:$Q$5,0))</f>
        <v>0</v>
      </c>
      <c r="I252">
        <f>(F227/365)*H252</f>
        <v>0</v>
      </c>
      <c r="J252">
        <f>(G252+I252)/(H227/365)</f>
        <v>0.0347246592020798</v>
      </c>
    </row>
    <row r="253" spans="1:10">
      <c r="A253">
        <f>DE_Base_Profile!H16</f>
        <v>10</v>
      </c>
      <c r="B253">
        <f>DE_Base_Profile!I16</f>
        <v>0.0474</v>
      </c>
      <c r="C253">
        <f>IF(DE_Base_Profile!J16=1,INDEX(DE_Lookups!$B$2:$B$4,MATCH(B226,DE_Lookups!$A$2:$A$4,0)),1)</f>
        <v>0.6</v>
      </c>
      <c r="D253">
        <f>IF(OR(D226="Air conditioning",D226="Heat pump (heating &amp; cooling)"),IF(DE_Base_Profile!K16=1,N227,1),1)*IF(OR(D226="Electric heating",D226="Heat pump (heating &amp; cooling)"),IF(DE_Base_Profile!L16=1,P227,1),1)</f>
        <v>1</v>
      </c>
      <c r="E253">
        <f t="shared" si="16"/>
        <v>0.02844</v>
      </c>
      <c r="F253">
        <f t="shared" si="17"/>
        <v>0.0320910283910818</v>
      </c>
      <c r="G253">
        <f>((L226+D227)/365)*F253</f>
        <v>0.571484067238442</v>
      </c>
      <c r="H253">
        <f>INDEX(DE_Base_Profile!$N$6:$Q$29,ROW()-242,MATCH(J226,DE_Base_Profile!$N$5:$Q$5,0))</f>
        <v>0</v>
      </c>
      <c r="I253">
        <f>(F227/365)*H253</f>
        <v>0</v>
      </c>
      <c r="J253">
        <f>(G253+I253)/(H227/365)</f>
        <v>0.0320910283910818</v>
      </c>
    </row>
    <row r="254" spans="1:10">
      <c r="A254">
        <f>DE_Base_Profile!H17</f>
        <v>11</v>
      </c>
      <c r="B254">
        <f>DE_Base_Profile!I17</f>
        <v>0.0518</v>
      </c>
      <c r="C254">
        <f>IF(DE_Base_Profile!J17=1,INDEX(DE_Lookups!$B$2:$B$4,MATCH(B226,DE_Lookups!$A$2:$A$4,0)),1)</f>
        <v>0.6</v>
      </c>
      <c r="D254">
        <f>IF(OR(D226="Air conditioning",D226="Heat pump (heating &amp; cooling)"),IF(DE_Base_Profile!K17=1,N227,1),1)*IF(OR(D226="Electric heating",D226="Heat pump (heating &amp; cooling)"),IF(DE_Base_Profile!L17=1,P227,1),1)</f>
        <v>1</v>
      </c>
      <c r="E254">
        <f t="shared" si="16"/>
        <v>0.03108</v>
      </c>
      <c r="F254">
        <f t="shared" si="17"/>
        <v>0.0350699424189459</v>
      </c>
      <c r="G254">
        <f>((L226+D227)/365)*F254</f>
        <v>0.62453322115931</v>
      </c>
      <c r="H254">
        <f>INDEX(DE_Base_Profile!$N$6:$Q$29,ROW()-242,MATCH(J226,DE_Base_Profile!$N$5:$Q$5,0))</f>
        <v>0</v>
      </c>
      <c r="I254">
        <f>(F227/365)*H254</f>
        <v>0</v>
      </c>
      <c r="J254">
        <f>(G254+I254)/(H227/365)</f>
        <v>0.0350699424189459</v>
      </c>
    </row>
    <row r="255" spans="1:10">
      <c r="A255">
        <f>DE_Base_Profile!H18</f>
        <v>12</v>
      </c>
      <c r="B255">
        <f>DE_Base_Profile!I18</f>
        <v>0.0513</v>
      </c>
      <c r="C255">
        <f>IF(DE_Base_Profile!J18=1,INDEX(DE_Lookups!$B$2:$B$4,MATCH(B226,DE_Lookups!$A$2:$A$4,0)),1)</f>
        <v>0.6</v>
      </c>
      <c r="D255">
        <f>IF(OR(D226="Air conditioning",D226="Heat pump (heating &amp; cooling)"),IF(DE_Base_Profile!K18=1,N227,1),1)*IF(OR(D226="Electric heating",D226="Heat pump (heating &amp; cooling)"),IF(DE_Base_Profile!L18=1,P227,1),1)</f>
        <v>1</v>
      </c>
      <c r="E255">
        <f t="shared" si="16"/>
        <v>0.03078</v>
      </c>
      <c r="F255">
        <f t="shared" si="17"/>
        <v>0.0347314294612341</v>
      </c>
      <c r="G255">
        <f>((L226+D227)/365)*F255</f>
        <v>0.618504908213757</v>
      </c>
      <c r="H255">
        <f>INDEX(DE_Base_Profile!$N$6:$Q$29,ROW()-242,MATCH(J226,DE_Base_Profile!$N$5:$Q$5,0))</f>
        <v>0</v>
      </c>
      <c r="I255">
        <f>(F227/365)*H255</f>
        <v>0</v>
      </c>
      <c r="J255">
        <f>(G255+I255)/(H227/365)</f>
        <v>0.0347314294612341</v>
      </c>
    </row>
    <row r="256" spans="1:10">
      <c r="A256">
        <f>DE_Base_Profile!H19</f>
        <v>13</v>
      </c>
      <c r="B256">
        <f>DE_Base_Profile!I19</f>
        <v>0.0481</v>
      </c>
      <c r="C256">
        <f>IF(DE_Base_Profile!J19=1,INDEX(DE_Lookups!$B$2:$B$4,MATCH(B226,DE_Lookups!$A$2:$A$4,0)),1)</f>
        <v>0.6</v>
      </c>
      <c r="D256">
        <f>IF(OR(D226="Air conditioning",D226="Heat pump (heating &amp; cooling)"),IF(DE_Base_Profile!K19=1,N227,1),1)*IF(OR(D226="Electric heating",D226="Heat pump (heating &amp; cooling)"),IF(DE_Base_Profile!L19=1,P227,1),1)</f>
        <v>1</v>
      </c>
      <c r="E256">
        <f t="shared" si="16"/>
        <v>0.02886</v>
      </c>
      <c r="F256">
        <f t="shared" si="17"/>
        <v>0.0325649465318783</v>
      </c>
      <c r="G256">
        <f>((L226+D227)/365)*F256</f>
        <v>0.579923705362217</v>
      </c>
      <c r="H256">
        <f>INDEX(DE_Base_Profile!$N$6:$Q$29,ROW()-242,MATCH(J226,DE_Base_Profile!$N$5:$Q$5,0))</f>
        <v>0</v>
      </c>
      <c r="I256">
        <f>(F227/365)*H256</f>
        <v>0</v>
      </c>
      <c r="J256">
        <f>(G256+I256)/(H227/365)</f>
        <v>0.0325649465318783</v>
      </c>
    </row>
    <row r="257" spans="1:16">
      <c r="A257">
        <f>DE_Base_Profile!H20</f>
        <v>14</v>
      </c>
      <c r="B257">
        <f>DE_Base_Profile!I20</f>
        <v>0.0459</v>
      </c>
      <c r="C257">
        <f>IF(DE_Base_Profile!J20=1,INDEX(DE_Lookups!$B$2:$B$4,MATCH(B226,DE_Lookups!$A$2:$A$4,0)),1)</f>
        <v>0.6</v>
      </c>
      <c r="D257">
        <f>IF(OR(D226="Air conditioning",D226="Heat pump (heating &amp; cooling)"),IF(DE_Base_Profile!K20=1,N227,1),1)*IF(OR(D226="Electric heating",D226="Heat pump (heating &amp; cooling)"),IF(DE_Base_Profile!L20=1,P227,1),1)</f>
        <v>1</v>
      </c>
      <c r="E257">
        <f t="shared" si="16"/>
        <v>0.02754</v>
      </c>
      <c r="F257">
        <f t="shared" si="17"/>
        <v>0.0310754895179463</v>
      </c>
      <c r="G257">
        <f>((L226+D227)/365)*F257</f>
        <v>0.553399128401783</v>
      </c>
      <c r="H257">
        <f>INDEX(DE_Base_Profile!$N$6:$Q$29,ROW()-242,MATCH(J226,DE_Base_Profile!$N$5:$Q$5,0))</f>
        <v>0</v>
      </c>
      <c r="I257">
        <f>(F227/365)*H257</f>
        <v>0</v>
      </c>
      <c r="J257">
        <f>(G257+I257)/(H227/365)</f>
        <v>0.0310754895179463</v>
      </c>
    </row>
    <row r="258" spans="1:16">
      <c r="A258">
        <f>DE_Base_Profile!H21</f>
        <v>15</v>
      </c>
      <c r="B258">
        <f>DE_Base_Profile!I21</f>
        <v>0.0454</v>
      </c>
      <c r="C258">
        <f>IF(DE_Base_Profile!J21=1,INDEX(DE_Lookups!$B$2:$B$4,MATCH(B226,DE_Lookups!$A$2:$A$4,0)),1)</f>
        <v>0.6</v>
      </c>
      <c r="D258">
        <f>IF(OR(D226="Air conditioning",D226="Heat pump (heating &amp; cooling)"),IF(DE_Base_Profile!K21=1,N227,1),1)*IF(OR(D226="Electric heating",D226="Heat pump (heating &amp; cooling)"),IF(DE_Base_Profile!L21=1,P227,1),1)</f>
        <v>1</v>
      </c>
      <c r="E258">
        <f t="shared" si="16"/>
        <v>0.02724</v>
      </c>
      <c r="F258">
        <f t="shared" si="17"/>
        <v>0.0307369765602344</v>
      </c>
      <c r="G258">
        <f>((L226+D227)/365)*F258</f>
        <v>0.54737081545623</v>
      </c>
      <c r="H258">
        <f>INDEX(DE_Base_Profile!$N$6:$Q$29,ROW()-242,MATCH(J226,DE_Base_Profile!$N$5:$Q$5,0))</f>
        <v>0</v>
      </c>
      <c r="I258">
        <f>(F227/365)*H258</f>
        <v>0</v>
      </c>
      <c r="J258">
        <f>(G258+I258)/(H227/365)</f>
        <v>0.0307369765602344</v>
      </c>
    </row>
    <row r="259" spans="1:16">
      <c r="A259">
        <f>DE_Base_Profile!H22</f>
        <v>16</v>
      </c>
      <c r="B259">
        <f>DE_Base_Profile!I22</f>
        <v>0.0475</v>
      </c>
      <c r="C259">
        <f>IF(DE_Base_Profile!J22=1,INDEX(DE_Lookups!$B$2:$B$4,MATCH(B226,DE_Lookups!$A$2:$A$4,0)),1)</f>
        <v>0.6</v>
      </c>
      <c r="D259">
        <f>IF(OR(D226="Air conditioning",D226="Heat pump (heating &amp; cooling)"),IF(DE_Base_Profile!K22=1,N227,1),1)*IF(OR(D226="Electric heating",D226="Heat pump (heating &amp; cooling)"),IF(DE_Base_Profile!L22=1,P227,1),1)</f>
        <v>1</v>
      </c>
      <c r="E259">
        <f t="shared" si="16"/>
        <v>0.0285</v>
      </c>
      <c r="F259">
        <f t="shared" si="17"/>
        <v>0.0321587309826241</v>
      </c>
      <c r="G259">
        <f>((L226+D227)/365)*F259</f>
        <v>0.572689729827553</v>
      </c>
      <c r="H259">
        <f>INDEX(DE_Base_Profile!$N$6:$Q$29,ROW()-242,MATCH(J226,DE_Base_Profile!$N$5:$Q$5,0))</f>
        <v>0</v>
      </c>
      <c r="I259">
        <f>(F227/365)*H259</f>
        <v>0</v>
      </c>
      <c r="J259">
        <f>(G259+I259)/(H227/365)</f>
        <v>0.0321587309826241</v>
      </c>
    </row>
    <row r="260" spans="1:16">
      <c r="A260">
        <f>DE_Base_Profile!H23</f>
        <v>17</v>
      </c>
      <c r="B260">
        <f>DE_Base_Profile!I23</f>
        <v>0.0535</v>
      </c>
      <c r="C260">
        <f>IF(DE_Base_Profile!J23=1,INDEX(DE_Lookups!$B$2:$B$4,MATCH(B226,DE_Lookups!$A$2:$A$4,0)),1)</f>
        <v>0.6</v>
      </c>
      <c r="D260">
        <f>IF(OR(D226="Air conditioning",D226="Heat pump (heating &amp; cooling)"),IF(DE_Base_Profile!K23=1,N227,1),1)*IF(OR(D226="Electric heating",D226="Heat pump (heating &amp; cooling)"),IF(DE_Base_Profile!L23=1,P227,1),1)</f>
        <v>1</v>
      </c>
      <c r="E260">
        <f t="shared" si="16"/>
        <v>0.0321</v>
      </c>
      <c r="F260">
        <f t="shared" si="17"/>
        <v>0.0362208864751661</v>
      </c>
      <c r="G260">
        <f>((L226+D227)/365)*F260</f>
        <v>0.645029485174191</v>
      </c>
      <c r="H260">
        <f>INDEX(DE_Base_Profile!$N$6:$Q$29,ROW()-242,MATCH(J226,DE_Base_Profile!$N$5:$Q$5,0))</f>
        <v>0</v>
      </c>
      <c r="I260">
        <f>(F227/365)*H260</f>
        <v>0</v>
      </c>
      <c r="J260">
        <f>(G260+I260)/(H227/365)</f>
        <v>0.0362208864751661</v>
      </c>
    </row>
    <row r="261" spans="1:16">
      <c r="A261">
        <f>DE_Base_Profile!H24</f>
        <v>18</v>
      </c>
      <c r="B261">
        <f>DE_Base_Profile!I24</f>
        <v>0.0587</v>
      </c>
      <c r="C261">
        <f>IF(DE_Base_Profile!J24=1,INDEX(DE_Lookups!$B$2:$B$4,MATCH(B226,DE_Lookups!$A$2:$A$4,0)),1)</f>
        <v>1</v>
      </c>
      <c r="D261">
        <f>IF(OR(D226="Air conditioning",D226="Heat pump (heating &amp; cooling)"),IF(DE_Base_Profile!K24=1,N227,1),1)*IF(OR(D226="Electric heating",D226="Heat pump (heating &amp; cooling)"),IF(DE_Base_Profile!L24=1,P227,1),1)</f>
        <v>1.15</v>
      </c>
      <c r="E261">
        <f t="shared" si="16"/>
        <v>0.067505</v>
      </c>
      <c r="F261">
        <f t="shared" si="17"/>
        <v>0.076171057367791</v>
      </c>
      <c r="G261">
        <f>((L226+D227)/365)*F261</f>
        <v>1.35647088463189</v>
      </c>
      <c r="H261">
        <f>INDEX(DE_Base_Profile!$N$6:$Q$29,ROW()-242,MATCH(J226,DE_Base_Profile!$N$5:$Q$5,0))</f>
        <v>0</v>
      </c>
      <c r="I261">
        <f>(F227/365)*H261</f>
        <v>0</v>
      </c>
      <c r="J261">
        <f>(G261+I261)/(H227/365)</f>
        <v>0.076171057367791</v>
      </c>
    </row>
    <row r="262" spans="1:16">
      <c r="A262">
        <f>DE_Base_Profile!H25</f>
        <v>19</v>
      </c>
      <c r="B262">
        <f>DE_Base_Profile!I25</f>
        <v>0.0591</v>
      </c>
      <c r="C262">
        <f>IF(DE_Base_Profile!J25=1,INDEX(DE_Lookups!$B$2:$B$4,MATCH(B226,DE_Lookups!$A$2:$A$4,0)),1)</f>
        <v>1</v>
      </c>
      <c r="D262">
        <f>IF(OR(D226="Air conditioning",D226="Heat pump (heating &amp; cooling)"),IF(DE_Base_Profile!K25=1,N227,1),1)*IF(OR(D226="Electric heating",D226="Heat pump (heating &amp; cooling)"),IF(DE_Base_Profile!L25=1,P227,1),1)</f>
        <v>1.15</v>
      </c>
      <c r="E262">
        <f t="shared" si="16"/>
        <v>0.067965</v>
      </c>
      <c r="F262">
        <f t="shared" si="17"/>
        <v>0.0766901105696158</v>
      </c>
      <c r="G262">
        <f>((L226+D227)/365)*F262</f>
        <v>1.36571429781508</v>
      </c>
      <c r="H262">
        <f>INDEX(DE_Base_Profile!$N$6:$Q$29,ROW()-242,MATCH(J226,DE_Base_Profile!$N$5:$Q$5,0))</f>
        <v>0</v>
      </c>
      <c r="I262">
        <f>(F227/365)*H262</f>
        <v>0</v>
      </c>
      <c r="J262">
        <f>(G262+I262)/(H227/365)</f>
        <v>0.0766901105696158</v>
      </c>
    </row>
    <row r="263" spans="1:16">
      <c r="A263">
        <f>DE_Base_Profile!H26</f>
        <v>20</v>
      </c>
      <c r="B263">
        <f>DE_Base_Profile!I26</f>
        <v>0.0556</v>
      </c>
      <c r="C263">
        <f>IF(DE_Base_Profile!J26=1,INDEX(DE_Lookups!$B$2:$B$4,MATCH(B226,DE_Lookups!$A$2:$A$4,0)),1)</f>
        <v>1</v>
      </c>
      <c r="D263">
        <f>IF(OR(D226="Air conditioning",D226="Heat pump (heating &amp; cooling)"),IF(DE_Base_Profile!K26=1,N227,1),1)*IF(OR(D226="Electric heating",D226="Heat pump (heating &amp; cooling)"),IF(DE_Base_Profile!L26=1,P227,1),1)</f>
        <v>1.15</v>
      </c>
      <c r="E263">
        <f t="shared" si="16"/>
        <v>0.06394</v>
      </c>
      <c r="F263">
        <f t="shared" si="17"/>
        <v>0.0721483950536487</v>
      </c>
      <c r="G263">
        <f>((L226+D227)/365)*F263</f>
        <v>1.28483443246224</v>
      </c>
      <c r="H263">
        <f>INDEX(DE_Base_Profile!$N$6:$Q$29,ROW()-242,MATCH(J226,DE_Base_Profile!$N$5:$Q$5,0))</f>
        <v>0</v>
      </c>
      <c r="I263">
        <f>(F227/365)*H263</f>
        <v>0</v>
      </c>
      <c r="J263">
        <f>(G263+I263)/(H227/365)</f>
        <v>0.0721483950536487</v>
      </c>
    </row>
    <row r="264" spans="1:16">
      <c r="A264">
        <f>DE_Base_Profile!H27</f>
        <v>21</v>
      </c>
      <c r="B264">
        <f>DE_Base_Profile!I27</f>
        <v>0.0508</v>
      </c>
      <c r="C264">
        <f>IF(DE_Base_Profile!J27=1,INDEX(DE_Lookups!$B$2:$B$4,MATCH(B226,DE_Lookups!$A$2:$A$4,0)),1)</f>
        <v>1</v>
      </c>
      <c r="D264">
        <f>IF(OR(D226="Air conditioning",D226="Heat pump (heating &amp; cooling)"),IF(DE_Base_Profile!K27=1,N227,1),1)*IF(OR(D226="Electric heating",D226="Heat pump (heating &amp; cooling)"),IF(DE_Base_Profile!L27=1,P227,1),1)</f>
        <v>1.15</v>
      </c>
      <c r="E264">
        <f t="shared" si="16"/>
        <v>0.05842</v>
      </c>
      <c r="F264">
        <f t="shared" si="17"/>
        <v>0.0659197566317509</v>
      </c>
      <c r="G264">
        <f>((L226+D227)/365)*F264</f>
        <v>1.17391347426406</v>
      </c>
      <c r="H264">
        <f>INDEX(DE_Base_Profile!$N$6:$Q$29,ROW()-242,MATCH(J226,DE_Base_Profile!$N$5:$Q$5,0))</f>
        <v>0</v>
      </c>
      <c r="I264">
        <f>(F227/365)*H264</f>
        <v>0</v>
      </c>
      <c r="J264">
        <f>(G264+I264)/(H227/365)</f>
        <v>0.0659197566317509</v>
      </c>
    </row>
    <row r="265" spans="1:16">
      <c r="A265">
        <f>DE_Base_Profile!H28</f>
        <v>22</v>
      </c>
      <c r="B265">
        <f>DE_Base_Profile!I28</f>
        <v>0.0451</v>
      </c>
      <c r="C265">
        <f>IF(DE_Base_Profile!J28=1,INDEX(DE_Lookups!$B$2:$B$4,MATCH(B226,DE_Lookups!$A$2:$A$4,0)),1)</f>
        <v>1</v>
      </c>
      <c r="D265">
        <f>IF(OR(D226="Air conditioning",D226="Heat pump (heating &amp; cooling)"),IF(DE_Base_Profile!K28=1,N227,1),1)*IF(OR(D226="Electric heating",D226="Heat pump (heating &amp; cooling)"),IF(DE_Base_Profile!L28=1,P227,1),1)</f>
        <v>1.15</v>
      </c>
      <c r="E265">
        <f t="shared" si="16"/>
        <v>0.051865</v>
      </c>
      <c r="F265">
        <f t="shared" si="17"/>
        <v>0.0585232485057474</v>
      </c>
      <c r="G265">
        <f>((L226+D227)/365)*F265</f>
        <v>1.04219483640372</v>
      </c>
      <c r="H265">
        <f>INDEX(DE_Base_Profile!$N$6:$Q$29,ROW()-242,MATCH(J226,DE_Base_Profile!$N$5:$Q$5,0))</f>
        <v>0.125</v>
      </c>
      <c r="I265">
        <f>(F227/365)*H265</f>
        <v>0</v>
      </c>
      <c r="J265">
        <f>(G265+I265)/(H227/365)</f>
        <v>0.0585232485057474</v>
      </c>
    </row>
    <row r="266" spans="1:16">
      <c r="A266">
        <f>DE_Base_Profile!H29</f>
        <v>23</v>
      </c>
      <c r="B266">
        <f>DE_Base_Profile!I29</f>
        <v>0.0366</v>
      </c>
      <c r="C266">
        <f>IF(DE_Base_Profile!J29=1,INDEX(DE_Lookups!$B$2:$B$4,MATCH(B226,DE_Lookups!$A$2:$A$4,0)),1)</f>
        <v>1</v>
      </c>
      <c r="D266">
        <f>IF(OR(D226="Air conditioning",D226="Heat pump (heating &amp; cooling)"),IF(DE_Base_Profile!K29=1,N227,1),1)*IF(OR(D226="Electric heating",D226="Heat pump (heating &amp; cooling)"),IF(DE_Base_Profile!L29=1,P227,1),1)</f>
        <v>1</v>
      </c>
      <c r="E266">
        <f t="shared" si="16"/>
        <v>0.0366</v>
      </c>
      <c r="F266">
        <f t="shared" si="17"/>
        <v>0.0412985808408436</v>
      </c>
      <c r="G266">
        <f>((L226+D227)/365)*F266</f>
        <v>0.735454179357489</v>
      </c>
      <c r="H266">
        <f>INDEX(DE_Base_Profile!$N$6:$Q$29,ROW()-242,MATCH(J226,DE_Base_Profile!$N$5:$Q$5,0))</f>
        <v>0.125</v>
      </c>
      <c r="I266">
        <f>(F227/365)*H266</f>
        <v>0</v>
      </c>
      <c r="J266">
        <f>(G266+I266)/(H227/365)</f>
        <v>0.0412985808408436</v>
      </c>
    </row>
    <row r="271" spans="1:16">
      <c r="A271" t="s">
        <v>51</v>
      </c>
      <c r="B271" t="str">
        <f>DE_Option_Monthly!C10</f>
        <v>Mostly away during the day</v>
      </c>
      <c r="C271" t="s">
        <v>188</v>
      </c>
      <c r="D271" t="str">
        <f>DE_Option_Monthly!D10</f>
        <v>Heat pump (heating &amp; cooling)</v>
      </c>
      <c r="E271" t="s">
        <v>68</v>
      </c>
      <c r="F271" t="str">
        <f>DE_Option_Monthly!E10</f>
        <v>Medium</v>
      </c>
      <c r="G271" t="s">
        <v>98</v>
      </c>
      <c r="H271" t="str">
        <f>DE_Option_Monthly!F10</f>
        <v>No electric vehicle</v>
      </c>
      <c r="I271" t="s">
        <v>289</v>
      </c>
      <c r="J271" t="str">
        <f>DE_Option_Monthly!G10</f>
        <v>Mostly overnight</v>
      </c>
      <c r="K271" t="s">
        <v>290</v>
      </c>
      <c r="L271">
        <f>DE_Option_Monthly!$B$1</f>
        <v>3500</v>
      </c>
    </row>
    <row r="272" spans="1:16">
      <c r="A272" t="s">
        <v>291</v>
      </c>
      <c r="B272">
        <f>INDEX(DE_Lookups!$E$2:$E$5,MATCH(F271,DE_Lookups!$D$2:$D$5,0))</f>
        <v>1</v>
      </c>
      <c r="C272" t="s">
        <v>292</v>
      </c>
      <c r="D272">
        <f>IF(OR(D271="Electric heating",D271="Heat pump (heating &amp; cooling)"),INDEX(DE_Lookups!$L$2:$L$5,MATCH(D271,DE_Lookups!$K$2:$K$5,0))*B272,0)</f>
        <v>2000</v>
      </c>
      <c r="E272" t="s">
        <v>293</v>
      </c>
      <c r="F272">
        <f>INDEX(DE_Lookups!$O$2:$O$7,MATCH(H271,DE_Lookups!$N$2:$N$7,0))*0.18</f>
        <v>0</v>
      </c>
      <c r="G272" t="s">
        <v>294</v>
      </c>
      <c r="H272">
        <f>L271+D272+F272</f>
        <v>5500</v>
      </c>
      <c r="I272" t="s">
        <v>295</v>
      </c>
      <c r="J272">
        <f>INDEX(DE_Lookups!$F$2:$F$5,MATCH(F271,DE_Lookups!$D$2:$D$5,0))</f>
        <v>1.1</v>
      </c>
      <c r="K272" t="s">
        <v>296</v>
      </c>
      <c r="L272">
        <f>INDEX(DE_Lookups!$G$2:$G$5,MATCH(F271,DE_Lookups!$D$2:$D$5,0))</f>
        <v>1.15</v>
      </c>
      <c r="M272" t="s">
        <v>297</v>
      </c>
      <c r="N272">
        <f>INDEX(DE_Lookups!$H$2:$H$5,MATCH(F271,DE_Lookups!$D$2:$D$5,0))</f>
        <v>1.2</v>
      </c>
      <c r="O272" t="s">
        <v>298</v>
      </c>
      <c r="P272">
        <f>INDEX(DE_Lookups!$I$2:$I$5,MATCH(F271,DE_Lookups!$D$2:$D$5,0))</f>
        <v>1.15</v>
      </c>
    </row>
    <row r="274" spans="1:10">
      <c r="A274" t="str">
        <f>DE_Base_Profile!A6</f>
        <v>1月</v>
      </c>
      <c r="B274">
        <f>DE_Base_Profile!B6</f>
        <v>0.0789</v>
      </c>
      <c r="C274">
        <f>L271*B274</f>
        <v>276.15</v>
      </c>
      <c r="D274">
        <f>1+IF(OR(D271="Air conditioning",D271="Heat pump (heating &amp; cooling)"),IF(DE_Base_Profile!D6=1,J272-1,0),0)+IF(OR(D271="Electric heating",D271="Heat pump (heating &amp; cooling)"),IF(DE_Base_Profile!E6=1,L272-1,0),0)</f>
        <v>1.15</v>
      </c>
      <c r="E274">
        <f t="shared" ref="E274:E285" si="18">C274*D274</f>
        <v>317.5725</v>
      </c>
      <c r="F274">
        <f>IF(D271="Electric heating",IF(DE_Base_Profile!E6=1,B274*L272,0),IF(D271="Heat pump (heating &amp; cooling)",IF(DE_Base_Profile!D6=1,B274*J272,0)+IF(DE_Base_Profile!E6=1,B274*L272,0),0))</f>
        <v>0.090735</v>
      </c>
      <c r="G274">
        <f>IF(SUM($F$274:$F$285)=0,0,D272*F274/SUM($F$274:$F$285))</f>
        <v>192.639222097195</v>
      </c>
      <c r="H274">
        <f>F272/12</f>
        <v>0</v>
      </c>
      <c r="I274">
        <f>E274/SUM($E$274:$E$285)*L271+G274+H274</f>
        <v>478.426464947396</v>
      </c>
      <c r="J274">
        <f>I274/H272</f>
        <v>0.0869866299904356</v>
      </c>
    </row>
    <row r="275" spans="1:10">
      <c r="A275" t="str">
        <f>DE_Base_Profile!A7</f>
        <v>2月</v>
      </c>
      <c r="B275">
        <f>DE_Base_Profile!B7</f>
        <v>0.0791</v>
      </c>
      <c r="C275">
        <f>L271*B275</f>
        <v>276.85</v>
      </c>
      <c r="D275">
        <f>1+IF(OR(D271="Air conditioning",D271="Heat pump (heating &amp; cooling)"),IF(DE_Base_Profile!D7=1,J272-1,0),0)+IF(OR(D271="Electric heating",D271="Heat pump (heating &amp; cooling)"),IF(DE_Base_Profile!E7=1,L272-1,0),0)</f>
        <v>1.15</v>
      </c>
      <c r="E275">
        <f t="shared" si="18"/>
        <v>318.3775</v>
      </c>
      <c r="F275">
        <f>IF(D271="Electric heating",IF(DE_Base_Profile!E7=1,B275*L272,0),IF(D271="Heat pump (heating &amp; cooling)",IF(DE_Base_Profile!D7=1,B275*J272,0)+IF(DE_Base_Profile!E7=1,B275*L272,0),0))</f>
        <v>0.090965</v>
      </c>
      <c r="G275">
        <f>IF(SUM($F$274:$F$285)=0,0,D272*F275/SUM($F$274:$F$285))</f>
        <v>193.127534447252</v>
      </c>
      <c r="H275">
        <f>F272/12</f>
        <v>0</v>
      </c>
      <c r="I275">
        <f>E275/SUM($E$274:$E$285)*L271+G275+H275</f>
        <v>479.63920630341</v>
      </c>
      <c r="J275">
        <f>I275/H272</f>
        <v>0.0872071284188018</v>
      </c>
    </row>
    <row r="276" spans="1:10">
      <c r="A276" t="str">
        <f>DE_Base_Profile!A8</f>
        <v>3月</v>
      </c>
      <c r="B276">
        <f>DE_Base_Profile!B8</f>
        <v>0.0773</v>
      </c>
      <c r="C276">
        <f>L271*B276</f>
        <v>270.55</v>
      </c>
      <c r="D276">
        <f>1+IF(OR(D271="Air conditioning",D271="Heat pump (heating &amp; cooling)"),IF(DE_Base_Profile!D8=1,J272-1,0),0)+IF(OR(D271="Electric heating",D271="Heat pump (heating &amp; cooling)"),IF(DE_Base_Profile!E8=1,L272-1,0),0)</f>
        <v>1.15</v>
      </c>
      <c r="E276">
        <f t="shared" si="18"/>
        <v>311.1325</v>
      </c>
      <c r="F276">
        <f>IF(D271="Electric heating",IF(DE_Base_Profile!E8=1,B276*L272,0),IF(D271="Heat pump (heating &amp; cooling)",IF(DE_Base_Profile!D8=1,B276*J272,0)+IF(DE_Base_Profile!E8=1,B276*L272,0),0))</f>
        <v>0.088895</v>
      </c>
      <c r="G276">
        <f>IF(SUM($F$274:$F$285)=0,0,D272*F276/SUM($F$274:$F$285))</f>
        <v>188.732723296745</v>
      </c>
      <c r="H276">
        <f>F272/12</f>
        <v>0</v>
      </c>
      <c r="I276">
        <f>E276/SUM($E$274:$E$285)*L271+G276+H276</f>
        <v>468.724534099287</v>
      </c>
      <c r="J276">
        <f>I276/H272</f>
        <v>0.0852226425635066</v>
      </c>
    </row>
    <row r="277" spans="1:10">
      <c r="A277" t="str">
        <f>DE_Base_Profile!A9</f>
        <v>4月</v>
      </c>
      <c r="B277">
        <f>DE_Base_Profile!B9</f>
        <v>0.0822</v>
      </c>
      <c r="C277">
        <f>L271*B277</f>
        <v>287.7</v>
      </c>
      <c r="D277">
        <f>1+IF(OR(D271="Air conditioning",D271="Heat pump (heating &amp; cooling)"),IF(DE_Base_Profile!D9=1,J272-1,0),0)+IF(OR(D271="Electric heating",D271="Heat pump (heating &amp; cooling)"),IF(DE_Base_Profile!E9=1,L272-1,0),0)</f>
        <v>1.15</v>
      </c>
      <c r="E277">
        <f t="shared" si="18"/>
        <v>330.855</v>
      </c>
      <c r="F277">
        <f>IF(D271="Electric heating",IF(DE_Base_Profile!E9=1,B277*L272,0),IF(D271="Heat pump (heating &amp; cooling)",IF(DE_Base_Profile!D9=1,B277*J272,0)+IF(DE_Base_Profile!E9=1,B277*L272,0),0))</f>
        <v>0.09453</v>
      </c>
      <c r="G277">
        <f>IF(SUM($F$274:$F$285)=0,0,D272*F277/SUM($F$274:$F$285))</f>
        <v>200.696375873124</v>
      </c>
      <c r="H277">
        <f>F272/12</f>
        <v>0</v>
      </c>
      <c r="I277">
        <f>E277/SUM($E$274:$E$285)*L271+G277+H277</f>
        <v>498.436697321622</v>
      </c>
      <c r="J277">
        <f>I277/H272</f>
        <v>0.0906248540584767</v>
      </c>
    </row>
    <row r="278" spans="1:10">
      <c r="A278" t="str">
        <f>DE_Base_Profile!A10</f>
        <v>5月</v>
      </c>
      <c r="B278">
        <f>DE_Base_Profile!B10</f>
        <v>0.0839</v>
      </c>
      <c r="C278">
        <f>L271*B278</f>
        <v>293.65</v>
      </c>
      <c r="D278">
        <f>1+IF(OR(D271="Air conditioning",D271="Heat pump (heating &amp; cooling)"),IF(DE_Base_Profile!D10=1,J272-1,0),0)+IF(OR(D271="Electric heating",D271="Heat pump (heating &amp; cooling)"),IF(DE_Base_Profile!E10=1,L272-1,0),0)</f>
        <v>1</v>
      </c>
      <c r="E278">
        <f t="shared" si="18"/>
        <v>293.65</v>
      </c>
      <c r="F278">
        <f>IF(D271="Electric heating",IF(DE_Base_Profile!E10=1,B278*L272,0),IF(D271="Heat pump (heating &amp; cooling)",IF(DE_Base_Profile!D10=1,B278*J272,0)+IF(DE_Base_Profile!E10=1,B278*L272,0),0))</f>
        <v>0</v>
      </c>
      <c r="G278">
        <f>IF(SUM($F$274:$F$285)=0,0,D272*F278/SUM($F$274:$F$285))</f>
        <v>0</v>
      </c>
      <c r="H278">
        <f>F272/12</f>
        <v>0</v>
      </c>
      <c r="I278">
        <f>E278/SUM($E$274:$E$285)*L271+G278+H278</f>
        <v>264.259102607944</v>
      </c>
      <c r="J278">
        <f>I278/H272</f>
        <v>0.0480471095650808</v>
      </c>
    </row>
    <row r="279" spans="1:10">
      <c r="A279" t="str">
        <f>DE_Base_Profile!A11</f>
        <v>6月</v>
      </c>
      <c r="B279">
        <f>DE_Base_Profile!B11</f>
        <v>0.0876</v>
      </c>
      <c r="C279">
        <f>L271*B279</f>
        <v>306.6</v>
      </c>
      <c r="D279">
        <f>1+IF(OR(D271="Air conditioning",D271="Heat pump (heating &amp; cooling)"),IF(DE_Base_Profile!D11=1,J272-1,0),0)+IF(OR(D271="Electric heating",D271="Heat pump (heating &amp; cooling)"),IF(DE_Base_Profile!E11=1,L272-1,0),0)</f>
        <v>1.1</v>
      </c>
      <c r="E279">
        <f t="shared" si="18"/>
        <v>337.26</v>
      </c>
      <c r="F279">
        <f>IF(D271="Electric heating",IF(DE_Base_Profile!E11=1,B279*L272,0),IF(D271="Heat pump (heating &amp; cooling)",IF(DE_Base_Profile!D11=1,B279*J272,0)+IF(DE_Base_Profile!E11=1,B279*L272,0),0))</f>
        <v>0.09636</v>
      </c>
      <c r="G279">
        <f>IF(SUM($F$274:$F$285)=0,0,D272*F279/SUM($F$274:$F$285))</f>
        <v>204.581643701832</v>
      </c>
      <c r="H279">
        <f>F272/12</f>
        <v>0</v>
      </c>
      <c r="I279">
        <f>E279/SUM($E$274:$E$285)*L271+G279+H279</f>
        <v>508.085900284687</v>
      </c>
      <c r="J279">
        <f>I279/H272</f>
        <v>0.0923792545972159</v>
      </c>
    </row>
    <row r="280" spans="1:10">
      <c r="A280" t="str">
        <f>DE_Base_Profile!A12</f>
        <v>7月</v>
      </c>
      <c r="B280">
        <f>DE_Base_Profile!B12</f>
        <v>0.0917</v>
      </c>
      <c r="C280">
        <f>L271*B280</f>
        <v>320.95</v>
      </c>
      <c r="D280">
        <f>1+IF(OR(D271="Air conditioning",D271="Heat pump (heating &amp; cooling)"),IF(DE_Base_Profile!D12=1,J272-1,0),0)+IF(OR(D271="Electric heating",D271="Heat pump (heating &amp; cooling)"),IF(DE_Base_Profile!E12=1,L272-1,0),0)</f>
        <v>1.1</v>
      </c>
      <c r="E280">
        <f t="shared" si="18"/>
        <v>353.045</v>
      </c>
      <c r="F280">
        <f>IF(D271="Electric heating",IF(DE_Base_Profile!E12=1,B280*L272,0),IF(D271="Heat pump (heating &amp; cooling)",IF(DE_Base_Profile!D12=1,B280*J272,0)+IF(DE_Base_Profile!E12=1,B280*L272,0),0))</f>
        <v>0.10087</v>
      </c>
      <c r="G280">
        <f>IF(SUM($F$274:$F$285)=0,0,D272*F280/SUM($F$274:$F$285))</f>
        <v>214.156811957283</v>
      </c>
      <c r="H280">
        <f>F272/12</f>
        <v>0</v>
      </c>
      <c r="I280">
        <f>E280/SUM($E$274:$E$285)*L271+G280+H280</f>
        <v>531.866176439564</v>
      </c>
      <c r="J280">
        <f>I280/H272</f>
        <v>0.0967029411708298</v>
      </c>
    </row>
    <row r="281" spans="1:10">
      <c r="A281" t="str">
        <f>DE_Base_Profile!A13</f>
        <v>8月</v>
      </c>
      <c r="B281">
        <f>DE_Base_Profile!B13</f>
        <v>0.0887</v>
      </c>
      <c r="C281">
        <f>L271*B281</f>
        <v>310.45</v>
      </c>
      <c r="D281">
        <f>1+IF(OR(D271="Air conditioning",D271="Heat pump (heating &amp; cooling)"),IF(DE_Base_Profile!D13=1,J272-1,0),0)+IF(OR(D271="Electric heating",D271="Heat pump (heating &amp; cooling)"),IF(DE_Base_Profile!E13=1,L272-1,0),0)</f>
        <v>1.1</v>
      </c>
      <c r="E281">
        <f t="shared" si="18"/>
        <v>341.495</v>
      </c>
      <c r="F281">
        <f>IF(D271="Electric heating",IF(DE_Base_Profile!E13=1,B281*L272,0),IF(D271="Heat pump (heating &amp; cooling)",IF(DE_Base_Profile!D13=1,B281*J272,0)+IF(DE_Base_Profile!E13=1,B281*L272,0),0))</f>
        <v>0.09757</v>
      </c>
      <c r="G281">
        <f>IF(SUM($F$274:$F$285)=0,0,D272*F281/SUM($F$274:$F$285))</f>
        <v>207.150591282563</v>
      </c>
      <c r="H281">
        <f>F272/12</f>
        <v>0</v>
      </c>
      <c r="I281">
        <f>E281/SUM($E$274:$E$285)*L271+G281+H281</f>
        <v>514.46597437502</v>
      </c>
      <c r="J281">
        <f>I281/H272</f>
        <v>0.0935392680681855</v>
      </c>
    </row>
    <row r="282" spans="1:10">
      <c r="A282" t="str">
        <f>DE_Base_Profile!A14</f>
        <v>9月</v>
      </c>
      <c r="B282">
        <f>DE_Base_Profile!B14</f>
        <v>0.0853</v>
      </c>
      <c r="C282">
        <f>L271*B282</f>
        <v>298.55</v>
      </c>
      <c r="D282">
        <f>1+IF(OR(D271="Air conditioning",D271="Heat pump (heating &amp; cooling)"),IF(DE_Base_Profile!D14=1,J272-1,0),0)+IF(OR(D271="Electric heating",D271="Heat pump (heating &amp; cooling)"),IF(DE_Base_Profile!E14=1,L272-1,0),0)</f>
        <v>1</v>
      </c>
      <c r="E282">
        <f t="shared" si="18"/>
        <v>298.55</v>
      </c>
      <c r="F282">
        <f>IF(D271="Electric heating",IF(DE_Base_Profile!E14=1,B282*L272,0),IF(D271="Heat pump (heating &amp; cooling)",IF(DE_Base_Profile!D14=1,B282*J272,0)+IF(DE_Base_Profile!E14=1,B282*L272,0),0))</f>
        <v>0</v>
      </c>
      <c r="G282">
        <f>IF(SUM($F$274:$F$285)=0,0,D272*F282/SUM($F$274:$F$285))</f>
        <v>0</v>
      </c>
      <c r="H282">
        <f>F272/12</f>
        <v>0</v>
      </c>
      <c r="I282">
        <f>E282/SUM($E$274:$E$285)*L271+G282+H282</f>
        <v>268.668670470294</v>
      </c>
      <c r="J282">
        <f>I282/H272</f>
        <v>0.0488488491764171</v>
      </c>
    </row>
    <row r="283" spans="1:10">
      <c r="A283" t="str">
        <f>DE_Base_Profile!A15</f>
        <v>10月</v>
      </c>
      <c r="B283">
        <f>DE_Base_Profile!B15</f>
        <v>0.0838</v>
      </c>
      <c r="C283">
        <f>L271*B283</f>
        <v>293.3</v>
      </c>
      <c r="D283">
        <f>1+IF(OR(D271="Air conditioning",D271="Heat pump (heating &amp; cooling)"),IF(DE_Base_Profile!D15=1,J272-1,0),0)+IF(OR(D271="Electric heating",D271="Heat pump (heating &amp; cooling)"),IF(DE_Base_Profile!E15=1,L272-1,0),0)</f>
        <v>1.15</v>
      </c>
      <c r="E283">
        <f t="shared" si="18"/>
        <v>337.295</v>
      </c>
      <c r="F283">
        <f>IF(D271="Electric heating",IF(DE_Base_Profile!E15=1,B283*L272,0),IF(D271="Heat pump (heating &amp; cooling)",IF(DE_Base_Profile!D15=1,B283*J272,0)+IF(DE_Base_Profile!E15=1,B283*L272,0),0))</f>
        <v>0.09637</v>
      </c>
      <c r="G283">
        <f>IF(SUM($F$274:$F$285)=0,0,D272*F283/SUM($F$274:$F$285))</f>
        <v>204.602874673574</v>
      </c>
      <c r="H283">
        <f>F272/12</f>
        <v>0</v>
      </c>
      <c r="I283">
        <f>E283/SUM($E$274:$E$285)*L271+G283+H283</f>
        <v>508.138628169731</v>
      </c>
      <c r="J283">
        <f>I283/H272</f>
        <v>0.0923888414854057</v>
      </c>
    </row>
    <row r="284" spans="1:10">
      <c r="A284" t="str">
        <f>DE_Base_Profile!A16</f>
        <v>11月</v>
      </c>
      <c r="B284">
        <f>DE_Base_Profile!B16</f>
        <v>0.0819</v>
      </c>
      <c r="C284">
        <f>L271*B284</f>
        <v>286.65</v>
      </c>
      <c r="D284">
        <f>1+IF(OR(D271="Air conditioning",D271="Heat pump (heating &amp; cooling)"),IF(DE_Base_Profile!D16=1,J272-1,0),0)+IF(OR(D271="Electric heating",D271="Heat pump (heating &amp; cooling)"),IF(DE_Base_Profile!E16=1,L272-1,0),0)</f>
        <v>1.15</v>
      </c>
      <c r="E284">
        <f t="shared" si="18"/>
        <v>329.6475</v>
      </c>
      <c r="F284">
        <f>IF(D271="Electric heating",IF(DE_Base_Profile!E16=1,B284*L272,0),IF(D271="Heat pump (heating &amp; cooling)",IF(DE_Base_Profile!D16=1,B284*J272,0)+IF(DE_Base_Profile!E16=1,B284*L272,0),0))</f>
        <v>0.094185</v>
      </c>
      <c r="G284">
        <f>IF(SUM($F$274:$F$285)=0,0,D272*F284/SUM($F$274:$F$285))</f>
        <v>199.963907348039</v>
      </c>
      <c r="H284">
        <f>F272/12</f>
        <v>0</v>
      </c>
      <c r="I284">
        <f>E284/SUM($E$274:$E$285)*L271+G284+H284</f>
        <v>496.617585287601</v>
      </c>
      <c r="J284">
        <f>I284/H272</f>
        <v>0.0902941064159275</v>
      </c>
    </row>
    <row r="285" spans="1:10">
      <c r="A285" t="str">
        <f>DE_Base_Profile!A17</f>
        <v>12月</v>
      </c>
      <c r="B285">
        <f>DE_Base_Profile!B17</f>
        <v>0.0796</v>
      </c>
      <c r="C285">
        <f>L271*B285</f>
        <v>278.6</v>
      </c>
      <c r="D285">
        <f>1+IF(OR(D271="Air conditioning",D271="Heat pump (heating &amp; cooling)"),IF(DE_Base_Profile!D17=1,J272-1,0),0)+IF(OR(D271="Electric heating",D271="Heat pump (heating &amp; cooling)"),IF(DE_Base_Profile!E17=1,L272-1,0),0)</f>
        <v>1.15</v>
      </c>
      <c r="E285">
        <f t="shared" si="18"/>
        <v>320.39</v>
      </c>
      <c r="F285">
        <f>IF(D271="Electric heating",IF(DE_Base_Profile!E17=1,B285*L272,0),IF(D271="Heat pump (heating &amp; cooling)",IF(DE_Base_Profile!D17=1,B285*J272,0)+IF(DE_Base_Profile!E17=1,B285*L272,0),0))</f>
        <v>0.09154</v>
      </c>
      <c r="G285">
        <f>IF(SUM($F$274:$F$285)=0,0,D272*F285/SUM($F$274:$F$285))</f>
        <v>194.348315322392</v>
      </c>
      <c r="H285">
        <f>F272/12</f>
        <v>0</v>
      </c>
      <c r="I285">
        <f>E285/SUM($E$274:$E$285)*L271+G285+H285</f>
        <v>482.671059693444</v>
      </c>
      <c r="J285">
        <f>I285/H272</f>
        <v>0.0877583744897171</v>
      </c>
    </row>
    <row r="288" spans="1:10">
      <c r="A288">
        <f>DE_Base_Profile!H6</f>
        <v>0</v>
      </c>
      <c r="B288">
        <f>DE_Base_Profile!I6</f>
        <v>0.0301</v>
      </c>
      <c r="C288">
        <f>IF(DE_Base_Profile!J6=1,INDEX(DE_Lookups!$B$2:$B$4,MATCH(B271,DE_Lookups!$A$2:$A$4,0)),1)</f>
        <v>1</v>
      </c>
      <c r="D288">
        <f>IF(OR(D271="Air conditioning",D271="Heat pump (heating &amp; cooling)"),IF(DE_Base_Profile!K6=1,N272,1),1)*IF(OR(D271="Electric heating",D271="Heat pump (heating &amp; cooling)"),IF(DE_Base_Profile!L6=1,P272,1),1)</f>
        <v>1</v>
      </c>
      <c r="E288">
        <f t="shared" ref="E288:E311" si="19">B288*C288*D288</f>
        <v>0.0301</v>
      </c>
      <c r="F288">
        <f t="shared" ref="F288:F311" si="20">E288/SUM($E$288:$E$311)</f>
        <v>0.0321444170700738</v>
      </c>
      <c r="G288">
        <f>((L271+D272)/365)*F288</f>
        <v>0.484367928453166</v>
      </c>
      <c r="H288">
        <f>INDEX(DE_Base_Profile!$N$6:$Q$29,ROW()-287,MATCH(J271,DE_Base_Profile!$N$5:$Q$5,0))</f>
        <v>0.125</v>
      </c>
      <c r="I288">
        <f>(F272/365)*H288</f>
        <v>0</v>
      </c>
      <c r="J288">
        <f>(G288+I288)/(H272/365)</f>
        <v>0.0321444170700738</v>
      </c>
    </row>
    <row r="289" spans="1:10">
      <c r="A289">
        <f>DE_Base_Profile!H7</f>
        <v>1</v>
      </c>
      <c r="B289">
        <f>DE_Base_Profile!I7</f>
        <v>0.0258</v>
      </c>
      <c r="C289">
        <f>IF(DE_Base_Profile!J7=1,INDEX(DE_Lookups!$B$2:$B$4,MATCH(B271,DE_Lookups!$A$2:$A$4,0)),1)</f>
        <v>1</v>
      </c>
      <c r="D289">
        <f>IF(OR(D271="Air conditioning",D271="Heat pump (heating &amp; cooling)"),IF(DE_Base_Profile!K7=1,N272,1),1)*IF(OR(D271="Electric heating",D271="Heat pump (heating &amp; cooling)"),IF(DE_Base_Profile!L7=1,P272,1),1)</f>
        <v>1</v>
      </c>
      <c r="E289">
        <f t="shared" si="19"/>
        <v>0.0258</v>
      </c>
      <c r="F289">
        <f t="shared" si="20"/>
        <v>0.0275523574886347</v>
      </c>
      <c r="G289">
        <f>((L271+D272)/365)*F289</f>
        <v>0.415172510102714</v>
      </c>
      <c r="H289">
        <f>INDEX(DE_Base_Profile!$N$6:$Q$29,ROW()-287,MATCH(J271,DE_Base_Profile!$N$5:$Q$5,0))</f>
        <v>0.125</v>
      </c>
      <c r="I289">
        <f>(F272/365)*H289</f>
        <v>0</v>
      </c>
      <c r="J289">
        <f>(G289+I289)/(H272/365)</f>
        <v>0.0275523574886347</v>
      </c>
    </row>
    <row r="290" spans="1:10">
      <c r="A290">
        <f>DE_Base_Profile!H8</f>
        <v>2</v>
      </c>
      <c r="B290">
        <f>DE_Base_Profile!I8</f>
        <v>0.0239</v>
      </c>
      <c r="C290">
        <f>IF(DE_Base_Profile!J8=1,INDEX(DE_Lookups!$B$2:$B$4,MATCH(B271,DE_Lookups!$A$2:$A$4,0)),1)</f>
        <v>1</v>
      </c>
      <c r="D290">
        <f>IF(OR(D271="Air conditioning",D271="Heat pump (heating &amp; cooling)"),IF(DE_Base_Profile!K8=1,N272,1),1)*IF(OR(D271="Electric heating",D271="Heat pump (heating &amp; cooling)"),IF(DE_Base_Profile!L8=1,P272,1),1)</f>
        <v>1</v>
      </c>
      <c r="E290">
        <f t="shared" si="19"/>
        <v>0.0239</v>
      </c>
      <c r="F290">
        <f t="shared" si="20"/>
        <v>0.0255233079061383</v>
      </c>
      <c r="G290">
        <f>((L271+D272)/365)*F290</f>
        <v>0.384597790366468</v>
      </c>
      <c r="H290">
        <f>INDEX(DE_Base_Profile!$N$6:$Q$29,ROW()-287,MATCH(J271,DE_Base_Profile!$N$5:$Q$5,0))</f>
        <v>0.125</v>
      </c>
      <c r="I290">
        <f>(F272/365)*H290</f>
        <v>0</v>
      </c>
      <c r="J290">
        <f>(G290+I290)/(H272/365)</f>
        <v>0.0255233079061383</v>
      </c>
    </row>
    <row r="291" spans="1:10">
      <c r="A291">
        <f>DE_Base_Profile!H9</f>
        <v>3</v>
      </c>
      <c r="B291">
        <f>DE_Base_Profile!I9</f>
        <v>0.0232</v>
      </c>
      <c r="C291">
        <f>IF(DE_Base_Profile!J9=1,INDEX(DE_Lookups!$B$2:$B$4,MATCH(B271,DE_Lookups!$A$2:$A$4,0)),1)</f>
        <v>1</v>
      </c>
      <c r="D291">
        <f>IF(OR(D271="Air conditioning",D271="Heat pump (heating &amp; cooling)"),IF(DE_Base_Profile!K9=1,N272,1),1)*IF(OR(D271="Electric heating",D271="Heat pump (heating &amp; cooling)"),IF(DE_Base_Profile!L9=1,P272,1),1)</f>
        <v>1</v>
      </c>
      <c r="E291">
        <f t="shared" si="19"/>
        <v>0.0232</v>
      </c>
      <c r="F291">
        <f t="shared" si="20"/>
        <v>0.0247757633231133</v>
      </c>
      <c r="G291">
        <f>((L271+D272)/365)*F291</f>
        <v>0.373333419937324</v>
      </c>
      <c r="H291">
        <f>INDEX(DE_Base_Profile!$N$6:$Q$29,ROW()-287,MATCH(J271,DE_Base_Profile!$N$5:$Q$5,0))</f>
        <v>0.125</v>
      </c>
      <c r="I291">
        <f>(F272/365)*H291</f>
        <v>0</v>
      </c>
      <c r="J291">
        <f>(G291+I291)/(H272/365)</f>
        <v>0.0247757633231133</v>
      </c>
    </row>
    <row r="292" spans="1:10">
      <c r="A292">
        <f>DE_Base_Profile!H10</f>
        <v>4</v>
      </c>
      <c r="B292">
        <f>DE_Base_Profile!I10</f>
        <v>0.0236</v>
      </c>
      <c r="C292">
        <f>IF(DE_Base_Profile!J10=1,INDEX(DE_Lookups!$B$2:$B$4,MATCH(B271,DE_Lookups!$A$2:$A$4,0)),1)</f>
        <v>1</v>
      </c>
      <c r="D292">
        <f>IF(OR(D271="Air conditioning",D271="Heat pump (heating &amp; cooling)"),IF(DE_Base_Profile!K10=1,N272,1),1)*IF(OR(D271="Electric heating",D271="Heat pump (heating &amp; cooling)"),IF(DE_Base_Profile!L10=1,P272,1),1)</f>
        <v>1</v>
      </c>
      <c r="E292">
        <f t="shared" si="19"/>
        <v>0.0236</v>
      </c>
      <c r="F292">
        <f t="shared" si="20"/>
        <v>0.0252029316562705</v>
      </c>
      <c r="G292">
        <f>((L271+D272)/365)*F292</f>
        <v>0.379770203039692</v>
      </c>
      <c r="H292">
        <f>INDEX(DE_Base_Profile!$N$6:$Q$29,ROW()-287,MATCH(J271,DE_Base_Profile!$N$5:$Q$5,0))</f>
        <v>0.125</v>
      </c>
      <c r="I292">
        <f>(F272/365)*H292</f>
        <v>0</v>
      </c>
      <c r="J292">
        <f>(G292+I292)/(H272/365)</f>
        <v>0.0252029316562705</v>
      </c>
    </row>
    <row r="293" spans="1:10">
      <c r="A293">
        <f>DE_Base_Profile!H11</f>
        <v>5</v>
      </c>
      <c r="B293">
        <f>DE_Base_Profile!I11</f>
        <v>0.0252</v>
      </c>
      <c r="C293">
        <f>IF(DE_Base_Profile!J11=1,INDEX(DE_Lookups!$B$2:$B$4,MATCH(B271,DE_Lookups!$A$2:$A$4,0)),1)</f>
        <v>1</v>
      </c>
      <c r="D293">
        <f>IF(OR(D271="Air conditioning",D271="Heat pump (heating &amp; cooling)"),IF(DE_Base_Profile!K11=1,N272,1),1)*IF(OR(D271="Electric heating",D271="Heat pump (heating &amp; cooling)"),IF(DE_Base_Profile!L11=1,P272,1),1)</f>
        <v>1</v>
      </c>
      <c r="E293">
        <f t="shared" si="19"/>
        <v>0.0252</v>
      </c>
      <c r="F293">
        <f t="shared" si="20"/>
        <v>0.026911604988899</v>
      </c>
      <c r="G293">
        <f>((L271+D272)/365)*F293</f>
        <v>0.405517335449162</v>
      </c>
      <c r="H293">
        <f>INDEX(DE_Base_Profile!$N$6:$Q$29,ROW()-287,MATCH(J271,DE_Base_Profile!$N$5:$Q$5,0))</f>
        <v>0.125</v>
      </c>
      <c r="I293">
        <f>(F272/365)*H293</f>
        <v>0</v>
      </c>
      <c r="J293">
        <f>(G293+I293)/(H272/365)</f>
        <v>0.026911604988899</v>
      </c>
    </row>
    <row r="294" spans="1:10">
      <c r="A294">
        <f>DE_Base_Profile!H12</f>
        <v>6</v>
      </c>
      <c r="B294">
        <f>DE_Base_Profile!I12</f>
        <v>0.03</v>
      </c>
      <c r="C294">
        <f>IF(DE_Base_Profile!J12=1,INDEX(DE_Lookups!$B$2:$B$4,MATCH(B271,DE_Lookups!$A$2:$A$4,0)),1)</f>
        <v>1</v>
      </c>
      <c r="D294">
        <f>IF(OR(D271="Air conditioning",D271="Heat pump (heating &amp; cooling)"),IF(DE_Base_Profile!K12=1,N272,1),1)*IF(OR(D271="Electric heating",D271="Heat pump (heating &amp; cooling)"),IF(DE_Base_Profile!L12=1,P272,1),1)</f>
        <v>1.15</v>
      </c>
      <c r="E294">
        <f t="shared" si="19"/>
        <v>0.0345</v>
      </c>
      <c r="F294">
        <f t="shared" si="20"/>
        <v>0.0368432687348021</v>
      </c>
      <c r="G294">
        <f>((L271+D272)/365)*F294</f>
        <v>0.55517254257921</v>
      </c>
      <c r="H294">
        <f>INDEX(DE_Base_Profile!$N$6:$Q$29,ROW()-287,MATCH(J271,DE_Base_Profile!$N$5:$Q$5,0))</f>
        <v>0</v>
      </c>
      <c r="I294">
        <f>(F272/365)*H294</f>
        <v>0</v>
      </c>
      <c r="J294">
        <f>(G294+I294)/(H272/365)</f>
        <v>0.0368432687348021</v>
      </c>
    </row>
    <row r="295" spans="1:10">
      <c r="A295">
        <f>DE_Base_Profile!H13</f>
        <v>7</v>
      </c>
      <c r="B295">
        <f>DE_Base_Profile!I13</f>
        <v>0.0358</v>
      </c>
      <c r="C295">
        <f>IF(DE_Base_Profile!J13=1,INDEX(DE_Lookups!$B$2:$B$4,MATCH(B271,DE_Lookups!$A$2:$A$4,0)),1)</f>
        <v>1</v>
      </c>
      <c r="D295">
        <f>IF(OR(D271="Air conditioning",D271="Heat pump (heating &amp; cooling)"),IF(DE_Base_Profile!K13=1,N272,1),1)*IF(OR(D271="Electric heating",D271="Heat pump (heating &amp; cooling)"),IF(DE_Base_Profile!L13=1,P272,1),1)</f>
        <v>1.15</v>
      </c>
      <c r="E295">
        <f t="shared" si="19"/>
        <v>0.04117</v>
      </c>
      <c r="F295">
        <f t="shared" si="20"/>
        <v>0.0439663006901972</v>
      </c>
      <c r="G295">
        <f>((L271+D272)/365)*F295</f>
        <v>0.662505900811191</v>
      </c>
      <c r="H295">
        <f>INDEX(DE_Base_Profile!$N$6:$Q$29,ROW()-287,MATCH(J271,DE_Base_Profile!$N$5:$Q$5,0))</f>
        <v>0</v>
      </c>
      <c r="I295">
        <f>(F272/365)*H295</f>
        <v>0</v>
      </c>
      <c r="J295">
        <f>(G295+I295)/(H272/365)</f>
        <v>0.0439663006901972</v>
      </c>
    </row>
    <row r="296" spans="1:10">
      <c r="A296">
        <f>DE_Base_Profile!H14</f>
        <v>8</v>
      </c>
      <c r="B296">
        <f>DE_Base_Profile!I14</f>
        <v>0.041</v>
      </c>
      <c r="C296">
        <f>IF(DE_Base_Profile!J14=1,INDEX(DE_Lookups!$B$2:$B$4,MATCH(B271,DE_Lookups!$A$2:$A$4,0)),1)</f>
        <v>1</v>
      </c>
      <c r="D296">
        <f>IF(OR(D271="Air conditioning",D271="Heat pump (heating &amp; cooling)"),IF(DE_Base_Profile!K14=1,N272,1),1)*IF(OR(D271="Electric heating",D271="Heat pump (heating &amp; cooling)"),IF(DE_Base_Profile!L14=1,P272,1),1)</f>
        <v>1.15</v>
      </c>
      <c r="E296">
        <f t="shared" si="19"/>
        <v>0.04715</v>
      </c>
      <c r="F296">
        <f t="shared" si="20"/>
        <v>0.0503524672708963</v>
      </c>
      <c r="G296">
        <f>((L271+D272)/365)*F296</f>
        <v>0.758735808191588</v>
      </c>
      <c r="H296">
        <f>INDEX(DE_Base_Profile!$N$6:$Q$29,ROW()-287,MATCH(J271,DE_Base_Profile!$N$5:$Q$5,0))</f>
        <v>0</v>
      </c>
      <c r="I296">
        <f>(F272/365)*H296</f>
        <v>0</v>
      </c>
      <c r="J296">
        <f>(G296+I296)/(H272/365)</f>
        <v>0.0503524672708963</v>
      </c>
    </row>
    <row r="297" spans="1:10">
      <c r="A297">
        <f>DE_Base_Profile!H15</f>
        <v>9</v>
      </c>
      <c r="B297">
        <f>DE_Base_Profile!I15</f>
        <v>0.0446</v>
      </c>
      <c r="C297">
        <f>IF(DE_Base_Profile!J15=1,INDEX(DE_Lookups!$B$2:$B$4,MATCH(B271,DE_Lookups!$A$2:$A$4,0)),1)</f>
        <v>0.6</v>
      </c>
      <c r="D297">
        <f>IF(OR(D271="Air conditioning",D271="Heat pump (heating &amp; cooling)"),IF(DE_Base_Profile!K15=1,N272,1),1)*IF(OR(D271="Electric heating",D271="Heat pump (heating &amp; cooling)"),IF(DE_Base_Profile!L15=1,P272,1),1)</f>
        <v>1.15</v>
      </c>
      <c r="E297">
        <f t="shared" si="19"/>
        <v>0.030774</v>
      </c>
      <c r="F297">
        <f t="shared" si="20"/>
        <v>0.0328641957114435</v>
      </c>
      <c r="G297">
        <f>((L271+D272)/365)*F297</f>
        <v>0.495213907980656</v>
      </c>
      <c r="H297">
        <f>INDEX(DE_Base_Profile!$N$6:$Q$29,ROW()-287,MATCH(J271,DE_Base_Profile!$N$5:$Q$5,0))</f>
        <v>0</v>
      </c>
      <c r="I297">
        <f>(F272/365)*H297</f>
        <v>0</v>
      </c>
      <c r="J297">
        <f>(G297+I297)/(H272/365)</f>
        <v>0.0328641957114435</v>
      </c>
    </row>
    <row r="298" spans="1:10">
      <c r="A298">
        <f>DE_Base_Profile!H16</f>
        <v>10</v>
      </c>
      <c r="B298">
        <f>DE_Base_Profile!I16</f>
        <v>0.0474</v>
      </c>
      <c r="C298">
        <f>IF(DE_Base_Profile!J16=1,INDEX(DE_Lookups!$B$2:$B$4,MATCH(B271,DE_Lookups!$A$2:$A$4,0)),1)</f>
        <v>0.6</v>
      </c>
      <c r="D298">
        <f>IF(OR(D271="Air conditioning",D271="Heat pump (heating &amp; cooling)"),IF(DE_Base_Profile!K16=1,N272,1),1)*IF(OR(D271="Electric heating",D271="Heat pump (heating &amp; cooling)"),IF(DE_Base_Profile!L16=1,P272,1),1)</f>
        <v>1</v>
      </c>
      <c r="E298">
        <f t="shared" si="19"/>
        <v>0.02844</v>
      </c>
      <c r="F298">
        <f t="shared" si="20"/>
        <v>0.0303716684874717</v>
      </c>
      <c r="G298">
        <f>((L271+D272)/365)*F298</f>
        <v>0.45765527857834</v>
      </c>
      <c r="H298">
        <f>INDEX(DE_Base_Profile!$N$6:$Q$29,ROW()-287,MATCH(J271,DE_Base_Profile!$N$5:$Q$5,0))</f>
        <v>0</v>
      </c>
      <c r="I298">
        <f>(F272/365)*H298</f>
        <v>0</v>
      </c>
      <c r="J298">
        <f>(G298+I298)/(H272/365)</f>
        <v>0.0303716684874717</v>
      </c>
    </row>
    <row r="299" spans="1:10">
      <c r="A299">
        <f>DE_Base_Profile!H17</f>
        <v>11</v>
      </c>
      <c r="B299">
        <f>DE_Base_Profile!I17</f>
        <v>0.0518</v>
      </c>
      <c r="C299">
        <f>IF(DE_Base_Profile!J17=1,INDEX(DE_Lookups!$B$2:$B$4,MATCH(B271,DE_Lookups!$A$2:$A$4,0)),1)</f>
        <v>0.6</v>
      </c>
      <c r="D299">
        <f>IF(OR(D271="Air conditioning",D271="Heat pump (heating &amp; cooling)"),IF(DE_Base_Profile!K17=1,N272,1),1)*IF(OR(D271="Electric heating",D271="Heat pump (heating &amp; cooling)"),IF(DE_Base_Profile!L17=1,P272,1),1)</f>
        <v>1</v>
      </c>
      <c r="E299">
        <f t="shared" si="19"/>
        <v>0.03108</v>
      </c>
      <c r="F299">
        <f t="shared" si="20"/>
        <v>0.0331909794863087</v>
      </c>
      <c r="G299">
        <f>((L271+D272)/365)*F299</f>
        <v>0.500138047053967</v>
      </c>
      <c r="H299">
        <f>INDEX(DE_Base_Profile!$N$6:$Q$29,ROW()-287,MATCH(J271,DE_Base_Profile!$N$5:$Q$5,0))</f>
        <v>0</v>
      </c>
      <c r="I299">
        <f>(F272/365)*H299</f>
        <v>0</v>
      </c>
      <c r="J299">
        <f>(G299+I299)/(H272/365)</f>
        <v>0.0331909794863087</v>
      </c>
    </row>
    <row r="300" spans="1:10">
      <c r="A300">
        <f>DE_Base_Profile!H18</f>
        <v>12</v>
      </c>
      <c r="B300">
        <f>DE_Base_Profile!I18</f>
        <v>0.0513</v>
      </c>
      <c r="C300">
        <f>IF(DE_Base_Profile!J18=1,INDEX(DE_Lookups!$B$2:$B$4,MATCH(B271,DE_Lookups!$A$2:$A$4,0)),1)</f>
        <v>0.6</v>
      </c>
      <c r="D300">
        <f>IF(OR(D271="Air conditioning",D271="Heat pump (heating &amp; cooling)"),IF(DE_Base_Profile!K18=1,N272,1),1)*IF(OR(D271="Electric heating",D271="Heat pump (heating &amp; cooling)"),IF(DE_Base_Profile!L18=1,P272,1),1)</f>
        <v>1</v>
      </c>
      <c r="E300">
        <f t="shared" si="19"/>
        <v>0.03078</v>
      </c>
      <c r="F300">
        <f t="shared" si="20"/>
        <v>0.0328706032364409</v>
      </c>
      <c r="G300">
        <f>((L271+D272)/365)*F300</f>
        <v>0.495310459727191</v>
      </c>
      <c r="H300">
        <f>INDEX(DE_Base_Profile!$N$6:$Q$29,ROW()-287,MATCH(J271,DE_Base_Profile!$N$5:$Q$5,0))</f>
        <v>0</v>
      </c>
      <c r="I300">
        <f>(F272/365)*H300</f>
        <v>0</v>
      </c>
      <c r="J300">
        <f>(G300+I300)/(H272/365)</f>
        <v>0.0328706032364409</v>
      </c>
    </row>
    <row r="301" spans="1:10">
      <c r="A301">
        <f>DE_Base_Profile!H19</f>
        <v>13</v>
      </c>
      <c r="B301">
        <f>DE_Base_Profile!I19</f>
        <v>0.0481</v>
      </c>
      <c r="C301">
        <f>IF(DE_Base_Profile!J19=1,INDEX(DE_Lookups!$B$2:$B$4,MATCH(B271,DE_Lookups!$A$2:$A$4,0)),1)</f>
        <v>0.6</v>
      </c>
      <c r="D301">
        <f>IF(OR(D271="Air conditioning",D271="Heat pump (heating &amp; cooling)"),IF(DE_Base_Profile!K19=1,N272,1),1)*IF(OR(D271="Electric heating",D271="Heat pump (heating &amp; cooling)"),IF(DE_Base_Profile!L19=1,P272,1),1)</f>
        <v>1</v>
      </c>
      <c r="E301">
        <f t="shared" si="19"/>
        <v>0.02886</v>
      </c>
      <c r="F301">
        <f t="shared" si="20"/>
        <v>0.0308201952372867</v>
      </c>
      <c r="G301">
        <f>((L271+D272)/365)*F301</f>
        <v>0.464413900835827</v>
      </c>
      <c r="H301">
        <f>INDEX(DE_Base_Profile!$N$6:$Q$29,ROW()-287,MATCH(J271,DE_Base_Profile!$N$5:$Q$5,0))</f>
        <v>0</v>
      </c>
      <c r="I301">
        <f>(F272/365)*H301</f>
        <v>0</v>
      </c>
      <c r="J301">
        <f>(G301+I301)/(H272/365)</f>
        <v>0.0308201952372867</v>
      </c>
    </row>
    <row r="302" spans="1:10">
      <c r="A302">
        <f>DE_Base_Profile!H20</f>
        <v>14</v>
      </c>
      <c r="B302">
        <f>DE_Base_Profile!I20</f>
        <v>0.0459</v>
      </c>
      <c r="C302">
        <f>IF(DE_Base_Profile!J20=1,INDEX(DE_Lookups!$B$2:$B$4,MATCH(B271,DE_Lookups!$A$2:$A$4,0)),1)</f>
        <v>0.6</v>
      </c>
      <c r="D302">
        <f>IF(OR(D271="Air conditioning",D271="Heat pump (heating &amp; cooling)"),IF(DE_Base_Profile!K20=1,N272,1),1)*IF(OR(D271="Electric heating",D271="Heat pump (heating &amp; cooling)"),IF(DE_Base_Profile!L20=1,P272,1),1)</f>
        <v>1.2</v>
      </c>
      <c r="E302">
        <f t="shared" si="19"/>
        <v>0.033048</v>
      </c>
      <c r="F302">
        <f t="shared" si="20"/>
        <v>0.0352926476854418</v>
      </c>
      <c r="G302">
        <f>((L271+D272)/365)*F302</f>
        <v>0.531807019917616</v>
      </c>
      <c r="H302">
        <f>INDEX(DE_Base_Profile!$N$6:$Q$29,ROW()-287,MATCH(J271,DE_Base_Profile!$N$5:$Q$5,0))</f>
        <v>0</v>
      </c>
      <c r="I302">
        <f>(F272/365)*H302</f>
        <v>0</v>
      </c>
      <c r="J302">
        <f>(G302+I302)/(H272/365)</f>
        <v>0.0352926476854418</v>
      </c>
    </row>
    <row r="303" spans="1:10">
      <c r="A303">
        <f>DE_Base_Profile!H21</f>
        <v>15</v>
      </c>
      <c r="B303">
        <f>DE_Base_Profile!I21</f>
        <v>0.0454</v>
      </c>
      <c r="C303">
        <f>IF(DE_Base_Profile!J21=1,INDEX(DE_Lookups!$B$2:$B$4,MATCH(B271,DE_Lookups!$A$2:$A$4,0)),1)</f>
        <v>0.6</v>
      </c>
      <c r="D303">
        <f>IF(OR(D271="Air conditioning",D271="Heat pump (heating &amp; cooling)"),IF(DE_Base_Profile!K21=1,N272,1),1)*IF(OR(D271="Electric heating",D271="Heat pump (heating &amp; cooling)"),IF(DE_Base_Profile!L21=1,P272,1),1)</f>
        <v>1.2</v>
      </c>
      <c r="E303">
        <f t="shared" si="19"/>
        <v>0.032688</v>
      </c>
      <c r="F303">
        <f t="shared" si="20"/>
        <v>0.0349081961856004</v>
      </c>
      <c r="G303">
        <f>((L271+D272)/365)*F303</f>
        <v>0.526013915125485</v>
      </c>
      <c r="H303">
        <f>INDEX(DE_Base_Profile!$N$6:$Q$29,ROW()-287,MATCH(J271,DE_Base_Profile!$N$5:$Q$5,0))</f>
        <v>0</v>
      </c>
      <c r="I303">
        <f>(F272/365)*H303</f>
        <v>0</v>
      </c>
      <c r="J303">
        <f>(G303+I303)/(H272/365)</f>
        <v>0.0349081961856004</v>
      </c>
    </row>
    <row r="304" spans="1:10">
      <c r="A304">
        <f>DE_Base_Profile!H22</f>
        <v>16</v>
      </c>
      <c r="B304">
        <f>DE_Base_Profile!I22</f>
        <v>0.0475</v>
      </c>
      <c r="C304">
        <f>IF(DE_Base_Profile!J22=1,INDEX(DE_Lookups!$B$2:$B$4,MATCH(B271,DE_Lookups!$A$2:$A$4,0)),1)</f>
        <v>0.6</v>
      </c>
      <c r="D304">
        <f>IF(OR(D271="Air conditioning",D271="Heat pump (heating &amp; cooling)"),IF(DE_Base_Profile!K22=1,N272,1),1)*IF(OR(D271="Electric heating",D271="Heat pump (heating &amp; cooling)"),IF(DE_Base_Profile!L22=1,P272,1),1)</f>
        <v>1.2</v>
      </c>
      <c r="E304">
        <f t="shared" si="19"/>
        <v>0.0342</v>
      </c>
      <c r="F304">
        <f t="shared" si="20"/>
        <v>0.0365228924849343</v>
      </c>
      <c r="G304">
        <f>((L271+D272)/365)*F304</f>
        <v>0.550344955252435</v>
      </c>
      <c r="H304">
        <f>INDEX(DE_Base_Profile!$N$6:$Q$29,ROW()-287,MATCH(J271,DE_Base_Profile!$N$5:$Q$5,0))</f>
        <v>0</v>
      </c>
      <c r="I304">
        <f>(F272/365)*H304</f>
        <v>0</v>
      </c>
      <c r="J304">
        <f>(G304+I304)/(H272/365)</f>
        <v>0.0365228924849343</v>
      </c>
    </row>
    <row r="305" spans="1:16">
      <c r="A305">
        <f>DE_Base_Profile!H23</f>
        <v>17</v>
      </c>
      <c r="B305">
        <f>DE_Base_Profile!I23</f>
        <v>0.0535</v>
      </c>
      <c r="C305">
        <f>IF(DE_Base_Profile!J23=1,INDEX(DE_Lookups!$B$2:$B$4,MATCH(B271,DE_Lookups!$A$2:$A$4,0)),1)</f>
        <v>0.6</v>
      </c>
      <c r="D305">
        <f>IF(OR(D271="Air conditioning",D271="Heat pump (heating &amp; cooling)"),IF(DE_Base_Profile!K23=1,N272,1),1)*IF(OR(D271="Electric heating",D271="Heat pump (heating &amp; cooling)"),IF(DE_Base_Profile!L23=1,P272,1),1)</f>
        <v>1.2</v>
      </c>
      <c r="E305">
        <f t="shared" si="19"/>
        <v>0.03852</v>
      </c>
      <c r="F305">
        <f t="shared" si="20"/>
        <v>0.0411363104830313</v>
      </c>
      <c r="G305">
        <f>((L271+D272)/365)*F305</f>
        <v>0.619862212758005</v>
      </c>
      <c r="H305">
        <f>INDEX(DE_Base_Profile!$N$6:$Q$29,ROW()-287,MATCH(J271,DE_Base_Profile!$N$5:$Q$5,0))</f>
        <v>0</v>
      </c>
      <c r="I305">
        <f>(F272/365)*H305</f>
        <v>0</v>
      </c>
      <c r="J305">
        <f>(G305+I305)/(H272/365)</f>
        <v>0.0411363104830313</v>
      </c>
    </row>
    <row r="306" spans="1:16">
      <c r="A306">
        <f>DE_Base_Profile!H24</f>
        <v>18</v>
      </c>
      <c r="B306">
        <f>DE_Base_Profile!I24</f>
        <v>0.0587</v>
      </c>
      <c r="C306">
        <f>IF(DE_Base_Profile!J24=1,INDEX(DE_Lookups!$B$2:$B$4,MATCH(B271,DE_Lookups!$A$2:$A$4,0)),1)</f>
        <v>1</v>
      </c>
      <c r="D306">
        <f>IF(OR(D271="Air conditioning",D271="Heat pump (heating &amp; cooling)"),IF(DE_Base_Profile!K24=1,N272,1),1)*IF(OR(D271="Electric heating",D271="Heat pump (heating &amp; cooling)"),IF(DE_Base_Profile!L24=1,P272,1),1)</f>
        <v>1.38</v>
      </c>
      <c r="E306">
        <f t="shared" si="19"/>
        <v>0.081006</v>
      </c>
      <c r="F306">
        <f t="shared" si="20"/>
        <v>0.0865079949893155</v>
      </c>
      <c r="G306">
        <f>((L271+D272)/365)*F306</f>
        <v>1.30354512997599</v>
      </c>
      <c r="H306">
        <f>INDEX(DE_Base_Profile!$N$6:$Q$29,ROW()-287,MATCH(J271,DE_Base_Profile!$N$5:$Q$5,0))</f>
        <v>0</v>
      </c>
      <c r="I306">
        <f>(F272/365)*H306</f>
        <v>0</v>
      </c>
      <c r="J306">
        <f>(G306+I306)/(H272/365)</f>
        <v>0.0865079949893155</v>
      </c>
    </row>
    <row r="307" spans="1:16">
      <c r="A307">
        <f>DE_Base_Profile!H25</f>
        <v>19</v>
      </c>
      <c r="B307">
        <f>DE_Base_Profile!I25</f>
        <v>0.0591</v>
      </c>
      <c r="C307">
        <f>IF(DE_Base_Profile!J25=1,INDEX(DE_Lookups!$B$2:$B$4,MATCH(B271,DE_Lookups!$A$2:$A$4,0)),1)</f>
        <v>1</v>
      </c>
      <c r="D307">
        <f>IF(OR(D271="Air conditioning",D271="Heat pump (heating &amp; cooling)"),IF(DE_Base_Profile!K25=1,N272,1),1)*IF(OR(D271="Electric heating",D271="Heat pump (heating &amp; cooling)"),IF(DE_Base_Profile!L25=1,P272,1),1)</f>
        <v>1.38</v>
      </c>
      <c r="E307">
        <f t="shared" si="19"/>
        <v>0.081558</v>
      </c>
      <c r="F307">
        <f t="shared" si="20"/>
        <v>0.0870974872890723</v>
      </c>
      <c r="G307">
        <f>((L271+D272)/365)*F307</f>
        <v>1.31242789065725</v>
      </c>
      <c r="H307">
        <f>INDEX(DE_Base_Profile!$N$6:$Q$29,ROW()-287,MATCH(J271,DE_Base_Profile!$N$5:$Q$5,0))</f>
        <v>0</v>
      </c>
      <c r="I307">
        <f>(F272/365)*H307</f>
        <v>0</v>
      </c>
      <c r="J307">
        <f>(G307+I307)/(H272/365)</f>
        <v>0.0870974872890723</v>
      </c>
    </row>
    <row r="308" spans="1:16">
      <c r="A308">
        <f>DE_Base_Profile!H26</f>
        <v>20</v>
      </c>
      <c r="B308">
        <f>DE_Base_Profile!I26</f>
        <v>0.0556</v>
      </c>
      <c r="C308">
        <f>IF(DE_Base_Profile!J26=1,INDEX(DE_Lookups!$B$2:$B$4,MATCH(B271,DE_Lookups!$A$2:$A$4,0)),1)</f>
        <v>1</v>
      </c>
      <c r="D308">
        <f>IF(OR(D271="Air conditioning",D271="Heat pump (heating &amp; cooling)"),IF(DE_Base_Profile!K26=1,N272,1),1)*IF(OR(D271="Electric heating",D271="Heat pump (heating &amp; cooling)"),IF(DE_Base_Profile!L26=1,P272,1),1)</f>
        <v>1.15</v>
      </c>
      <c r="E308">
        <f t="shared" si="19"/>
        <v>0.06394</v>
      </c>
      <c r="F308">
        <f t="shared" si="20"/>
        <v>0.0682828580551667</v>
      </c>
      <c r="G308">
        <f>((L271+D272)/365)*F308</f>
        <v>1.02891977891347</v>
      </c>
      <c r="H308">
        <f>INDEX(DE_Base_Profile!$N$6:$Q$29,ROW()-287,MATCH(J271,DE_Base_Profile!$N$5:$Q$5,0))</f>
        <v>0</v>
      </c>
      <c r="I308">
        <f>(F272/365)*H308</f>
        <v>0</v>
      </c>
      <c r="J308">
        <f>(G308+I308)/(H272/365)</f>
        <v>0.0682828580551667</v>
      </c>
    </row>
    <row r="309" spans="1:16">
      <c r="A309">
        <f>DE_Base_Profile!H27</f>
        <v>21</v>
      </c>
      <c r="B309">
        <f>DE_Base_Profile!I27</f>
        <v>0.0508</v>
      </c>
      <c r="C309">
        <f>IF(DE_Base_Profile!J27=1,INDEX(DE_Lookups!$B$2:$B$4,MATCH(B271,DE_Lookups!$A$2:$A$4,0)),1)</f>
        <v>1</v>
      </c>
      <c r="D309">
        <f>IF(OR(D271="Air conditioning",D271="Heat pump (heating &amp; cooling)"),IF(DE_Base_Profile!K27=1,N272,1),1)*IF(OR(D271="Electric heating",D271="Heat pump (heating &amp; cooling)"),IF(DE_Base_Profile!L27=1,P272,1),1)</f>
        <v>1.15</v>
      </c>
      <c r="E309">
        <f t="shared" si="19"/>
        <v>0.05842</v>
      </c>
      <c r="F309">
        <f t="shared" si="20"/>
        <v>0.0623879350575983</v>
      </c>
      <c r="G309">
        <f>((L271+D272)/365)*F309</f>
        <v>0.940092172100796</v>
      </c>
      <c r="H309">
        <f>INDEX(DE_Base_Profile!$N$6:$Q$29,ROW()-287,MATCH(J271,DE_Base_Profile!$N$5:$Q$5,0))</f>
        <v>0</v>
      </c>
      <c r="I309">
        <f>(F272/365)*H309</f>
        <v>0</v>
      </c>
      <c r="J309">
        <f>(G309+I309)/(H272/365)</f>
        <v>0.0623879350575983</v>
      </c>
    </row>
    <row r="310" spans="1:16">
      <c r="A310">
        <f>DE_Base_Profile!H28</f>
        <v>22</v>
      </c>
      <c r="B310">
        <f>DE_Base_Profile!I28</f>
        <v>0.0451</v>
      </c>
      <c r="C310">
        <f>IF(DE_Base_Profile!J28=1,INDEX(DE_Lookups!$B$2:$B$4,MATCH(B271,DE_Lookups!$A$2:$A$4,0)),1)</f>
        <v>1</v>
      </c>
      <c r="D310">
        <f>IF(OR(D271="Air conditioning",D271="Heat pump (heating &amp; cooling)"),IF(DE_Base_Profile!K28=1,N272,1),1)*IF(OR(D271="Electric heating",D271="Heat pump (heating &amp; cooling)"),IF(DE_Base_Profile!L28=1,P272,1),1)</f>
        <v>1.15</v>
      </c>
      <c r="E310">
        <f t="shared" si="19"/>
        <v>0.051865</v>
      </c>
      <c r="F310">
        <f t="shared" si="20"/>
        <v>0.0553877139979859</v>
      </c>
      <c r="G310">
        <f>((L271+D272)/365)*F310</f>
        <v>0.834609389010746</v>
      </c>
      <c r="H310">
        <f>INDEX(DE_Base_Profile!$N$6:$Q$29,ROW()-287,MATCH(J271,DE_Base_Profile!$N$5:$Q$5,0))</f>
        <v>0.125</v>
      </c>
      <c r="I310">
        <f>(F272/365)*H310</f>
        <v>0</v>
      </c>
      <c r="J310">
        <f>(G310+I310)/(H272/365)</f>
        <v>0.0553877139979859</v>
      </c>
    </row>
    <row r="311" spans="1:16">
      <c r="A311">
        <f>DE_Base_Profile!H29</f>
        <v>23</v>
      </c>
      <c r="B311">
        <f>DE_Base_Profile!I29</f>
        <v>0.0366</v>
      </c>
      <c r="C311">
        <f>IF(DE_Base_Profile!J29=1,INDEX(DE_Lookups!$B$2:$B$4,MATCH(B271,DE_Lookups!$A$2:$A$4,0)),1)</f>
        <v>1</v>
      </c>
      <c r="D311">
        <f>IF(OR(D271="Air conditioning",D271="Heat pump (heating &amp; cooling)"),IF(DE_Base_Profile!K29=1,N272,1),1)*IF(OR(D271="Electric heating",D271="Heat pump (heating &amp; cooling)"),IF(DE_Base_Profile!L29=1,P272,1),1)</f>
        <v>1</v>
      </c>
      <c r="E311">
        <f t="shared" si="19"/>
        <v>0.0366</v>
      </c>
      <c r="F311">
        <f t="shared" si="20"/>
        <v>0.0390859024838771</v>
      </c>
      <c r="G311">
        <f>((L271+D272)/365)*F311</f>
        <v>0.588965653866641</v>
      </c>
      <c r="H311">
        <f>INDEX(DE_Base_Profile!$N$6:$Q$29,ROW()-287,MATCH(J271,DE_Base_Profile!$N$5:$Q$5,0))</f>
        <v>0.125</v>
      </c>
      <c r="I311">
        <f>(F272/365)*H311</f>
        <v>0</v>
      </c>
      <c r="J311">
        <f>(G311+I311)/(H272/365)</f>
        <v>0.0390859024838771</v>
      </c>
    </row>
    <row r="316" spans="1:16">
      <c r="A316" t="s">
        <v>51</v>
      </c>
      <c r="B316" t="str">
        <f>DE_Option_Monthly!C11</f>
        <v>Mostly away during the day</v>
      </c>
      <c r="C316" t="s">
        <v>188</v>
      </c>
      <c r="D316" t="str">
        <f>DE_Option_Monthly!D11</f>
        <v>Heat pump (heating &amp; cooling)</v>
      </c>
      <c r="E316" t="s">
        <v>68</v>
      </c>
      <c r="F316" t="str">
        <f>DE_Option_Monthly!E11</f>
        <v>Low</v>
      </c>
      <c r="G316" t="s">
        <v>98</v>
      </c>
      <c r="H316" t="str">
        <f>DE_Option_Monthly!F11</f>
        <v>No electric vehicle</v>
      </c>
      <c r="I316" t="s">
        <v>289</v>
      </c>
      <c r="J316" t="str">
        <f>DE_Option_Monthly!G11</f>
        <v>Mostly overnight</v>
      </c>
      <c r="K316" t="s">
        <v>290</v>
      </c>
      <c r="L316">
        <f>DE_Option_Monthly!$B$1</f>
        <v>3500</v>
      </c>
    </row>
    <row r="317" spans="1:16">
      <c r="A317" t="s">
        <v>291</v>
      </c>
      <c r="B317">
        <f>INDEX(DE_Lookups!$E$2:$E$5,MATCH(F316,DE_Lookups!$D$2:$D$5,0))</f>
        <v>0.7</v>
      </c>
      <c r="C317" t="s">
        <v>292</v>
      </c>
      <c r="D317">
        <f>IF(OR(D316="Electric heating",D316="Heat pump (heating &amp; cooling)"),INDEX(DE_Lookups!$L$2:$L$5,MATCH(D316,DE_Lookups!$K$2:$K$5,0))*B317,0)</f>
        <v>1400</v>
      </c>
      <c r="E317" t="s">
        <v>293</v>
      </c>
      <c r="F317">
        <f>INDEX(DE_Lookups!$O$2:$O$7,MATCH(H316,DE_Lookups!$N$2:$N$7,0))*0.18</f>
        <v>0</v>
      </c>
      <c r="G317" t="s">
        <v>294</v>
      </c>
      <c r="H317">
        <f>L316+D317+F317</f>
        <v>4900</v>
      </c>
      <c r="I317" t="s">
        <v>295</v>
      </c>
      <c r="J317">
        <f>INDEX(DE_Lookups!$F$2:$F$5,MATCH(F316,DE_Lookups!$D$2:$D$5,0))</f>
        <v>1.05</v>
      </c>
      <c r="K317" t="s">
        <v>296</v>
      </c>
      <c r="L317">
        <f>INDEX(DE_Lookups!$G$2:$G$5,MATCH(F316,DE_Lookups!$D$2:$D$5,0))</f>
        <v>1.08</v>
      </c>
      <c r="M317" t="s">
        <v>297</v>
      </c>
      <c r="N317">
        <f>INDEX(DE_Lookups!$H$2:$H$5,MATCH(F316,DE_Lookups!$D$2:$D$5,0))</f>
        <v>1.1</v>
      </c>
      <c r="O317" t="s">
        <v>298</v>
      </c>
      <c r="P317">
        <f>INDEX(DE_Lookups!$I$2:$I$5,MATCH(F316,DE_Lookups!$D$2:$D$5,0))</f>
        <v>1.08</v>
      </c>
    </row>
    <row r="319" spans="1:16">
      <c r="A319" t="str">
        <f>DE_Base_Profile!A6</f>
        <v>1月</v>
      </c>
      <c r="B319">
        <f>DE_Base_Profile!B6</f>
        <v>0.0789</v>
      </c>
      <c r="C319">
        <f>L316*B319</f>
        <v>276.15</v>
      </c>
      <c r="D319">
        <f>1+IF(OR(D316="Air conditioning",D316="Heat pump (heating &amp; cooling)"),IF(DE_Base_Profile!D6=1,J317-1,0),0)+IF(OR(D316="Electric heating",D316="Heat pump (heating &amp; cooling)"),IF(DE_Base_Profile!E6=1,L317-1,0),0)</f>
        <v>1.08</v>
      </c>
      <c r="E319">
        <f t="shared" ref="E319:E330" si="21">C319*D319</f>
        <v>298.242</v>
      </c>
      <c r="F319">
        <f>IF(D316="Electric heating",IF(DE_Base_Profile!E6=1,B319*L317,0),IF(D316="Heat pump (heating &amp; cooling)",IF(DE_Base_Profile!D6=1,B319*J317,0)+IF(DE_Base_Profile!E6=1,B319*L317,0),0))</f>
        <v>0.085212</v>
      </c>
      <c r="G319">
        <f>IF(SUM($F$319:$F$330)=0,0,D317*F319/SUM($F$319:$F$330))</f>
        <v>134.158322312488</v>
      </c>
      <c r="H319">
        <f>F317/12</f>
        <v>0</v>
      </c>
      <c r="I319">
        <f>E319/SUM($E$319:$E$330)*L316+G319+H319</f>
        <v>415.937647044354</v>
      </c>
      <c r="J319">
        <f>I319/H317</f>
        <v>0.0848852340906844</v>
      </c>
    </row>
    <row r="320" spans="1:16">
      <c r="A320" t="str">
        <f>DE_Base_Profile!A7</f>
        <v>2月</v>
      </c>
      <c r="B320">
        <f>DE_Base_Profile!B7</f>
        <v>0.0791</v>
      </c>
      <c r="C320">
        <f>L316*B320</f>
        <v>276.85</v>
      </c>
      <c r="D320">
        <f>1+IF(OR(D316="Air conditioning",D316="Heat pump (heating &amp; cooling)"),IF(DE_Base_Profile!D7=1,J317-1,0),0)+IF(OR(D316="Electric heating",D316="Heat pump (heating &amp; cooling)"),IF(DE_Base_Profile!E7=1,L317-1,0),0)</f>
        <v>1.08</v>
      </c>
      <c r="E320">
        <f t="shared" si="21"/>
        <v>298.998</v>
      </c>
      <c r="F320">
        <f>IF(D316="Electric heating",IF(DE_Base_Profile!E7=1,B320*L317,0),IF(D316="Heat pump (heating &amp; cooling)",IF(DE_Base_Profile!D7=1,B320*J317,0)+IF(DE_Base_Profile!E7=1,B320*L317,0),0))</f>
        <v>0.085428</v>
      </c>
      <c r="G320">
        <f>IF(SUM($F$319:$F$330)=0,0,D317*F320/SUM($F$319:$F$330))</f>
        <v>134.498394105422</v>
      </c>
      <c r="H320">
        <f>F317/12</f>
        <v>0</v>
      </c>
      <c r="I320">
        <f>E320/SUM($E$319:$E$330)*L316+G320+H320</f>
        <v>416.991988354986</v>
      </c>
      <c r="J320">
        <f>I320/H317</f>
        <v>0.0851004057867318</v>
      </c>
    </row>
    <row r="321" spans="1:10">
      <c r="A321" t="str">
        <f>DE_Base_Profile!A8</f>
        <v>3月</v>
      </c>
      <c r="B321">
        <f>DE_Base_Profile!B8</f>
        <v>0.0773</v>
      </c>
      <c r="C321">
        <f>L316*B321</f>
        <v>270.55</v>
      </c>
      <c r="D321">
        <f>1+IF(OR(D316="Air conditioning",D316="Heat pump (heating &amp; cooling)"),IF(DE_Base_Profile!D8=1,J317-1,0),0)+IF(OR(D316="Electric heating",D316="Heat pump (heating &amp; cooling)"),IF(DE_Base_Profile!E8=1,L317-1,0),0)</f>
        <v>1.08</v>
      </c>
      <c r="E321">
        <f t="shared" si="21"/>
        <v>292.194</v>
      </c>
      <c r="F321">
        <f>IF(D316="Electric heating",IF(DE_Base_Profile!E8=1,B321*L317,0),IF(D316="Heat pump (heating &amp; cooling)",IF(DE_Base_Profile!D8=1,B321*J317,0)+IF(DE_Base_Profile!E8=1,B321*L317,0),0))</f>
        <v>0.083484</v>
      </c>
      <c r="G321">
        <f>IF(SUM($F$319:$F$330)=0,0,D317*F321/SUM($F$319:$F$330))</f>
        <v>131.437747969016</v>
      </c>
      <c r="H321">
        <f>F317/12</f>
        <v>0</v>
      </c>
      <c r="I321">
        <f>E321/SUM($E$319:$E$330)*L316+G321+H321</f>
        <v>407.502916559297</v>
      </c>
      <c r="J321">
        <f>I321/H317</f>
        <v>0.0831638605223055</v>
      </c>
    </row>
    <row r="322" spans="1:10">
      <c r="A322" t="str">
        <f>DE_Base_Profile!A9</f>
        <v>4月</v>
      </c>
      <c r="B322">
        <f>DE_Base_Profile!B9</f>
        <v>0.0822</v>
      </c>
      <c r="C322">
        <f>L316*B322</f>
        <v>287.7</v>
      </c>
      <c r="D322">
        <f>1+IF(OR(D316="Air conditioning",D316="Heat pump (heating &amp; cooling)"),IF(DE_Base_Profile!D9=1,J317-1,0),0)+IF(OR(D316="Electric heating",D316="Heat pump (heating &amp; cooling)"),IF(DE_Base_Profile!E9=1,L317-1,0),0)</f>
        <v>1.08</v>
      </c>
      <c r="E322">
        <f t="shared" si="21"/>
        <v>310.716</v>
      </c>
      <c r="F322">
        <f>IF(D316="Electric heating",IF(DE_Base_Profile!E9=1,B322*L317,0),IF(D316="Heat pump (heating &amp; cooling)",IF(DE_Base_Profile!D9=1,B322*J317,0)+IF(DE_Base_Profile!E9=1,B322*L317,0),0))</f>
        <v>0.088776</v>
      </c>
      <c r="G322">
        <f>IF(SUM($F$319:$F$330)=0,0,D317*F322/SUM($F$319:$F$330))</f>
        <v>139.7695068959</v>
      </c>
      <c r="H322">
        <f>F317/12</f>
        <v>0</v>
      </c>
      <c r="I322">
        <f>E322/SUM($E$319:$E$330)*L316+G322+H322</f>
        <v>433.334278669783</v>
      </c>
      <c r="J322">
        <f>I322/H317</f>
        <v>0.0884355670754659</v>
      </c>
    </row>
    <row r="323" spans="1:10">
      <c r="A323" t="str">
        <f>DE_Base_Profile!A10</f>
        <v>5月</v>
      </c>
      <c r="B323">
        <f>DE_Base_Profile!B10</f>
        <v>0.0839</v>
      </c>
      <c r="C323">
        <f>L316*B323</f>
        <v>293.65</v>
      </c>
      <c r="D323">
        <f>1+IF(OR(D316="Air conditioning",D316="Heat pump (heating &amp; cooling)"),IF(DE_Base_Profile!D10=1,J317-1,0),0)+IF(OR(D316="Electric heating",D316="Heat pump (heating &amp; cooling)"),IF(DE_Base_Profile!E10=1,L317-1,0),0)</f>
        <v>1</v>
      </c>
      <c r="E323">
        <f t="shared" si="21"/>
        <v>293.65</v>
      </c>
      <c r="F323">
        <f>IF(D316="Electric heating",IF(DE_Base_Profile!E10=1,B323*L317,0),IF(D316="Heat pump (heating &amp; cooling)",IF(DE_Base_Profile!D10=1,B323*J317,0)+IF(DE_Base_Profile!E10=1,B323*L317,0),0))</f>
        <v>0</v>
      </c>
      <c r="G323">
        <f>IF(SUM($F$319:$F$330)=0,0,D317*F323/SUM($F$319:$F$330))</f>
        <v>0</v>
      </c>
      <c r="H323">
        <f>F317/12</f>
        <v>0</v>
      </c>
      <c r="I323">
        <f>E323/SUM($E$319:$E$330)*L316+G323+H323</f>
        <v>277.440798772515</v>
      </c>
      <c r="J323">
        <f>I323/H317</f>
        <v>0.0566205711780642</v>
      </c>
    </row>
    <row r="324" spans="1:10">
      <c r="A324" t="str">
        <f>DE_Base_Profile!A11</f>
        <v>6月</v>
      </c>
      <c r="B324">
        <f>DE_Base_Profile!B11</f>
        <v>0.0876</v>
      </c>
      <c r="C324">
        <f>L316*B324</f>
        <v>306.6</v>
      </c>
      <c r="D324">
        <f>1+IF(OR(D316="Air conditioning",D316="Heat pump (heating &amp; cooling)"),IF(DE_Base_Profile!D11=1,J317-1,0),0)+IF(OR(D316="Electric heating",D316="Heat pump (heating &amp; cooling)"),IF(DE_Base_Profile!E11=1,L317-1,0),0)</f>
        <v>1.05</v>
      </c>
      <c r="E324">
        <f t="shared" si="21"/>
        <v>321.93</v>
      </c>
      <c r="F324">
        <f>IF(D316="Electric heating",IF(DE_Base_Profile!E11=1,B324*L317,0),IF(D316="Heat pump (heating &amp; cooling)",IF(DE_Base_Profile!D11=1,B324*J317,0)+IF(DE_Base_Profile!E11=1,B324*L317,0),0))</f>
        <v>0.09198</v>
      </c>
      <c r="G324">
        <f>IF(SUM($F$319:$F$330)=0,0,D317*F324/SUM($F$319:$F$330))</f>
        <v>144.813905157756</v>
      </c>
      <c r="H324">
        <f>F317/12</f>
        <v>0</v>
      </c>
      <c r="I324">
        <f>E324/SUM($E$319:$E$330)*L316+G324+H324</f>
        <v>448.973674777492</v>
      </c>
      <c r="J324">
        <f>I324/H317</f>
        <v>0.0916272805668351</v>
      </c>
    </row>
    <row r="325" spans="1:10">
      <c r="A325" t="str">
        <f>DE_Base_Profile!A12</f>
        <v>7月</v>
      </c>
      <c r="B325">
        <f>DE_Base_Profile!B12</f>
        <v>0.0917</v>
      </c>
      <c r="C325">
        <f>L316*B325</f>
        <v>320.95</v>
      </c>
      <c r="D325">
        <f>1+IF(OR(D316="Air conditioning",D316="Heat pump (heating &amp; cooling)"),IF(DE_Base_Profile!D12=1,J317-1,0),0)+IF(OR(D316="Electric heating",D316="Heat pump (heating &amp; cooling)"),IF(DE_Base_Profile!E12=1,L317-1,0),0)</f>
        <v>1.05</v>
      </c>
      <c r="E325">
        <f t="shared" si="21"/>
        <v>336.9975</v>
      </c>
      <c r="F325">
        <f>IF(D316="Electric heating",IF(DE_Base_Profile!E12=1,B325*L317,0),IF(D316="Heat pump (heating &amp; cooling)",IF(DE_Base_Profile!D12=1,B325*J317,0)+IF(DE_Base_Profile!E12=1,B325*L317,0),0))</f>
        <v>0.096285</v>
      </c>
      <c r="G325">
        <f>IF(SUM($F$319:$F$330)=0,0,D317*F325/SUM($F$319:$F$330))</f>
        <v>151.591724919705</v>
      </c>
      <c r="H325">
        <f>F317/12</f>
        <v>0</v>
      </c>
      <c r="I325">
        <f>E325/SUM($E$319:$E$330)*L316+G325+H325</f>
        <v>469.987282843562</v>
      </c>
      <c r="J325">
        <f>I325/H317</f>
        <v>0.0959157720088902</v>
      </c>
    </row>
    <row r="326" spans="1:10">
      <c r="A326" t="str">
        <f>DE_Base_Profile!A13</f>
        <v>8月</v>
      </c>
      <c r="B326">
        <f>DE_Base_Profile!B13</f>
        <v>0.0887</v>
      </c>
      <c r="C326">
        <f>L316*B326</f>
        <v>310.45</v>
      </c>
      <c r="D326">
        <f>1+IF(OR(D316="Air conditioning",D316="Heat pump (heating &amp; cooling)"),IF(DE_Base_Profile!D13=1,J317-1,0),0)+IF(OR(D316="Electric heating",D316="Heat pump (heating &amp; cooling)"),IF(DE_Base_Profile!E13=1,L317-1,0),0)</f>
        <v>1.05</v>
      </c>
      <c r="E326">
        <f t="shared" si="21"/>
        <v>325.9725</v>
      </c>
      <c r="F326">
        <f>IF(D316="Electric heating",IF(DE_Base_Profile!E13=1,B326*L317,0),IF(D316="Heat pump (heating &amp; cooling)",IF(DE_Base_Profile!D13=1,B326*J317,0)+IF(DE_Base_Profile!E13=1,B326*L317,0),0))</f>
        <v>0.093135</v>
      </c>
      <c r="G326">
        <f>IF(SUM($F$319:$F$330)=0,0,D317*F326/SUM($F$319:$F$330))</f>
        <v>146.632344606084</v>
      </c>
      <c r="H326">
        <f>F317/12</f>
        <v>0</v>
      </c>
      <c r="I326">
        <f>E326/SUM($E$319:$E$330)*L316+G326+H326</f>
        <v>454.611472063511</v>
      </c>
      <c r="J326">
        <f>I326/H317</f>
        <v>0.0927778514415328</v>
      </c>
    </row>
    <row r="327" spans="1:10">
      <c r="A327" t="str">
        <f>DE_Base_Profile!A14</f>
        <v>9月</v>
      </c>
      <c r="B327">
        <f>DE_Base_Profile!B14</f>
        <v>0.0853</v>
      </c>
      <c r="C327">
        <f>L316*B327</f>
        <v>298.55</v>
      </c>
      <c r="D327">
        <f>1+IF(OR(D316="Air conditioning",D316="Heat pump (heating &amp; cooling)"),IF(DE_Base_Profile!D14=1,J317-1,0),0)+IF(OR(D316="Electric heating",D316="Heat pump (heating &amp; cooling)"),IF(DE_Base_Profile!E14=1,L317-1,0),0)</f>
        <v>1</v>
      </c>
      <c r="E327">
        <f t="shared" si="21"/>
        <v>298.55</v>
      </c>
      <c r="F327">
        <f>IF(D316="Electric heating",IF(DE_Base_Profile!E14=1,B327*L317,0),IF(D316="Heat pump (heating &amp; cooling)",IF(DE_Base_Profile!D14=1,B327*J317,0)+IF(DE_Base_Profile!E14=1,B327*L317,0),0))</f>
        <v>0</v>
      </c>
      <c r="G327">
        <f>IF(SUM($F$319:$F$330)=0,0,D317*F327/SUM($F$319:$F$330))</f>
        <v>0</v>
      </c>
      <c r="H327">
        <f>F317/12</f>
        <v>0</v>
      </c>
      <c r="I327">
        <f>E327/SUM($E$319:$E$330)*L316+G327+H327</f>
        <v>282.070323424261</v>
      </c>
      <c r="J327">
        <f>I327/H317</f>
        <v>0.0575653721274002</v>
      </c>
    </row>
    <row r="328" spans="1:10">
      <c r="A328" t="str">
        <f>DE_Base_Profile!A15</f>
        <v>10月</v>
      </c>
      <c r="B328">
        <f>DE_Base_Profile!B15</f>
        <v>0.0838</v>
      </c>
      <c r="C328">
        <f>L316*B328</f>
        <v>293.3</v>
      </c>
      <c r="D328">
        <f>1+IF(OR(D316="Air conditioning",D316="Heat pump (heating &amp; cooling)"),IF(DE_Base_Profile!D15=1,J317-1,0),0)+IF(OR(D316="Electric heating",D316="Heat pump (heating &amp; cooling)"),IF(DE_Base_Profile!E15=1,L317-1,0),0)</f>
        <v>1.08</v>
      </c>
      <c r="E328">
        <f t="shared" si="21"/>
        <v>316.764</v>
      </c>
      <c r="F328">
        <f>IF(D316="Electric heating",IF(DE_Base_Profile!E15=1,B328*L317,0),IF(D316="Heat pump (heating &amp; cooling)",IF(DE_Base_Profile!D15=1,B328*J317,0)+IF(DE_Base_Profile!E15=1,B328*L317,0),0))</f>
        <v>0.090504</v>
      </c>
      <c r="G328">
        <f>IF(SUM($F$319:$F$330)=0,0,D317*F328/SUM($F$319:$F$330))</f>
        <v>142.490081239373</v>
      </c>
      <c r="H328">
        <f>F317/12</f>
        <v>0</v>
      </c>
      <c r="I328">
        <f>E328/SUM($E$319:$E$330)*L316+G328+H328</f>
        <v>441.76900915484</v>
      </c>
      <c r="J328">
        <f>I328/H317</f>
        <v>0.0901569406438448</v>
      </c>
    </row>
    <row r="329" spans="1:10">
      <c r="A329" t="str">
        <f>DE_Base_Profile!A16</f>
        <v>11月</v>
      </c>
      <c r="B329">
        <f>DE_Base_Profile!B16</f>
        <v>0.0819</v>
      </c>
      <c r="C329">
        <f>L316*B329</f>
        <v>286.65</v>
      </c>
      <c r="D329">
        <f>1+IF(OR(D316="Air conditioning",D316="Heat pump (heating &amp; cooling)"),IF(DE_Base_Profile!D16=1,J317-1,0),0)+IF(OR(D316="Electric heating",D316="Heat pump (heating &amp; cooling)"),IF(DE_Base_Profile!E16=1,L317-1,0),0)</f>
        <v>1.08</v>
      </c>
      <c r="E329">
        <f t="shared" si="21"/>
        <v>309.582</v>
      </c>
      <c r="F329">
        <f>IF(D316="Electric heating",IF(DE_Base_Profile!E16=1,B329*L317,0),IF(D316="Heat pump (heating &amp; cooling)",IF(DE_Base_Profile!D16=1,B329*J317,0)+IF(DE_Base_Profile!E16=1,B329*L317,0),0))</f>
        <v>0.088452</v>
      </c>
      <c r="G329">
        <f>IF(SUM($F$319:$F$330)=0,0,D317*F329/SUM($F$319:$F$330))</f>
        <v>139.259399206499</v>
      </c>
      <c r="H329">
        <f>F317/12</f>
        <v>0</v>
      </c>
      <c r="I329">
        <f>E329/SUM($E$319:$E$330)*L316+G329+H329</f>
        <v>431.752766703835</v>
      </c>
      <c r="J329">
        <f>I329/H317</f>
        <v>0.0881128095313949</v>
      </c>
    </row>
    <row r="330" spans="1:10">
      <c r="A330" t="str">
        <f>DE_Base_Profile!A17</f>
        <v>12月</v>
      </c>
      <c r="B330">
        <f>DE_Base_Profile!B17</f>
        <v>0.0796</v>
      </c>
      <c r="C330">
        <f>L316*B330</f>
        <v>278.6</v>
      </c>
      <c r="D330">
        <f>1+IF(OR(D316="Air conditioning",D316="Heat pump (heating &amp; cooling)"),IF(DE_Base_Profile!D17=1,J317-1,0),0)+IF(OR(D316="Electric heating",D316="Heat pump (heating &amp; cooling)"),IF(DE_Base_Profile!E17=1,L317-1,0),0)</f>
        <v>1.08</v>
      </c>
      <c r="E330">
        <f t="shared" si="21"/>
        <v>300.888</v>
      </c>
      <c r="F330">
        <f>IF(D316="Electric heating",IF(DE_Base_Profile!E17=1,B330*L317,0),IF(D316="Heat pump (heating &amp; cooling)",IF(DE_Base_Profile!D17=1,B330*J317,0)+IF(DE_Base_Profile!E17=1,B330*L317,0),0))</f>
        <v>0.085968</v>
      </c>
      <c r="G330">
        <f>IF(SUM($F$319:$F$330)=0,0,D317*F330/SUM($F$319:$F$330))</f>
        <v>135.348573587757</v>
      </c>
      <c r="H330">
        <f>F317/12</f>
        <v>0</v>
      </c>
      <c r="I330">
        <f>E330/SUM($E$319:$E$330)*L316+G330+H330</f>
        <v>419.627841631566</v>
      </c>
      <c r="J330">
        <f>I330/H317</f>
        <v>0.0856383350268502</v>
      </c>
    </row>
    <row r="333" spans="1:10">
      <c r="A333">
        <f>DE_Base_Profile!H6</f>
        <v>0</v>
      </c>
      <c r="B333">
        <f>DE_Base_Profile!I6</f>
        <v>0.0301</v>
      </c>
      <c r="C333">
        <f>IF(DE_Base_Profile!J6=1,INDEX(DE_Lookups!$B$2:$B$4,MATCH(B316,DE_Lookups!$A$2:$A$4,0)),1)</f>
        <v>1</v>
      </c>
      <c r="D333">
        <f>IF(OR(D316="Air conditioning",D316="Heat pump (heating &amp; cooling)"),IF(DE_Base_Profile!K6=1,N317,1),1)*IF(OR(D316="Electric heating",D316="Heat pump (heating &amp; cooling)"),IF(DE_Base_Profile!L6=1,P317,1),1)</f>
        <v>1</v>
      </c>
      <c r="E333">
        <f t="shared" ref="E333:E356" si="22">B333*C333*D333</f>
        <v>0.0301</v>
      </c>
      <c r="F333">
        <f t="shared" ref="F333:F356" si="23">E333/SUM($E$333:$E$356)</f>
        <v>0.0341157978585706</v>
      </c>
      <c r="G333">
        <f>((L316+D317)/365)*F333</f>
        <v>0.457992902758894</v>
      </c>
      <c r="H333">
        <f>INDEX(DE_Base_Profile!$N$6:$Q$29,ROW()-332,MATCH(J316,DE_Base_Profile!$N$5:$Q$5,0))</f>
        <v>0.125</v>
      </c>
      <c r="I333">
        <f>(F317/365)*H333</f>
        <v>0</v>
      </c>
      <c r="J333">
        <f>(G333+I333)/(H317/365)</f>
        <v>0.0341157978585706</v>
      </c>
    </row>
    <row r="334" spans="1:10">
      <c r="A334">
        <f>DE_Base_Profile!H7</f>
        <v>1</v>
      </c>
      <c r="B334">
        <f>DE_Base_Profile!I7</f>
        <v>0.0258</v>
      </c>
      <c r="C334">
        <f>IF(DE_Base_Profile!J7=1,INDEX(DE_Lookups!$B$2:$B$4,MATCH(B316,DE_Lookups!$A$2:$A$4,0)),1)</f>
        <v>1</v>
      </c>
      <c r="D334">
        <f>IF(OR(D316="Air conditioning",D316="Heat pump (heating &amp; cooling)"),IF(DE_Base_Profile!K7=1,N317,1),1)*IF(OR(D316="Electric heating",D316="Heat pump (heating &amp; cooling)"),IF(DE_Base_Profile!L7=1,P317,1),1)</f>
        <v>1</v>
      </c>
      <c r="E334">
        <f t="shared" si="22"/>
        <v>0.0258</v>
      </c>
      <c r="F334">
        <f t="shared" si="23"/>
        <v>0.0292421124502034</v>
      </c>
      <c r="G334">
        <f>((L316+D317)/365)*F334</f>
        <v>0.392565345221909</v>
      </c>
      <c r="H334">
        <f>INDEX(DE_Base_Profile!$N$6:$Q$29,ROW()-332,MATCH(J316,DE_Base_Profile!$N$5:$Q$5,0))</f>
        <v>0.125</v>
      </c>
      <c r="I334">
        <f>(F317/365)*H334</f>
        <v>0</v>
      </c>
      <c r="J334">
        <f>(G334+I334)/(H317/365)</f>
        <v>0.0292421124502034</v>
      </c>
    </row>
    <row r="335" spans="1:10">
      <c r="A335">
        <f>DE_Base_Profile!H8</f>
        <v>2</v>
      </c>
      <c r="B335">
        <f>DE_Base_Profile!I8</f>
        <v>0.0239</v>
      </c>
      <c r="C335">
        <f>IF(DE_Base_Profile!J8=1,INDEX(DE_Lookups!$B$2:$B$4,MATCH(B316,DE_Lookups!$A$2:$A$4,0)),1)</f>
        <v>1</v>
      </c>
      <c r="D335">
        <f>IF(OR(D316="Air conditioning",D316="Heat pump (heating &amp; cooling)"),IF(DE_Base_Profile!K8=1,N317,1),1)*IF(OR(D316="Electric heating",D316="Heat pump (heating &amp; cooling)"),IF(DE_Base_Profile!L8=1,P317,1),1)</f>
        <v>1</v>
      </c>
      <c r="E335">
        <f t="shared" si="22"/>
        <v>0.0239</v>
      </c>
      <c r="F335">
        <f t="shared" si="23"/>
        <v>0.0270886235488318</v>
      </c>
      <c r="G335">
        <f>((L316+D317)/365)*F335</f>
        <v>0.363655494217195</v>
      </c>
      <c r="H335">
        <f>INDEX(DE_Base_Profile!$N$6:$Q$29,ROW()-332,MATCH(J316,DE_Base_Profile!$N$5:$Q$5,0))</f>
        <v>0.125</v>
      </c>
      <c r="I335">
        <f>(F317/365)*H335</f>
        <v>0</v>
      </c>
      <c r="J335">
        <f>(G335+I335)/(H317/365)</f>
        <v>0.0270886235488318</v>
      </c>
    </row>
    <row r="336" spans="1:10">
      <c r="A336">
        <f>DE_Base_Profile!H9</f>
        <v>3</v>
      </c>
      <c r="B336">
        <f>DE_Base_Profile!I9</f>
        <v>0.0232</v>
      </c>
      <c r="C336">
        <f>IF(DE_Base_Profile!J9=1,INDEX(DE_Lookups!$B$2:$B$4,MATCH(B316,DE_Lookups!$A$2:$A$4,0)),1)</f>
        <v>1</v>
      </c>
      <c r="D336">
        <f>IF(OR(D316="Air conditioning",D316="Heat pump (heating &amp; cooling)"),IF(DE_Base_Profile!K9=1,N317,1),1)*IF(OR(D316="Electric heating",D316="Heat pump (heating &amp; cooling)"),IF(DE_Base_Profile!L9=1,P317,1),1)</f>
        <v>1</v>
      </c>
      <c r="E336">
        <f t="shared" si="22"/>
        <v>0.0232</v>
      </c>
      <c r="F336">
        <f t="shared" si="23"/>
        <v>0.0262952329009581</v>
      </c>
      <c r="G336">
        <f>((L316+D317)/365)*F336</f>
        <v>0.353004496478616</v>
      </c>
      <c r="H336">
        <f>INDEX(DE_Base_Profile!$N$6:$Q$29,ROW()-332,MATCH(J316,DE_Base_Profile!$N$5:$Q$5,0))</f>
        <v>0.125</v>
      </c>
      <c r="I336">
        <f>(F317/365)*H336</f>
        <v>0</v>
      </c>
      <c r="J336">
        <f>(G336+I336)/(H317/365)</f>
        <v>0.0262952329009581</v>
      </c>
    </row>
    <row r="337" spans="1:10">
      <c r="A337">
        <f>DE_Base_Profile!H10</f>
        <v>4</v>
      </c>
      <c r="B337">
        <f>DE_Base_Profile!I10</f>
        <v>0.0236</v>
      </c>
      <c r="C337">
        <f>IF(DE_Base_Profile!J10=1,INDEX(DE_Lookups!$B$2:$B$4,MATCH(B316,DE_Lookups!$A$2:$A$4,0)),1)</f>
        <v>1</v>
      </c>
      <c r="D337">
        <f>IF(OR(D316="Air conditioning",D316="Heat pump (heating &amp; cooling)"),IF(DE_Base_Profile!K10=1,N317,1),1)*IF(OR(D316="Electric heating",D316="Heat pump (heating &amp; cooling)"),IF(DE_Base_Profile!L10=1,P317,1),1)</f>
        <v>1</v>
      </c>
      <c r="E337">
        <f t="shared" si="22"/>
        <v>0.0236</v>
      </c>
      <c r="F337">
        <f t="shared" si="23"/>
        <v>0.0267485989854574</v>
      </c>
      <c r="G337">
        <f>((L316+D317)/365)*F337</f>
        <v>0.359090780900661</v>
      </c>
      <c r="H337">
        <f>INDEX(DE_Base_Profile!$N$6:$Q$29,ROW()-332,MATCH(J316,DE_Base_Profile!$N$5:$Q$5,0))</f>
        <v>0.125</v>
      </c>
      <c r="I337">
        <f>(F317/365)*H337</f>
        <v>0</v>
      </c>
      <c r="J337">
        <f>(G337+I337)/(H317/365)</f>
        <v>0.0267485989854574</v>
      </c>
    </row>
    <row r="338" spans="1:10">
      <c r="A338">
        <f>DE_Base_Profile!H11</f>
        <v>5</v>
      </c>
      <c r="B338">
        <f>DE_Base_Profile!I11</f>
        <v>0.0252</v>
      </c>
      <c r="C338">
        <f>IF(DE_Base_Profile!J11=1,INDEX(DE_Lookups!$B$2:$B$4,MATCH(B316,DE_Lookups!$A$2:$A$4,0)),1)</f>
        <v>1</v>
      </c>
      <c r="D338">
        <f>IF(OR(D316="Air conditioning",D316="Heat pump (heating &amp; cooling)"),IF(DE_Base_Profile!K11=1,N317,1),1)*IF(OR(D316="Electric heating",D316="Heat pump (heating &amp; cooling)"),IF(DE_Base_Profile!L11=1,P317,1),1)</f>
        <v>1</v>
      </c>
      <c r="E338">
        <f t="shared" si="22"/>
        <v>0.0252</v>
      </c>
      <c r="F338">
        <f t="shared" si="23"/>
        <v>0.0285620633234545</v>
      </c>
      <c r="G338">
        <f>((L316+D317)/365)*F338</f>
        <v>0.383435918588841</v>
      </c>
      <c r="H338">
        <f>INDEX(DE_Base_Profile!$N$6:$Q$29,ROW()-332,MATCH(J316,DE_Base_Profile!$N$5:$Q$5,0))</f>
        <v>0.125</v>
      </c>
      <c r="I338">
        <f>(F317/365)*H338</f>
        <v>0</v>
      </c>
      <c r="J338">
        <f>(G338+I338)/(H317/365)</f>
        <v>0.0285620633234545</v>
      </c>
    </row>
    <row r="339" spans="1:10">
      <c r="A339">
        <f>DE_Base_Profile!H12</f>
        <v>6</v>
      </c>
      <c r="B339">
        <f>DE_Base_Profile!I12</f>
        <v>0.03</v>
      </c>
      <c r="C339">
        <f>IF(DE_Base_Profile!J12=1,INDEX(DE_Lookups!$B$2:$B$4,MATCH(B316,DE_Lookups!$A$2:$A$4,0)),1)</f>
        <v>1</v>
      </c>
      <c r="D339">
        <f>IF(OR(D316="Air conditioning",D316="Heat pump (heating &amp; cooling)"),IF(DE_Base_Profile!K12=1,N317,1),1)*IF(OR(D316="Electric heating",D316="Heat pump (heating &amp; cooling)"),IF(DE_Base_Profile!L12=1,P317,1),1)</f>
        <v>1.08</v>
      </c>
      <c r="E339">
        <f t="shared" si="22"/>
        <v>0.0324</v>
      </c>
      <c r="F339">
        <f t="shared" si="23"/>
        <v>0.0367226528444415</v>
      </c>
      <c r="G339">
        <f>((L316+D317)/365)*F339</f>
        <v>0.492989038185653</v>
      </c>
      <c r="H339">
        <f>INDEX(DE_Base_Profile!$N$6:$Q$29,ROW()-332,MATCH(J316,DE_Base_Profile!$N$5:$Q$5,0))</f>
        <v>0</v>
      </c>
      <c r="I339">
        <f>(F317/365)*H339</f>
        <v>0</v>
      </c>
      <c r="J339">
        <f>(G339+I339)/(H317/365)</f>
        <v>0.0367226528444415</v>
      </c>
    </row>
    <row r="340" spans="1:10">
      <c r="A340">
        <f>DE_Base_Profile!H13</f>
        <v>7</v>
      </c>
      <c r="B340">
        <f>DE_Base_Profile!I13</f>
        <v>0.0358</v>
      </c>
      <c r="C340">
        <f>IF(DE_Base_Profile!J13=1,INDEX(DE_Lookups!$B$2:$B$4,MATCH(B316,DE_Lookups!$A$2:$A$4,0)),1)</f>
        <v>1</v>
      </c>
      <c r="D340">
        <f>IF(OR(D316="Air conditioning",D316="Heat pump (heating &amp; cooling)"),IF(DE_Base_Profile!K13=1,N317,1),1)*IF(OR(D316="Electric heating",D316="Heat pump (heating &amp; cooling)"),IF(DE_Base_Profile!L13=1,P317,1),1)</f>
        <v>1.08</v>
      </c>
      <c r="E340">
        <f t="shared" si="22"/>
        <v>0.038664</v>
      </c>
      <c r="F340">
        <f t="shared" si="23"/>
        <v>0.0438223657277002</v>
      </c>
      <c r="G340">
        <f>((L316+D317)/365)*F340</f>
        <v>0.588300252234879</v>
      </c>
      <c r="H340">
        <f>INDEX(DE_Base_Profile!$N$6:$Q$29,ROW()-332,MATCH(J316,DE_Base_Profile!$N$5:$Q$5,0))</f>
        <v>0</v>
      </c>
      <c r="I340">
        <f>(F317/365)*H340</f>
        <v>0</v>
      </c>
      <c r="J340">
        <f>(G340+I340)/(H317/365)</f>
        <v>0.0438223657277002</v>
      </c>
    </row>
    <row r="341" spans="1:10">
      <c r="A341">
        <f>DE_Base_Profile!H14</f>
        <v>8</v>
      </c>
      <c r="B341">
        <f>DE_Base_Profile!I14</f>
        <v>0.041</v>
      </c>
      <c r="C341">
        <f>IF(DE_Base_Profile!J14=1,INDEX(DE_Lookups!$B$2:$B$4,MATCH(B316,DE_Lookups!$A$2:$A$4,0)),1)</f>
        <v>1</v>
      </c>
      <c r="D341">
        <f>IF(OR(D316="Air conditioning",D316="Heat pump (heating &amp; cooling)"),IF(DE_Base_Profile!K14=1,N317,1),1)*IF(OR(D316="Electric heating",D316="Heat pump (heating &amp; cooling)"),IF(DE_Base_Profile!L14=1,P317,1),1)</f>
        <v>1.08</v>
      </c>
      <c r="E341">
        <f t="shared" si="22"/>
        <v>0.04428</v>
      </c>
      <c r="F341">
        <f t="shared" si="23"/>
        <v>0.05018762555407</v>
      </c>
      <c r="G341">
        <f>((L316+D317)/365)*F341</f>
        <v>0.673751685520392</v>
      </c>
      <c r="H341">
        <f>INDEX(DE_Base_Profile!$N$6:$Q$29,ROW()-332,MATCH(J316,DE_Base_Profile!$N$5:$Q$5,0))</f>
        <v>0</v>
      </c>
      <c r="I341">
        <f>(F317/365)*H341</f>
        <v>0</v>
      </c>
      <c r="J341">
        <f>(G341+I341)/(H317/365)</f>
        <v>0.05018762555407</v>
      </c>
    </row>
    <row r="342" spans="1:10">
      <c r="A342">
        <f>DE_Base_Profile!H15</f>
        <v>9</v>
      </c>
      <c r="B342">
        <f>DE_Base_Profile!I15</f>
        <v>0.0446</v>
      </c>
      <c r="C342">
        <f>IF(DE_Base_Profile!J15=1,INDEX(DE_Lookups!$B$2:$B$4,MATCH(B316,DE_Lookups!$A$2:$A$4,0)),1)</f>
        <v>0.6</v>
      </c>
      <c r="D342">
        <f>IF(OR(D316="Air conditioning",D316="Heat pump (heating &amp; cooling)"),IF(DE_Base_Profile!K15=1,N317,1),1)*IF(OR(D316="Electric heating",D316="Heat pump (heating &amp; cooling)"),IF(DE_Base_Profile!L15=1,P317,1),1)</f>
        <v>1.08</v>
      </c>
      <c r="E342">
        <f t="shared" si="22"/>
        <v>0.0289008</v>
      </c>
      <c r="F342">
        <f t="shared" si="23"/>
        <v>0.0327566063372418</v>
      </c>
      <c r="G342">
        <f>((L316+D317)/365)*F342</f>
        <v>0.439746222061602</v>
      </c>
      <c r="H342">
        <f>INDEX(DE_Base_Profile!$N$6:$Q$29,ROW()-332,MATCH(J316,DE_Base_Profile!$N$5:$Q$5,0))</f>
        <v>0</v>
      </c>
      <c r="I342">
        <f>(F317/365)*H342</f>
        <v>0</v>
      </c>
      <c r="J342">
        <f>(G342+I342)/(H317/365)</f>
        <v>0.0327566063372418</v>
      </c>
    </row>
    <row r="343" spans="1:10">
      <c r="A343">
        <f>DE_Base_Profile!H16</f>
        <v>10</v>
      </c>
      <c r="B343">
        <f>DE_Base_Profile!I16</f>
        <v>0.0474</v>
      </c>
      <c r="C343">
        <f>IF(DE_Base_Profile!J16=1,INDEX(DE_Lookups!$B$2:$B$4,MATCH(B316,DE_Lookups!$A$2:$A$4,0)),1)</f>
        <v>0.6</v>
      </c>
      <c r="D343">
        <f>IF(OR(D316="Air conditioning",D316="Heat pump (heating &amp; cooling)"),IF(DE_Base_Profile!K16=1,N317,1),1)*IF(OR(D316="Electric heating",D316="Heat pump (heating &amp; cooling)"),IF(DE_Base_Profile!L16=1,P317,1),1)</f>
        <v>1</v>
      </c>
      <c r="E343">
        <f t="shared" si="22"/>
        <v>0.02844</v>
      </c>
      <c r="F343">
        <f t="shared" si="23"/>
        <v>0.0322343286078986</v>
      </c>
      <c r="G343">
        <f>((L316+D317)/365)*F343</f>
        <v>0.432734822407406</v>
      </c>
      <c r="H343">
        <f>INDEX(DE_Base_Profile!$N$6:$Q$29,ROW()-332,MATCH(J316,DE_Base_Profile!$N$5:$Q$5,0))</f>
        <v>0</v>
      </c>
      <c r="I343">
        <f>(F317/365)*H343</f>
        <v>0</v>
      </c>
      <c r="J343">
        <f>(G343+I343)/(H317/365)</f>
        <v>0.0322343286078986</v>
      </c>
    </row>
    <row r="344" spans="1:10">
      <c r="A344">
        <f>DE_Base_Profile!H17</f>
        <v>11</v>
      </c>
      <c r="B344">
        <f>DE_Base_Profile!I17</f>
        <v>0.0518</v>
      </c>
      <c r="C344">
        <f>IF(DE_Base_Profile!J17=1,INDEX(DE_Lookups!$B$2:$B$4,MATCH(B316,DE_Lookups!$A$2:$A$4,0)),1)</f>
        <v>0.6</v>
      </c>
      <c r="D344">
        <f>IF(OR(D316="Air conditioning",D316="Heat pump (heating &amp; cooling)"),IF(DE_Base_Profile!K17=1,N317,1),1)*IF(OR(D316="Electric heating",D316="Heat pump (heating &amp; cooling)"),IF(DE_Base_Profile!L17=1,P317,1),1)</f>
        <v>1</v>
      </c>
      <c r="E344">
        <f t="shared" si="22"/>
        <v>0.03108</v>
      </c>
      <c r="F344">
        <f t="shared" si="23"/>
        <v>0.0352265447655939</v>
      </c>
      <c r="G344">
        <f>((L316+D317)/365)*F344</f>
        <v>0.472904299592904</v>
      </c>
      <c r="H344">
        <f>INDEX(DE_Base_Profile!$N$6:$Q$29,ROW()-332,MATCH(J316,DE_Base_Profile!$N$5:$Q$5,0))</f>
        <v>0</v>
      </c>
      <c r="I344">
        <f>(F317/365)*H344</f>
        <v>0</v>
      </c>
      <c r="J344">
        <f>(G344+I344)/(H317/365)</f>
        <v>0.0352265447655939</v>
      </c>
    </row>
    <row r="345" spans="1:10">
      <c r="A345">
        <f>DE_Base_Profile!H18</f>
        <v>12</v>
      </c>
      <c r="B345">
        <f>DE_Base_Profile!I18</f>
        <v>0.0513</v>
      </c>
      <c r="C345">
        <f>IF(DE_Base_Profile!J18=1,INDEX(DE_Lookups!$B$2:$B$4,MATCH(B316,DE_Lookups!$A$2:$A$4,0)),1)</f>
        <v>0.6</v>
      </c>
      <c r="D345">
        <f>IF(OR(D316="Air conditioning",D316="Heat pump (heating &amp; cooling)"),IF(DE_Base_Profile!K18=1,N317,1),1)*IF(OR(D316="Electric heating",D316="Heat pump (heating &amp; cooling)"),IF(DE_Base_Profile!L18=1,P317,1),1)</f>
        <v>1</v>
      </c>
      <c r="E345">
        <f t="shared" si="22"/>
        <v>0.03078</v>
      </c>
      <c r="F345">
        <f t="shared" si="23"/>
        <v>0.0348865202022194</v>
      </c>
      <c r="G345">
        <f>((L316+D317)/365)*F345</f>
        <v>0.46833958627637</v>
      </c>
      <c r="H345">
        <f>INDEX(DE_Base_Profile!$N$6:$Q$29,ROW()-332,MATCH(J316,DE_Base_Profile!$N$5:$Q$5,0))</f>
        <v>0</v>
      </c>
      <c r="I345">
        <f>(F317/365)*H345</f>
        <v>0</v>
      </c>
      <c r="J345">
        <f>(G345+I345)/(H317/365)</f>
        <v>0.0348865202022194</v>
      </c>
    </row>
    <row r="346" spans="1:10">
      <c r="A346">
        <f>DE_Base_Profile!H19</f>
        <v>13</v>
      </c>
      <c r="B346">
        <f>DE_Base_Profile!I19</f>
        <v>0.0481</v>
      </c>
      <c r="C346">
        <f>IF(DE_Base_Profile!J19=1,INDEX(DE_Lookups!$B$2:$B$4,MATCH(B316,DE_Lookups!$A$2:$A$4,0)),1)</f>
        <v>0.6</v>
      </c>
      <c r="D346">
        <f>IF(OR(D316="Air conditioning",D316="Heat pump (heating &amp; cooling)"),IF(DE_Base_Profile!K19=1,N317,1),1)*IF(OR(D316="Electric heating",D316="Heat pump (heating &amp; cooling)"),IF(DE_Base_Profile!L19=1,P317,1),1)</f>
        <v>1</v>
      </c>
      <c r="E346">
        <f t="shared" si="22"/>
        <v>0.02886</v>
      </c>
      <c r="F346">
        <f t="shared" si="23"/>
        <v>0.0327103629966229</v>
      </c>
      <c r="G346">
        <f>((L316+D317)/365)*F346</f>
        <v>0.439125421050554</v>
      </c>
      <c r="H346">
        <f>INDEX(DE_Base_Profile!$N$6:$Q$29,ROW()-332,MATCH(J316,DE_Base_Profile!$N$5:$Q$5,0))</f>
        <v>0</v>
      </c>
      <c r="I346">
        <f>(F317/365)*H346</f>
        <v>0</v>
      </c>
      <c r="J346">
        <f>(G346+I346)/(H317/365)</f>
        <v>0.0327103629966229</v>
      </c>
    </row>
    <row r="347" spans="1:10">
      <c r="A347">
        <f>DE_Base_Profile!H20</f>
        <v>14</v>
      </c>
      <c r="B347">
        <f>DE_Base_Profile!I20</f>
        <v>0.0459</v>
      </c>
      <c r="C347">
        <f>IF(DE_Base_Profile!J20=1,INDEX(DE_Lookups!$B$2:$B$4,MATCH(B316,DE_Lookups!$A$2:$A$4,0)),1)</f>
        <v>0.6</v>
      </c>
      <c r="D347">
        <f>IF(OR(D316="Air conditioning",D316="Heat pump (heating &amp; cooling)"),IF(DE_Base_Profile!K20=1,N317,1),1)*IF(OR(D316="Electric heating",D316="Heat pump (heating &amp; cooling)"),IF(DE_Base_Profile!L20=1,P317,1),1)</f>
        <v>1.1</v>
      </c>
      <c r="E347">
        <f t="shared" si="22"/>
        <v>0.030294</v>
      </c>
      <c r="F347">
        <f t="shared" si="23"/>
        <v>0.0343356804095528</v>
      </c>
      <c r="G347">
        <f>((L316+D317)/365)*F347</f>
        <v>0.460944750703585</v>
      </c>
      <c r="H347">
        <f>INDEX(DE_Base_Profile!$N$6:$Q$29,ROW()-332,MATCH(J316,DE_Base_Profile!$N$5:$Q$5,0))</f>
        <v>0</v>
      </c>
      <c r="I347">
        <f>(F317/365)*H347</f>
        <v>0</v>
      </c>
      <c r="J347">
        <f>(G347+I347)/(H317/365)</f>
        <v>0.0343356804095528</v>
      </c>
    </row>
    <row r="348" spans="1:10">
      <c r="A348">
        <f>DE_Base_Profile!H21</f>
        <v>15</v>
      </c>
      <c r="B348">
        <f>DE_Base_Profile!I21</f>
        <v>0.0454</v>
      </c>
      <c r="C348">
        <f>IF(DE_Base_Profile!J21=1,INDEX(DE_Lookups!$B$2:$B$4,MATCH(B316,DE_Lookups!$A$2:$A$4,0)),1)</f>
        <v>0.6</v>
      </c>
      <c r="D348">
        <f>IF(OR(D316="Air conditioning",D316="Heat pump (heating &amp; cooling)"),IF(DE_Base_Profile!K21=1,N317,1),1)*IF(OR(D316="Electric heating",D316="Heat pump (heating &amp; cooling)"),IF(DE_Base_Profile!L21=1,P317,1),1)</f>
        <v>1.1</v>
      </c>
      <c r="E348">
        <f t="shared" si="22"/>
        <v>0.029964</v>
      </c>
      <c r="F348">
        <f t="shared" si="23"/>
        <v>0.0339616533898409</v>
      </c>
      <c r="G348">
        <f>((L316+D317)/365)*F348</f>
        <v>0.455923566055398</v>
      </c>
      <c r="H348">
        <f>INDEX(DE_Base_Profile!$N$6:$Q$29,ROW()-332,MATCH(J316,DE_Base_Profile!$N$5:$Q$5,0))</f>
        <v>0</v>
      </c>
      <c r="I348">
        <f>(F317/365)*H348</f>
        <v>0</v>
      </c>
      <c r="J348">
        <f>(G348+I348)/(H317/365)</f>
        <v>0.0339616533898409</v>
      </c>
    </row>
    <row r="349" spans="1:10">
      <c r="A349">
        <f>DE_Base_Profile!H22</f>
        <v>16</v>
      </c>
      <c r="B349">
        <f>DE_Base_Profile!I22</f>
        <v>0.0475</v>
      </c>
      <c r="C349">
        <f>IF(DE_Base_Profile!J22=1,INDEX(DE_Lookups!$B$2:$B$4,MATCH(B316,DE_Lookups!$A$2:$A$4,0)),1)</f>
        <v>0.6</v>
      </c>
      <c r="D349">
        <f>IF(OR(D316="Air conditioning",D316="Heat pump (heating &amp; cooling)"),IF(DE_Base_Profile!K22=1,N317,1),1)*IF(OR(D316="Electric heating",D316="Heat pump (heating &amp; cooling)"),IF(DE_Base_Profile!L22=1,P317,1),1)</f>
        <v>1.1</v>
      </c>
      <c r="E349">
        <f t="shared" si="22"/>
        <v>0.03135</v>
      </c>
      <c r="F349">
        <f t="shared" si="23"/>
        <v>0.0355325668726309</v>
      </c>
      <c r="G349">
        <f>((L316+D317)/365)*F349</f>
        <v>0.477012541577784</v>
      </c>
      <c r="H349">
        <f>INDEX(DE_Base_Profile!$N$6:$Q$29,ROW()-332,MATCH(J316,DE_Base_Profile!$N$5:$Q$5,0))</f>
        <v>0</v>
      </c>
      <c r="I349">
        <f>(F317/365)*H349</f>
        <v>0</v>
      </c>
      <c r="J349">
        <f>(G349+I349)/(H317/365)</f>
        <v>0.0355325668726309</v>
      </c>
    </row>
    <row r="350" spans="1:10">
      <c r="A350">
        <f>DE_Base_Profile!H23</f>
        <v>17</v>
      </c>
      <c r="B350">
        <f>DE_Base_Profile!I23</f>
        <v>0.0535</v>
      </c>
      <c r="C350">
        <f>IF(DE_Base_Profile!J23=1,INDEX(DE_Lookups!$B$2:$B$4,MATCH(B316,DE_Lookups!$A$2:$A$4,0)),1)</f>
        <v>0.6</v>
      </c>
      <c r="D350">
        <f>IF(OR(D316="Air conditioning",D316="Heat pump (heating &amp; cooling)"),IF(DE_Base_Profile!K23=1,N317,1),1)*IF(OR(D316="Electric heating",D316="Heat pump (heating &amp; cooling)"),IF(DE_Base_Profile!L23=1,P317,1),1)</f>
        <v>1.1</v>
      </c>
      <c r="E350">
        <f t="shared" si="22"/>
        <v>0.03531</v>
      </c>
      <c r="F350">
        <f t="shared" si="23"/>
        <v>0.0400208911091737</v>
      </c>
      <c r="G350">
        <f>((L316+D317)/365)*F350</f>
        <v>0.537266757356031</v>
      </c>
      <c r="H350">
        <f>INDEX(DE_Base_Profile!$N$6:$Q$29,ROW()-332,MATCH(J316,DE_Base_Profile!$N$5:$Q$5,0))</f>
        <v>0</v>
      </c>
      <c r="I350">
        <f>(F317/365)*H350</f>
        <v>0</v>
      </c>
      <c r="J350">
        <f>(G350+I350)/(H317/365)</f>
        <v>0.0400208911091737</v>
      </c>
    </row>
    <row r="351" spans="1:10">
      <c r="A351">
        <f>DE_Base_Profile!H24</f>
        <v>18</v>
      </c>
      <c r="B351">
        <f>DE_Base_Profile!I24</f>
        <v>0.0587</v>
      </c>
      <c r="C351">
        <f>IF(DE_Base_Profile!J24=1,INDEX(DE_Lookups!$B$2:$B$4,MATCH(B316,DE_Lookups!$A$2:$A$4,0)),1)</f>
        <v>1</v>
      </c>
      <c r="D351">
        <f>IF(OR(D316="Air conditioning",D316="Heat pump (heating &amp; cooling)"),IF(DE_Base_Profile!K24=1,N317,1),1)*IF(OR(D316="Electric heating",D316="Heat pump (heating &amp; cooling)"),IF(DE_Base_Profile!L24=1,P317,1),1)</f>
        <v>1.188</v>
      </c>
      <c r="E351">
        <f t="shared" si="22"/>
        <v>0.0697356</v>
      </c>
      <c r="F351">
        <f t="shared" si="23"/>
        <v>0.0790393898055196</v>
      </c>
      <c r="G351">
        <f>((L316+D317)/365)*F351</f>
        <v>1.06107673985492</v>
      </c>
      <c r="H351">
        <f>INDEX(DE_Base_Profile!$N$6:$Q$29,ROW()-332,MATCH(J316,DE_Base_Profile!$N$5:$Q$5,0))</f>
        <v>0</v>
      </c>
      <c r="I351">
        <f>(F317/365)*H351</f>
        <v>0</v>
      </c>
      <c r="J351">
        <f>(G351+I351)/(H317/365)</f>
        <v>0.0790393898055196</v>
      </c>
    </row>
    <row r="352" spans="1:10">
      <c r="A352">
        <f>DE_Base_Profile!H25</f>
        <v>19</v>
      </c>
      <c r="B352">
        <f>DE_Base_Profile!I25</f>
        <v>0.0591</v>
      </c>
      <c r="C352">
        <f>IF(DE_Base_Profile!J25=1,INDEX(DE_Lookups!$B$2:$B$4,MATCH(B316,DE_Lookups!$A$2:$A$4,0)),1)</f>
        <v>1</v>
      </c>
      <c r="D352">
        <f>IF(OR(D316="Air conditioning",D316="Heat pump (heating &amp; cooling)"),IF(DE_Base_Profile!K25=1,N317,1),1)*IF(OR(D316="Electric heating",D316="Heat pump (heating &amp; cooling)"),IF(DE_Base_Profile!L25=1,P317,1),1)</f>
        <v>1.188</v>
      </c>
      <c r="E352">
        <f t="shared" si="22"/>
        <v>0.0702108</v>
      </c>
      <c r="F352">
        <f t="shared" si="23"/>
        <v>0.0795779887139047</v>
      </c>
      <c r="G352">
        <f>((L316+D317)/365)*F352</f>
        <v>1.06830724574831</v>
      </c>
      <c r="H352">
        <f>INDEX(DE_Base_Profile!$N$6:$Q$29,ROW()-332,MATCH(J316,DE_Base_Profile!$N$5:$Q$5,0))</f>
        <v>0</v>
      </c>
      <c r="I352">
        <f>(F317/365)*H352</f>
        <v>0</v>
      </c>
      <c r="J352">
        <f>(G352+I352)/(H317/365)</f>
        <v>0.0795779887139047</v>
      </c>
    </row>
    <row r="353" spans="1:16">
      <c r="A353">
        <f>DE_Base_Profile!H26</f>
        <v>20</v>
      </c>
      <c r="B353">
        <f>DE_Base_Profile!I26</f>
        <v>0.0556</v>
      </c>
      <c r="C353">
        <f>IF(DE_Base_Profile!J26=1,INDEX(DE_Lookups!$B$2:$B$4,MATCH(B316,DE_Lookups!$A$2:$A$4,0)),1)</f>
        <v>1</v>
      </c>
      <c r="D353">
        <f>IF(OR(D316="Air conditioning",D316="Heat pump (heating &amp; cooling)"),IF(DE_Base_Profile!K26=1,N317,1),1)*IF(OR(D316="Electric heating",D316="Heat pump (heating &amp; cooling)"),IF(DE_Base_Profile!L26=1,P317,1),1)</f>
        <v>1.08</v>
      </c>
      <c r="E353">
        <f t="shared" si="22"/>
        <v>0.060048</v>
      </c>
      <c r="F353">
        <f t="shared" si="23"/>
        <v>0.0680593166050315</v>
      </c>
      <c r="G353">
        <f>((L316+D317)/365)*F353</f>
        <v>0.91367301743741</v>
      </c>
      <c r="H353">
        <f>INDEX(DE_Base_Profile!$N$6:$Q$29,ROW()-332,MATCH(J316,DE_Base_Profile!$N$5:$Q$5,0))</f>
        <v>0</v>
      </c>
      <c r="I353">
        <f>(F317/365)*H353</f>
        <v>0</v>
      </c>
      <c r="J353">
        <f>(G353+I353)/(H317/365)</f>
        <v>0.0680593166050315</v>
      </c>
    </row>
    <row r="354" spans="1:16">
      <c r="A354">
        <f>DE_Base_Profile!H27</f>
        <v>21</v>
      </c>
      <c r="B354">
        <f>DE_Base_Profile!I27</f>
        <v>0.0508</v>
      </c>
      <c r="C354">
        <f>IF(DE_Base_Profile!J27=1,INDEX(DE_Lookups!$B$2:$B$4,MATCH(B316,DE_Lookups!$A$2:$A$4,0)),1)</f>
        <v>1</v>
      </c>
      <c r="D354">
        <f>IF(OR(D316="Air conditioning",D316="Heat pump (heating &amp; cooling)"),IF(DE_Base_Profile!K27=1,N317,1),1)*IF(OR(D316="Electric heating",D316="Heat pump (heating &amp; cooling)"),IF(DE_Base_Profile!L27=1,P317,1),1)</f>
        <v>1.08</v>
      </c>
      <c r="E354">
        <f t="shared" si="22"/>
        <v>0.054864</v>
      </c>
      <c r="F354">
        <f t="shared" si="23"/>
        <v>0.0621836921499209</v>
      </c>
      <c r="G354">
        <f>((L316+D317)/365)*F354</f>
        <v>0.834794771327706</v>
      </c>
      <c r="H354">
        <f>INDEX(DE_Base_Profile!$N$6:$Q$29,ROW()-332,MATCH(J316,DE_Base_Profile!$N$5:$Q$5,0))</f>
        <v>0</v>
      </c>
      <c r="I354">
        <f>(F317/365)*H354</f>
        <v>0</v>
      </c>
      <c r="J354">
        <f>(G354+I354)/(H317/365)</f>
        <v>0.0621836921499209</v>
      </c>
    </row>
    <row r="355" spans="1:16">
      <c r="A355">
        <f>DE_Base_Profile!H28</f>
        <v>22</v>
      </c>
      <c r="B355">
        <f>DE_Base_Profile!I28</f>
        <v>0.0451</v>
      </c>
      <c r="C355">
        <f>IF(DE_Base_Profile!J28=1,INDEX(DE_Lookups!$B$2:$B$4,MATCH(B316,DE_Lookups!$A$2:$A$4,0)),1)</f>
        <v>1</v>
      </c>
      <c r="D355">
        <f>IF(OR(D316="Air conditioning",D316="Heat pump (heating &amp; cooling)"),IF(DE_Base_Profile!K28=1,N317,1),1)*IF(OR(D316="Electric heating",D316="Heat pump (heating &amp; cooling)"),IF(DE_Base_Profile!L28=1,P317,1),1)</f>
        <v>1.08</v>
      </c>
      <c r="E355">
        <f t="shared" si="22"/>
        <v>0.048708</v>
      </c>
      <c r="F355">
        <f t="shared" si="23"/>
        <v>0.055206388109477</v>
      </c>
      <c r="G355">
        <f>((L316+D317)/365)*F355</f>
        <v>0.741126854072432</v>
      </c>
      <c r="H355">
        <f>INDEX(DE_Base_Profile!$N$6:$Q$29,ROW()-332,MATCH(J316,DE_Base_Profile!$N$5:$Q$5,0))</f>
        <v>0.125</v>
      </c>
      <c r="I355">
        <f>(F317/365)*H355</f>
        <v>0</v>
      </c>
      <c r="J355">
        <f>(G355+I355)/(H317/365)</f>
        <v>0.055206388109477</v>
      </c>
    </row>
    <row r="356" spans="1:16">
      <c r="A356">
        <f>DE_Base_Profile!H29</f>
        <v>23</v>
      </c>
      <c r="B356">
        <f>DE_Base_Profile!I29</f>
        <v>0.0366</v>
      </c>
      <c r="C356">
        <f>IF(DE_Base_Profile!J29=1,INDEX(DE_Lookups!$B$2:$B$4,MATCH(B316,DE_Lookups!$A$2:$A$4,0)),1)</f>
        <v>1</v>
      </c>
      <c r="D356">
        <f>IF(OR(D316="Air conditioning",D316="Heat pump (heating &amp; cooling)"),IF(DE_Base_Profile!K29=1,N317,1),1)*IF(OR(D316="Electric heating",D316="Heat pump (heating &amp; cooling)"),IF(DE_Base_Profile!L29=1,P317,1),1)</f>
        <v>1</v>
      </c>
      <c r="E356">
        <f t="shared" si="22"/>
        <v>0.0366</v>
      </c>
      <c r="F356">
        <f t="shared" si="23"/>
        <v>0.0414829967316839</v>
      </c>
      <c r="G356">
        <f>((L316+D317)/365)*F356</f>
        <v>0.556895024617126</v>
      </c>
      <c r="H356">
        <f>INDEX(DE_Base_Profile!$N$6:$Q$29,ROW()-332,MATCH(J316,DE_Base_Profile!$N$5:$Q$5,0))</f>
        <v>0.125</v>
      </c>
      <c r="I356">
        <f>(F317/365)*H356</f>
        <v>0</v>
      </c>
      <c r="J356">
        <f>(G356+I356)/(H317/365)</f>
        <v>0.0414829967316839</v>
      </c>
    </row>
    <row r="361" spans="1:16">
      <c r="A361" t="s">
        <v>51</v>
      </c>
      <c r="B361" t="str">
        <f>DE_Option_Monthly!C12</f>
        <v>Mostly away during the day</v>
      </c>
      <c r="C361" t="s">
        <v>188</v>
      </c>
      <c r="D361" t="str">
        <f>DE_Option_Monthly!D12</f>
        <v>Heat pump (heating &amp; cooling)</v>
      </c>
      <c r="E361" t="s">
        <v>68</v>
      </c>
      <c r="F361" t="str">
        <f>DE_Option_Monthly!E12</f>
        <v>Medium</v>
      </c>
      <c r="G361" t="s">
        <v>98</v>
      </c>
      <c r="H361" t="str">
        <f>DE_Option_Monthly!F12</f>
        <v>No electric vehicle</v>
      </c>
      <c r="I361" t="s">
        <v>289</v>
      </c>
      <c r="J361" t="str">
        <f>DE_Option_Monthly!G12</f>
        <v>Mostly overnight</v>
      </c>
      <c r="K361" t="s">
        <v>290</v>
      </c>
      <c r="L361">
        <f>DE_Option_Monthly!$B$1</f>
        <v>3500</v>
      </c>
    </row>
    <row r="362" spans="1:16">
      <c r="A362" t="s">
        <v>291</v>
      </c>
      <c r="B362">
        <f>INDEX(DE_Lookups!$E$2:$E$5,MATCH(F361,DE_Lookups!$D$2:$D$5,0))</f>
        <v>1</v>
      </c>
      <c r="C362" t="s">
        <v>292</v>
      </c>
      <c r="D362">
        <f>IF(OR(D361="Electric heating",D361="Heat pump (heating &amp; cooling)"),INDEX(DE_Lookups!$L$2:$L$5,MATCH(D361,DE_Lookups!$K$2:$K$5,0))*B362,0)</f>
        <v>2000</v>
      </c>
      <c r="E362" t="s">
        <v>293</v>
      </c>
      <c r="F362">
        <f>INDEX(DE_Lookups!$O$2:$O$7,MATCH(H361,DE_Lookups!$N$2:$N$7,0))*0.18</f>
        <v>0</v>
      </c>
      <c r="G362" t="s">
        <v>294</v>
      </c>
      <c r="H362">
        <f>L361+D362+F362</f>
        <v>5500</v>
      </c>
      <c r="I362" t="s">
        <v>295</v>
      </c>
      <c r="J362">
        <f>INDEX(DE_Lookups!$F$2:$F$5,MATCH(F361,DE_Lookups!$D$2:$D$5,0))</f>
        <v>1.1</v>
      </c>
      <c r="K362" t="s">
        <v>296</v>
      </c>
      <c r="L362">
        <f>INDEX(DE_Lookups!$G$2:$G$5,MATCH(F361,DE_Lookups!$D$2:$D$5,0))</f>
        <v>1.15</v>
      </c>
      <c r="M362" t="s">
        <v>297</v>
      </c>
      <c r="N362">
        <f>INDEX(DE_Lookups!$H$2:$H$5,MATCH(F361,DE_Lookups!$D$2:$D$5,0))</f>
        <v>1.2</v>
      </c>
      <c r="O362" t="s">
        <v>298</v>
      </c>
      <c r="P362">
        <f>INDEX(DE_Lookups!$I$2:$I$5,MATCH(F361,DE_Lookups!$D$2:$D$5,0))</f>
        <v>1.15</v>
      </c>
    </row>
    <row r="364" spans="1:16">
      <c r="A364" t="str">
        <f>DE_Base_Profile!A6</f>
        <v>1月</v>
      </c>
      <c r="B364">
        <f>DE_Base_Profile!B6</f>
        <v>0.0789</v>
      </c>
      <c r="C364">
        <f>L361*B364</f>
        <v>276.15</v>
      </c>
      <c r="D364">
        <f>1+IF(OR(D361="Air conditioning",D361="Heat pump (heating &amp; cooling)"),IF(DE_Base_Profile!D6=1,J362-1,0),0)+IF(OR(D361="Electric heating",D361="Heat pump (heating &amp; cooling)"),IF(DE_Base_Profile!E6=1,L362-1,0),0)</f>
        <v>1.15</v>
      </c>
      <c r="E364">
        <f t="shared" ref="E364:E375" si="24">C364*D364</f>
        <v>317.5725</v>
      </c>
      <c r="F364">
        <f>IF(D361="Electric heating",IF(DE_Base_Profile!E6=1,B364*L362,0),IF(D361="Heat pump (heating &amp; cooling)",IF(DE_Base_Profile!D6=1,B364*J362,0)+IF(DE_Base_Profile!E6=1,B364*L362,0),0))</f>
        <v>0.090735</v>
      </c>
      <c r="G364">
        <f>IF(SUM($F$364:$F$375)=0,0,D362*F364/SUM($F$364:$F$375))</f>
        <v>192.639222097195</v>
      </c>
      <c r="H364">
        <f>F362/12</f>
        <v>0</v>
      </c>
      <c r="I364">
        <f>E364/SUM($E$364:$E$375)*L361+G364+H364</f>
        <v>478.426464947396</v>
      </c>
      <c r="J364">
        <f>I364/H362</f>
        <v>0.0869866299904356</v>
      </c>
    </row>
    <row r="365" spans="1:16">
      <c r="A365" t="str">
        <f>DE_Base_Profile!A7</f>
        <v>2月</v>
      </c>
      <c r="B365">
        <f>DE_Base_Profile!B7</f>
        <v>0.0791</v>
      </c>
      <c r="C365">
        <f>L361*B365</f>
        <v>276.85</v>
      </c>
      <c r="D365">
        <f>1+IF(OR(D361="Air conditioning",D361="Heat pump (heating &amp; cooling)"),IF(DE_Base_Profile!D7=1,J362-1,0),0)+IF(OR(D361="Electric heating",D361="Heat pump (heating &amp; cooling)"),IF(DE_Base_Profile!E7=1,L362-1,0),0)</f>
        <v>1.15</v>
      </c>
      <c r="E365">
        <f t="shared" si="24"/>
        <v>318.3775</v>
      </c>
      <c r="F365">
        <f>IF(D361="Electric heating",IF(DE_Base_Profile!E7=1,B365*L362,0),IF(D361="Heat pump (heating &amp; cooling)",IF(DE_Base_Profile!D7=1,B365*J362,0)+IF(DE_Base_Profile!E7=1,B365*L362,0),0))</f>
        <v>0.090965</v>
      </c>
      <c r="G365">
        <f>IF(SUM($F$364:$F$375)=0,0,D362*F365/SUM($F$364:$F$375))</f>
        <v>193.127534447252</v>
      </c>
      <c r="H365">
        <f>F362/12</f>
        <v>0</v>
      </c>
      <c r="I365">
        <f>E365/SUM($E$364:$E$375)*L361+G365+H365</f>
        <v>479.63920630341</v>
      </c>
      <c r="J365">
        <f>I365/H362</f>
        <v>0.0872071284188018</v>
      </c>
    </row>
    <row r="366" spans="1:16">
      <c r="A366" t="str">
        <f>DE_Base_Profile!A8</f>
        <v>3月</v>
      </c>
      <c r="B366">
        <f>DE_Base_Profile!B8</f>
        <v>0.0773</v>
      </c>
      <c r="C366">
        <f>L361*B366</f>
        <v>270.55</v>
      </c>
      <c r="D366">
        <f>1+IF(OR(D361="Air conditioning",D361="Heat pump (heating &amp; cooling)"),IF(DE_Base_Profile!D8=1,J362-1,0),0)+IF(OR(D361="Electric heating",D361="Heat pump (heating &amp; cooling)"),IF(DE_Base_Profile!E8=1,L362-1,0),0)</f>
        <v>1.15</v>
      </c>
      <c r="E366">
        <f t="shared" si="24"/>
        <v>311.1325</v>
      </c>
      <c r="F366">
        <f>IF(D361="Electric heating",IF(DE_Base_Profile!E8=1,B366*L362,0),IF(D361="Heat pump (heating &amp; cooling)",IF(DE_Base_Profile!D8=1,B366*J362,0)+IF(DE_Base_Profile!E8=1,B366*L362,0),0))</f>
        <v>0.088895</v>
      </c>
      <c r="G366">
        <f>IF(SUM($F$364:$F$375)=0,0,D362*F366/SUM($F$364:$F$375))</f>
        <v>188.732723296745</v>
      </c>
      <c r="H366">
        <f>F362/12</f>
        <v>0</v>
      </c>
      <c r="I366">
        <f>E366/SUM($E$364:$E$375)*L361+G366+H366</f>
        <v>468.724534099287</v>
      </c>
      <c r="J366">
        <f>I366/H362</f>
        <v>0.0852226425635066</v>
      </c>
    </row>
    <row r="367" spans="1:16">
      <c r="A367" t="str">
        <f>DE_Base_Profile!A9</f>
        <v>4月</v>
      </c>
      <c r="B367">
        <f>DE_Base_Profile!B9</f>
        <v>0.0822</v>
      </c>
      <c r="C367">
        <f>L361*B367</f>
        <v>287.7</v>
      </c>
      <c r="D367">
        <f>1+IF(OR(D361="Air conditioning",D361="Heat pump (heating &amp; cooling)"),IF(DE_Base_Profile!D9=1,J362-1,0),0)+IF(OR(D361="Electric heating",D361="Heat pump (heating &amp; cooling)"),IF(DE_Base_Profile!E9=1,L362-1,0),0)</f>
        <v>1.15</v>
      </c>
      <c r="E367">
        <f t="shared" si="24"/>
        <v>330.855</v>
      </c>
      <c r="F367">
        <f>IF(D361="Electric heating",IF(DE_Base_Profile!E9=1,B367*L362,0),IF(D361="Heat pump (heating &amp; cooling)",IF(DE_Base_Profile!D9=1,B367*J362,0)+IF(DE_Base_Profile!E9=1,B367*L362,0),0))</f>
        <v>0.09453</v>
      </c>
      <c r="G367">
        <f>IF(SUM($F$364:$F$375)=0,0,D362*F367/SUM($F$364:$F$375))</f>
        <v>200.696375873124</v>
      </c>
      <c r="H367">
        <f>F362/12</f>
        <v>0</v>
      </c>
      <c r="I367">
        <f>E367/SUM($E$364:$E$375)*L361+G367+H367</f>
        <v>498.436697321622</v>
      </c>
      <c r="J367">
        <f>I367/H362</f>
        <v>0.0906248540584767</v>
      </c>
    </row>
    <row r="368" spans="1:16">
      <c r="A368" t="str">
        <f>DE_Base_Profile!A10</f>
        <v>5月</v>
      </c>
      <c r="B368">
        <f>DE_Base_Profile!B10</f>
        <v>0.0839</v>
      </c>
      <c r="C368">
        <f>L361*B368</f>
        <v>293.65</v>
      </c>
      <c r="D368">
        <f>1+IF(OR(D361="Air conditioning",D361="Heat pump (heating &amp; cooling)"),IF(DE_Base_Profile!D10=1,J362-1,0),0)+IF(OR(D361="Electric heating",D361="Heat pump (heating &amp; cooling)"),IF(DE_Base_Profile!E10=1,L362-1,0),0)</f>
        <v>1</v>
      </c>
      <c r="E368">
        <f t="shared" si="24"/>
        <v>293.65</v>
      </c>
      <c r="F368">
        <f>IF(D361="Electric heating",IF(DE_Base_Profile!E10=1,B368*L362,0),IF(D361="Heat pump (heating &amp; cooling)",IF(DE_Base_Profile!D10=1,B368*J362,0)+IF(DE_Base_Profile!E10=1,B368*L362,0),0))</f>
        <v>0</v>
      </c>
      <c r="G368">
        <f>IF(SUM($F$364:$F$375)=0,0,D362*F368/SUM($F$364:$F$375))</f>
        <v>0</v>
      </c>
      <c r="H368">
        <f>F362/12</f>
        <v>0</v>
      </c>
      <c r="I368">
        <f>E368/SUM($E$364:$E$375)*L361+G368+H368</f>
        <v>264.259102607944</v>
      </c>
      <c r="J368">
        <f>I368/H362</f>
        <v>0.0480471095650808</v>
      </c>
    </row>
    <row r="369" spans="1:10">
      <c r="A369" t="str">
        <f>DE_Base_Profile!A11</f>
        <v>6月</v>
      </c>
      <c r="B369">
        <f>DE_Base_Profile!B11</f>
        <v>0.0876</v>
      </c>
      <c r="C369">
        <f>L361*B369</f>
        <v>306.6</v>
      </c>
      <c r="D369">
        <f>1+IF(OR(D361="Air conditioning",D361="Heat pump (heating &amp; cooling)"),IF(DE_Base_Profile!D11=1,J362-1,0),0)+IF(OR(D361="Electric heating",D361="Heat pump (heating &amp; cooling)"),IF(DE_Base_Profile!E11=1,L362-1,0),0)</f>
        <v>1.1</v>
      </c>
      <c r="E369">
        <f t="shared" si="24"/>
        <v>337.26</v>
      </c>
      <c r="F369">
        <f>IF(D361="Electric heating",IF(DE_Base_Profile!E11=1,B369*L362,0),IF(D361="Heat pump (heating &amp; cooling)",IF(DE_Base_Profile!D11=1,B369*J362,0)+IF(DE_Base_Profile!E11=1,B369*L362,0),0))</f>
        <v>0.09636</v>
      </c>
      <c r="G369">
        <f>IF(SUM($F$364:$F$375)=0,0,D362*F369/SUM($F$364:$F$375))</f>
        <v>204.581643701832</v>
      </c>
      <c r="H369">
        <f>F362/12</f>
        <v>0</v>
      </c>
      <c r="I369">
        <f>E369/SUM($E$364:$E$375)*L361+G369+H369</f>
        <v>508.085900284687</v>
      </c>
      <c r="J369">
        <f>I369/H362</f>
        <v>0.0923792545972159</v>
      </c>
    </row>
    <row r="370" spans="1:10">
      <c r="A370" t="str">
        <f>DE_Base_Profile!A12</f>
        <v>7月</v>
      </c>
      <c r="B370">
        <f>DE_Base_Profile!B12</f>
        <v>0.0917</v>
      </c>
      <c r="C370">
        <f>L361*B370</f>
        <v>320.95</v>
      </c>
      <c r="D370">
        <f>1+IF(OR(D361="Air conditioning",D361="Heat pump (heating &amp; cooling)"),IF(DE_Base_Profile!D12=1,J362-1,0),0)+IF(OR(D361="Electric heating",D361="Heat pump (heating &amp; cooling)"),IF(DE_Base_Profile!E12=1,L362-1,0),0)</f>
        <v>1.1</v>
      </c>
      <c r="E370">
        <f t="shared" si="24"/>
        <v>353.045</v>
      </c>
      <c r="F370">
        <f>IF(D361="Electric heating",IF(DE_Base_Profile!E12=1,B370*L362,0),IF(D361="Heat pump (heating &amp; cooling)",IF(DE_Base_Profile!D12=1,B370*J362,0)+IF(DE_Base_Profile!E12=1,B370*L362,0),0))</f>
        <v>0.10087</v>
      </c>
      <c r="G370">
        <f>IF(SUM($F$364:$F$375)=0,0,D362*F370/SUM($F$364:$F$375))</f>
        <v>214.156811957283</v>
      </c>
      <c r="H370">
        <f>F362/12</f>
        <v>0</v>
      </c>
      <c r="I370">
        <f>E370/SUM($E$364:$E$375)*L361+G370+H370</f>
        <v>531.866176439564</v>
      </c>
      <c r="J370">
        <f>I370/H362</f>
        <v>0.0967029411708298</v>
      </c>
    </row>
    <row r="371" spans="1:10">
      <c r="A371" t="str">
        <f>DE_Base_Profile!A13</f>
        <v>8月</v>
      </c>
      <c r="B371">
        <f>DE_Base_Profile!B13</f>
        <v>0.0887</v>
      </c>
      <c r="C371">
        <f>L361*B371</f>
        <v>310.45</v>
      </c>
      <c r="D371">
        <f>1+IF(OR(D361="Air conditioning",D361="Heat pump (heating &amp; cooling)"),IF(DE_Base_Profile!D13=1,J362-1,0),0)+IF(OR(D361="Electric heating",D361="Heat pump (heating &amp; cooling)"),IF(DE_Base_Profile!E13=1,L362-1,0),0)</f>
        <v>1.1</v>
      </c>
      <c r="E371">
        <f t="shared" si="24"/>
        <v>341.495</v>
      </c>
      <c r="F371">
        <f>IF(D361="Electric heating",IF(DE_Base_Profile!E13=1,B371*L362,0),IF(D361="Heat pump (heating &amp; cooling)",IF(DE_Base_Profile!D13=1,B371*J362,0)+IF(DE_Base_Profile!E13=1,B371*L362,0),0))</f>
        <v>0.09757</v>
      </c>
      <c r="G371">
        <f>IF(SUM($F$364:$F$375)=0,0,D362*F371/SUM($F$364:$F$375))</f>
        <v>207.150591282563</v>
      </c>
      <c r="H371">
        <f>F362/12</f>
        <v>0</v>
      </c>
      <c r="I371">
        <f>E371/SUM($E$364:$E$375)*L361+G371+H371</f>
        <v>514.46597437502</v>
      </c>
      <c r="J371">
        <f>I371/H362</f>
        <v>0.0935392680681855</v>
      </c>
    </row>
    <row r="372" spans="1:10">
      <c r="A372" t="str">
        <f>DE_Base_Profile!A14</f>
        <v>9月</v>
      </c>
      <c r="B372">
        <f>DE_Base_Profile!B14</f>
        <v>0.0853</v>
      </c>
      <c r="C372">
        <f>L361*B372</f>
        <v>298.55</v>
      </c>
      <c r="D372">
        <f>1+IF(OR(D361="Air conditioning",D361="Heat pump (heating &amp; cooling)"),IF(DE_Base_Profile!D14=1,J362-1,0),0)+IF(OR(D361="Electric heating",D361="Heat pump (heating &amp; cooling)"),IF(DE_Base_Profile!E14=1,L362-1,0),0)</f>
        <v>1</v>
      </c>
      <c r="E372">
        <f t="shared" si="24"/>
        <v>298.55</v>
      </c>
      <c r="F372">
        <f>IF(D361="Electric heating",IF(DE_Base_Profile!E14=1,B372*L362,0),IF(D361="Heat pump (heating &amp; cooling)",IF(DE_Base_Profile!D14=1,B372*J362,0)+IF(DE_Base_Profile!E14=1,B372*L362,0),0))</f>
        <v>0</v>
      </c>
      <c r="G372">
        <f>IF(SUM($F$364:$F$375)=0,0,D362*F372/SUM($F$364:$F$375))</f>
        <v>0</v>
      </c>
      <c r="H372">
        <f>F362/12</f>
        <v>0</v>
      </c>
      <c r="I372">
        <f>E372/SUM($E$364:$E$375)*L361+G372+H372</f>
        <v>268.668670470294</v>
      </c>
      <c r="J372">
        <f>I372/H362</f>
        <v>0.0488488491764171</v>
      </c>
    </row>
    <row r="373" spans="1:10">
      <c r="A373" t="str">
        <f>DE_Base_Profile!A15</f>
        <v>10月</v>
      </c>
      <c r="B373">
        <f>DE_Base_Profile!B15</f>
        <v>0.0838</v>
      </c>
      <c r="C373">
        <f>L361*B373</f>
        <v>293.3</v>
      </c>
      <c r="D373">
        <f>1+IF(OR(D361="Air conditioning",D361="Heat pump (heating &amp; cooling)"),IF(DE_Base_Profile!D15=1,J362-1,0),0)+IF(OR(D361="Electric heating",D361="Heat pump (heating &amp; cooling)"),IF(DE_Base_Profile!E15=1,L362-1,0),0)</f>
        <v>1.15</v>
      </c>
      <c r="E373">
        <f t="shared" si="24"/>
        <v>337.295</v>
      </c>
      <c r="F373">
        <f>IF(D361="Electric heating",IF(DE_Base_Profile!E15=1,B373*L362,0),IF(D361="Heat pump (heating &amp; cooling)",IF(DE_Base_Profile!D15=1,B373*J362,0)+IF(DE_Base_Profile!E15=1,B373*L362,0),0))</f>
        <v>0.09637</v>
      </c>
      <c r="G373">
        <f>IF(SUM($F$364:$F$375)=0,0,D362*F373/SUM($F$364:$F$375))</f>
        <v>204.602874673574</v>
      </c>
      <c r="H373">
        <f>F362/12</f>
        <v>0</v>
      </c>
      <c r="I373">
        <f>E373/SUM($E$364:$E$375)*L361+G373+H373</f>
        <v>508.138628169731</v>
      </c>
      <c r="J373">
        <f>I373/H362</f>
        <v>0.0923888414854057</v>
      </c>
    </row>
    <row r="374" spans="1:10">
      <c r="A374" t="str">
        <f>DE_Base_Profile!A16</f>
        <v>11月</v>
      </c>
      <c r="B374">
        <f>DE_Base_Profile!B16</f>
        <v>0.0819</v>
      </c>
      <c r="C374">
        <f>L361*B374</f>
        <v>286.65</v>
      </c>
      <c r="D374">
        <f>1+IF(OR(D361="Air conditioning",D361="Heat pump (heating &amp; cooling)"),IF(DE_Base_Profile!D16=1,J362-1,0),0)+IF(OR(D361="Electric heating",D361="Heat pump (heating &amp; cooling)"),IF(DE_Base_Profile!E16=1,L362-1,0),0)</f>
        <v>1.15</v>
      </c>
      <c r="E374">
        <f t="shared" si="24"/>
        <v>329.6475</v>
      </c>
      <c r="F374">
        <f>IF(D361="Electric heating",IF(DE_Base_Profile!E16=1,B374*L362,0),IF(D361="Heat pump (heating &amp; cooling)",IF(DE_Base_Profile!D16=1,B374*J362,0)+IF(DE_Base_Profile!E16=1,B374*L362,0),0))</f>
        <v>0.094185</v>
      </c>
      <c r="G374">
        <f>IF(SUM($F$364:$F$375)=0,0,D362*F374/SUM($F$364:$F$375))</f>
        <v>199.963907348039</v>
      </c>
      <c r="H374">
        <f>F362/12</f>
        <v>0</v>
      </c>
      <c r="I374">
        <f>E374/SUM($E$364:$E$375)*L361+G374+H374</f>
        <v>496.617585287601</v>
      </c>
      <c r="J374">
        <f>I374/H362</f>
        <v>0.0902941064159275</v>
      </c>
    </row>
    <row r="375" spans="1:10">
      <c r="A375" t="str">
        <f>DE_Base_Profile!A17</f>
        <v>12月</v>
      </c>
      <c r="B375">
        <f>DE_Base_Profile!B17</f>
        <v>0.0796</v>
      </c>
      <c r="C375">
        <f>L361*B375</f>
        <v>278.6</v>
      </c>
      <c r="D375">
        <f>1+IF(OR(D361="Air conditioning",D361="Heat pump (heating &amp; cooling)"),IF(DE_Base_Profile!D17=1,J362-1,0),0)+IF(OR(D361="Electric heating",D361="Heat pump (heating &amp; cooling)"),IF(DE_Base_Profile!E17=1,L362-1,0),0)</f>
        <v>1.15</v>
      </c>
      <c r="E375">
        <f t="shared" si="24"/>
        <v>320.39</v>
      </c>
      <c r="F375">
        <f>IF(D361="Electric heating",IF(DE_Base_Profile!E17=1,B375*L362,0),IF(D361="Heat pump (heating &amp; cooling)",IF(DE_Base_Profile!D17=1,B375*J362,0)+IF(DE_Base_Profile!E17=1,B375*L362,0),0))</f>
        <v>0.09154</v>
      </c>
      <c r="G375">
        <f>IF(SUM($F$364:$F$375)=0,0,D362*F375/SUM($F$364:$F$375))</f>
        <v>194.348315322392</v>
      </c>
      <c r="H375">
        <f>F362/12</f>
        <v>0</v>
      </c>
      <c r="I375">
        <f>E375/SUM($E$364:$E$375)*L361+G375+H375</f>
        <v>482.671059693444</v>
      </c>
      <c r="J375">
        <f>I375/H362</f>
        <v>0.0877583744897171</v>
      </c>
    </row>
    <row r="378" spans="1:10">
      <c r="A378">
        <f>DE_Base_Profile!H6</f>
        <v>0</v>
      </c>
      <c r="B378">
        <f>DE_Base_Profile!I6</f>
        <v>0.0301</v>
      </c>
      <c r="C378">
        <f>IF(DE_Base_Profile!J6=1,INDEX(DE_Lookups!$B$2:$B$4,MATCH(B361,DE_Lookups!$A$2:$A$4,0)),1)</f>
        <v>1</v>
      </c>
      <c r="D378">
        <f>IF(OR(D361="Air conditioning",D361="Heat pump (heating &amp; cooling)"),IF(DE_Base_Profile!K6=1,N362,1),1)*IF(OR(D361="Electric heating",D361="Heat pump (heating &amp; cooling)"),IF(DE_Base_Profile!L6=1,P362,1),1)</f>
        <v>1</v>
      </c>
      <c r="E378">
        <f t="shared" ref="E378:E401" si="25">B378*C378*D378</f>
        <v>0.0301</v>
      </c>
      <c r="F378">
        <f t="shared" ref="F378:F401" si="26">E378/SUM($E$378:$E$401)</f>
        <v>0.0321444170700738</v>
      </c>
      <c r="G378">
        <f>((L361+D362)/365)*F378</f>
        <v>0.484367928453166</v>
      </c>
      <c r="H378">
        <f>INDEX(DE_Base_Profile!$N$6:$Q$29,ROW()-377,MATCH(J361,DE_Base_Profile!$N$5:$Q$5,0))</f>
        <v>0.125</v>
      </c>
      <c r="I378">
        <f>(F362/365)*H378</f>
        <v>0</v>
      </c>
      <c r="J378">
        <f>(G378+I378)/(H362/365)</f>
        <v>0.0321444170700738</v>
      </c>
    </row>
    <row r="379" spans="1:10">
      <c r="A379">
        <f>DE_Base_Profile!H7</f>
        <v>1</v>
      </c>
      <c r="B379">
        <f>DE_Base_Profile!I7</f>
        <v>0.0258</v>
      </c>
      <c r="C379">
        <f>IF(DE_Base_Profile!J7=1,INDEX(DE_Lookups!$B$2:$B$4,MATCH(B361,DE_Lookups!$A$2:$A$4,0)),1)</f>
        <v>1</v>
      </c>
      <c r="D379">
        <f>IF(OR(D361="Air conditioning",D361="Heat pump (heating &amp; cooling)"),IF(DE_Base_Profile!K7=1,N362,1),1)*IF(OR(D361="Electric heating",D361="Heat pump (heating &amp; cooling)"),IF(DE_Base_Profile!L7=1,P362,1),1)</f>
        <v>1</v>
      </c>
      <c r="E379">
        <f t="shared" si="25"/>
        <v>0.0258</v>
      </c>
      <c r="F379">
        <f t="shared" si="26"/>
        <v>0.0275523574886347</v>
      </c>
      <c r="G379">
        <f>((L361+D362)/365)*F379</f>
        <v>0.415172510102714</v>
      </c>
      <c r="H379">
        <f>INDEX(DE_Base_Profile!$N$6:$Q$29,ROW()-377,MATCH(J361,DE_Base_Profile!$N$5:$Q$5,0))</f>
        <v>0.125</v>
      </c>
      <c r="I379">
        <f>(F362/365)*H379</f>
        <v>0</v>
      </c>
      <c r="J379">
        <f>(G379+I379)/(H362/365)</f>
        <v>0.0275523574886347</v>
      </c>
    </row>
    <row r="380" spans="1:10">
      <c r="A380">
        <f>DE_Base_Profile!H8</f>
        <v>2</v>
      </c>
      <c r="B380">
        <f>DE_Base_Profile!I8</f>
        <v>0.0239</v>
      </c>
      <c r="C380">
        <f>IF(DE_Base_Profile!J8=1,INDEX(DE_Lookups!$B$2:$B$4,MATCH(B361,DE_Lookups!$A$2:$A$4,0)),1)</f>
        <v>1</v>
      </c>
      <c r="D380">
        <f>IF(OR(D361="Air conditioning",D361="Heat pump (heating &amp; cooling)"),IF(DE_Base_Profile!K8=1,N362,1),1)*IF(OR(D361="Electric heating",D361="Heat pump (heating &amp; cooling)"),IF(DE_Base_Profile!L8=1,P362,1),1)</f>
        <v>1</v>
      </c>
      <c r="E380">
        <f t="shared" si="25"/>
        <v>0.0239</v>
      </c>
      <c r="F380">
        <f t="shared" si="26"/>
        <v>0.0255233079061383</v>
      </c>
      <c r="G380">
        <f>((L361+D362)/365)*F380</f>
        <v>0.384597790366468</v>
      </c>
      <c r="H380">
        <f>INDEX(DE_Base_Profile!$N$6:$Q$29,ROW()-377,MATCH(J361,DE_Base_Profile!$N$5:$Q$5,0))</f>
        <v>0.125</v>
      </c>
      <c r="I380">
        <f>(F362/365)*H380</f>
        <v>0</v>
      </c>
      <c r="J380">
        <f>(G380+I380)/(H362/365)</f>
        <v>0.0255233079061383</v>
      </c>
    </row>
    <row r="381" spans="1:10">
      <c r="A381">
        <f>DE_Base_Profile!H9</f>
        <v>3</v>
      </c>
      <c r="B381">
        <f>DE_Base_Profile!I9</f>
        <v>0.0232</v>
      </c>
      <c r="C381">
        <f>IF(DE_Base_Profile!J9=1,INDEX(DE_Lookups!$B$2:$B$4,MATCH(B361,DE_Lookups!$A$2:$A$4,0)),1)</f>
        <v>1</v>
      </c>
      <c r="D381">
        <f>IF(OR(D361="Air conditioning",D361="Heat pump (heating &amp; cooling)"),IF(DE_Base_Profile!K9=1,N362,1),1)*IF(OR(D361="Electric heating",D361="Heat pump (heating &amp; cooling)"),IF(DE_Base_Profile!L9=1,P362,1),1)</f>
        <v>1</v>
      </c>
      <c r="E381">
        <f t="shared" si="25"/>
        <v>0.0232</v>
      </c>
      <c r="F381">
        <f t="shared" si="26"/>
        <v>0.0247757633231133</v>
      </c>
      <c r="G381">
        <f>((L361+D362)/365)*F381</f>
        <v>0.373333419937324</v>
      </c>
      <c r="H381">
        <f>INDEX(DE_Base_Profile!$N$6:$Q$29,ROW()-377,MATCH(J361,DE_Base_Profile!$N$5:$Q$5,0))</f>
        <v>0.125</v>
      </c>
      <c r="I381">
        <f>(F362/365)*H381</f>
        <v>0</v>
      </c>
      <c r="J381">
        <f>(G381+I381)/(H362/365)</f>
        <v>0.0247757633231133</v>
      </c>
    </row>
    <row r="382" spans="1:10">
      <c r="A382">
        <f>DE_Base_Profile!H10</f>
        <v>4</v>
      </c>
      <c r="B382">
        <f>DE_Base_Profile!I10</f>
        <v>0.0236</v>
      </c>
      <c r="C382">
        <f>IF(DE_Base_Profile!J10=1,INDEX(DE_Lookups!$B$2:$B$4,MATCH(B361,DE_Lookups!$A$2:$A$4,0)),1)</f>
        <v>1</v>
      </c>
      <c r="D382">
        <f>IF(OR(D361="Air conditioning",D361="Heat pump (heating &amp; cooling)"),IF(DE_Base_Profile!K10=1,N362,1),1)*IF(OR(D361="Electric heating",D361="Heat pump (heating &amp; cooling)"),IF(DE_Base_Profile!L10=1,P362,1),1)</f>
        <v>1</v>
      </c>
      <c r="E382">
        <f t="shared" si="25"/>
        <v>0.0236</v>
      </c>
      <c r="F382">
        <f t="shared" si="26"/>
        <v>0.0252029316562705</v>
      </c>
      <c r="G382">
        <f>((L361+D362)/365)*F382</f>
        <v>0.379770203039692</v>
      </c>
      <c r="H382">
        <f>INDEX(DE_Base_Profile!$N$6:$Q$29,ROW()-377,MATCH(J361,DE_Base_Profile!$N$5:$Q$5,0))</f>
        <v>0.125</v>
      </c>
      <c r="I382">
        <f>(F362/365)*H382</f>
        <v>0</v>
      </c>
      <c r="J382">
        <f>(G382+I382)/(H362/365)</f>
        <v>0.0252029316562705</v>
      </c>
    </row>
    <row r="383" spans="1:10">
      <c r="A383">
        <f>DE_Base_Profile!H11</f>
        <v>5</v>
      </c>
      <c r="B383">
        <f>DE_Base_Profile!I11</f>
        <v>0.0252</v>
      </c>
      <c r="C383">
        <f>IF(DE_Base_Profile!J11=1,INDEX(DE_Lookups!$B$2:$B$4,MATCH(B361,DE_Lookups!$A$2:$A$4,0)),1)</f>
        <v>1</v>
      </c>
      <c r="D383">
        <f>IF(OR(D361="Air conditioning",D361="Heat pump (heating &amp; cooling)"),IF(DE_Base_Profile!K11=1,N362,1),1)*IF(OR(D361="Electric heating",D361="Heat pump (heating &amp; cooling)"),IF(DE_Base_Profile!L11=1,P362,1),1)</f>
        <v>1</v>
      </c>
      <c r="E383">
        <f t="shared" si="25"/>
        <v>0.0252</v>
      </c>
      <c r="F383">
        <f t="shared" si="26"/>
        <v>0.026911604988899</v>
      </c>
      <c r="G383">
        <f>((L361+D362)/365)*F383</f>
        <v>0.405517335449162</v>
      </c>
      <c r="H383">
        <f>INDEX(DE_Base_Profile!$N$6:$Q$29,ROW()-377,MATCH(J361,DE_Base_Profile!$N$5:$Q$5,0))</f>
        <v>0.125</v>
      </c>
      <c r="I383">
        <f>(F362/365)*H383</f>
        <v>0</v>
      </c>
      <c r="J383">
        <f>(G383+I383)/(H362/365)</f>
        <v>0.026911604988899</v>
      </c>
    </row>
    <row r="384" spans="1:10">
      <c r="A384">
        <f>DE_Base_Profile!H12</f>
        <v>6</v>
      </c>
      <c r="B384">
        <f>DE_Base_Profile!I12</f>
        <v>0.03</v>
      </c>
      <c r="C384">
        <f>IF(DE_Base_Profile!J12=1,INDEX(DE_Lookups!$B$2:$B$4,MATCH(B361,DE_Lookups!$A$2:$A$4,0)),1)</f>
        <v>1</v>
      </c>
      <c r="D384">
        <f>IF(OR(D361="Air conditioning",D361="Heat pump (heating &amp; cooling)"),IF(DE_Base_Profile!K12=1,N362,1),1)*IF(OR(D361="Electric heating",D361="Heat pump (heating &amp; cooling)"),IF(DE_Base_Profile!L12=1,P362,1),1)</f>
        <v>1.15</v>
      </c>
      <c r="E384">
        <f t="shared" si="25"/>
        <v>0.0345</v>
      </c>
      <c r="F384">
        <f t="shared" si="26"/>
        <v>0.0368432687348021</v>
      </c>
      <c r="G384">
        <f>((L361+D362)/365)*F384</f>
        <v>0.55517254257921</v>
      </c>
      <c r="H384">
        <f>INDEX(DE_Base_Profile!$N$6:$Q$29,ROW()-377,MATCH(J361,DE_Base_Profile!$N$5:$Q$5,0))</f>
        <v>0</v>
      </c>
      <c r="I384">
        <f>(F362/365)*H384</f>
        <v>0</v>
      </c>
      <c r="J384">
        <f>(G384+I384)/(H362/365)</f>
        <v>0.0368432687348021</v>
      </c>
    </row>
    <row r="385" spans="1:10">
      <c r="A385">
        <f>DE_Base_Profile!H13</f>
        <v>7</v>
      </c>
      <c r="B385">
        <f>DE_Base_Profile!I13</f>
        <v>0.0358</v>
      </c>
      <c r="C385">
        <f>IF(DE_Base_Profile!J13=1,INDEX(DE_Lookups!$B$2:$B$4,MATCH(B361,DE_Lookups!$A$2:$A$4,0)),1)</f>
        <v>1</v>
      </c>
      <c r="D385">
        <f>IF(OR(D361="Air conditioning",D361="Heat pump (heating &amp; cooling)"),IF(DE_Base_Profile!K13=1,N362,1),1)*IF(OR(D361="Electric heating",D361="Heat pump (heating &amp; cooling)"),IF(DE_Base_Profile!L13=1,P362,1),1)</f>
        <v>1.15</v>
      </c>
      <c r="E385">
        <f t="shared" si="25"/>
        <v>0.04117</v>
      </c>
      <c r="F385">
        <f t="shared" si="26"/>
        <v>0.0439663006901972</v>
      </c>
      <c r="G385">
        <f>((L361+D362)/365)*F385</f>
        <v>0.662505900811191</v>
      </c>
      <c r="H385">
        <f>INDEX(DE_Base_Profile!$N$6:$Q$29,ROW()-377,MATCH(J361,DE_Base_Profile!$N$5:$Q$5,0))</f>
        <v>0</v>
      </c>
      <c r="I385">
        <f>(F362/365)*H385</f>
        <v>0</v>
      </c>
      <c r="J385">
        <f>(G385+I385)/(H362/365)</f>
        <v>0.0439663006901972</v>
      </c>
    </row>
    <row r="386" spans="1:10">
      <c r="A386">
        <f>DE_Base_Profile!H14</f>
        <v>8</v>
      </c>
      <c r="B386">
        <f>DE_Base_Profile!I14</f>
        <v>0.041</v>
      </c>
      <c r="C386">
        <f>IF(DE_Base_Profile!J14=1,INDEX(DE_Lookups!$B$2:$B$4,MATCH(B361,DE_Lookups!$A$2:$A$4,0)),1)</f>
        <v>1</v>
      </c>
      <c r="D386">
        <f>IF(OR(D361="Air conditioning",D361="Heat pump (heating &amp; cooling)"),IF(DE_Base_Profile!K14=1,N362,1),1)*IF(OR(D361="Electric heating",D361="Heat pump (heating &amp; cooling)"),IF(DE_Base_Profile!L14=1,P362,1),1)</f>
        <v>1.15</v>
      </c>
      <c r="E386">
        <f t="shared" si="25"/>
        <v>0.04715</v>
      </c>
      <c r="F386">
        <f t="shared" si="26"/>
        <v>0.0503524672708963</v>
      </c>
      <c r="G386">
        <f>((L361+D362)/365)*F386</f>
        <v>0.758735808191588</v>
      </c>
      <c r="H386">
        <f>INDEX(DE_Base_Profile!$N$6:$Q$29,ROW()-377,MATCH(J361,DE_Base_Profile!$N$5:$Q$5,0))</f>
        <v>0</v>
      </c>
      <c r="I386">
        <f>(F362/365)*H386</f>
        <v>0</v>
      </c>
      <c r="J386">
        <f>(G386+I386)/(H362/365)</f>
        <v>0.0503524672708963</v>
      </c>
    </row>
    <row r="387" spans="1:10">
      <c r="A387">
        <f>DE_Base_Profile!H15</f>
        <v>9</v>
      </c>
      <c r="B387">
        <f>DE_Base_Profile!I15</f>
        <v>0.0446</v>
      </c>
      <c r="C387">
        <f>IF(DE_Base_Profile!J15=1,INDEX(DE_Lookups!$B$2:$B$4,MATCH(B361,DE_Lookups!$A$2:$A$4,0)),1)</f>
        <v>0.6</v>
      </c>
      <c r="D387">
        <f>IF(OR(D361="Air conditioning",D361="Heat pump (heating &amp; cooling)"),IF(DE_Base_Profile!K15=1,N362,1),1)*IF(OR(D361="Electric heating",D361="Heat pump (heating &amp; cooling)"),IF(DE_Base_Profile!L15=1,P362,1),1)</f>
        <v>1.15</v>
      </c>
      <c r="E387">
        <f t="shared" si="25"/>
        <v>0.030774</v>
      </c>
      <c r="F387">
        <f t="shared" si="26"/>
        <v>0.0328641957114435</v>
      </c>
      <c r="G387">
        <f>((L361+D362)/365)*F387</f>
        <v>0.495213907980656</v>
      </c>
      <c r="H387">
        <f>INDEX(DE_Base_Profile!$N$6:$Q$29,ROW()-377,MATCH(J361,DE_Base_Profile!$N$5:$Q$5,0))</f>
        <v>0</v>
      </c>
      <c r="I387">
        <f>(F362/365)*H387</f>
        <v>0</v>
      </c>
      <c r="J387">
        <f>(G387+I387)/(H362/365)</f>
        <v>0.0328641957114435</v>
      </c>
    </row>
    <row r="388" spans="1:10">
      <c r="A388">
        <f>DE_Base_Profile!H16</f>
        <v>10</v>
      </c>
      <c r="B388">
        <f>DE_Base_Profile!I16</f>
        <v>0.0474</v>
      </c>
      <c r="C388">
        <f>IF(DE_Base_Profile!J16=1,INDEX(DE_Lookups!$B$2:$B$4,MATCH(B361,DE_Lookups!$A$2:$A$4,0)),1)</f>
        <v>0.6</v>
      </c>
      <c r="D388">
        <f>IF(OR(D361="Air conditioning",D361="Heat pump (heating &amp; cooling)"),IF(DE_Base_Profile!K16=1,N362,1),1)*IF(OR(D361="Electric heating",D361="Heat pump (heating &amp; cooling)"),IF(DE_Base_Profile!L16=1,P362,1),1)</f>
        <v>1</v>
      </c>
      <c r="E388">
        <f t="shared" si="25"/>
        <v>0.02844</v>
      </c>
      <c r="F388">
        <f t="shared" si="26"/>
        <v>0.0303716684874717</v>
      </c>
      <c r="G388">
        <f>((L361+D362)/365)*F388</f>
        <v>0.45765527857834</v>
      </c>
      <c r="H388">
        <f>INDEX(DE_Base_Profile!$N$6:$Q$29,ROW()-377,MATCH(J361,DE_Base_Profile!$N$5:$Q$5,0))</f>
        <v>0</v>
      </c>
      <c r="I388">
        <f>(F362/365)*H388</f>
        <v>0</v>
      </c>
      <c r="J388">
        <f>(G388+I388)/(H362/365)</f>
        <v>0.0303716684874717</v>
      </c>
    </row>
    <row r="389" spans="1:10">
      <c r="A389">
        <f>DE_Base_Profile!H17</f>
        <v>11</v>
      </c>
      <c r="B389">
        <f>DE_Base_Profile!I17</f>
        <v>0.0518</v>
      </c>
      <c r="C389">
        <f>IF(DE_Base_Profile!J17=1,INDEX(DE_Lookups!$B$2:$B$4,MATCH(B361,DE_Lookups!$A$2:$A$4,0)),1)</f>
        <v>0.6</v>
      </c>
      <c r="D389">
        <f>IF(OR(D361="Air conditioning",D361="Heat pump (heating &amp; cooling)"),IF(DE_Base_Profile!K17=1,N362,1),1)*IF(OR(D361="Electric heating",D361="Heat pump (heating &amp; cooling)"),IF(DE_Base_Profile!L17=1,P362,1),1)</f>
        <v>1</v>
      </c>
      <c r="E389">
        <f t="shared" si="25"/>
        <v>0.03108</v>
      </c>
      <c r="F389">
        <f t="shared" si="26"/>
        <v>0.0331909794863087</v>
      </c>
      <c r="G389">
        <f>((L361+D362)/365)*F389</f>
        <v>0.500138047053967</v>
      </c>
      <c r="H389">
        <f>INDEX(DE_Base_Profile!$N$6:$Q$29,ROW()-377,MATCH(J361,DE_Base_Profile!$N$5:$Q$5,0))</f>
        <v>0</v>
      </c>
      <c r="I389">
        <f>(F362/365)*H389</f>
        <v>0</v>
      </c>
      <c r="J389">
        <f>(G389+I389)/(H362/365)</f>
        <v>0.0331909794863087</v>
      </c>
    </row>
    <row r="390" spans="1:10">
      <c r="A390">
        <f>DE_Base_Profile!H18</f>
        <v>12</v>
      </c>
      <c r="B390">
        <f>DE_Base_Profile!I18</f>
        <v>0.0513</v>
      </c>
      <c r="C390">
        <f>IF(DE_Base_Profile!J18=1,INDEX(DE_Lookups!$B$2:$B$4,MATCH(B361,DE_Lookups!$A$2:$A$4,0)),1)</f>
        <v>0.6</v>
      </c>
      <c r="D390">
        <f>IF(OR(D361="Air conditioning",D361="Heat pump (heating &amp; cooling)"),IF(DE_Base_Profile!K18=1,N362,1),1)*IF(OR(D361="Electric heating",D361="Heat pump (heating &amp; cooling)"),IF(DE_Base_Profile!L18=1,P362,1),1)</f>
        <v>1</v>
      </c>
      <c r="E390">
        <f t="shared" si="25"/>
        <v>0.03078</v>
      </c>
      <c r="F390">
        <f t="shared" si="26"/>
        <v>0.0328706032364409</v>
      </c>
      <c r="G390">
        <f>((L361+D362)/365)*F390</f>
        <v>0.495310459727191</v>
      </c>
      <c r="H390">
        <f>INDEX(DE_Base_Profile!$N$6:$Q$29,ROW()-377,MATCH(J361,DE_Base_Profile!$N$5:$Q$5,0))</f>
        <v>0</v>
      </c>
      <c r="I390">
        <f>(F362/365)*H390</f>
        <v>0</v>
      </c>
      <c r="J390">
        <f>(G390+I390)/(H362/365)</f>
        <v>0.0328706032364409</v>
      </c>
    </row>
    <row r="391" spans="1:10">
      <c r="A391">
        <f>DE_Base_Profile!H19</f>
        <v>13</v>
      </c>
      <c r="B391">
        <f>DE_Base_Profile!I19</f>
        <v>0.0481</v>
      </c>
      <c r="C391">
        <f>IF(DE_Base_Profile!J19=1,INDEX(DE_Lookups!$B$2:$B$4,MATCH(B361,DE_Lookups!$A$2:$A$4,0)),1)</f>
        <v>0.6</v>
      </c>
      <c r="D391">
        <f>IF(OR(D361="Air conditioning",D361="Heat pump (heating &amp; cooling)"),IF(DE_Base_Profile!K19=1,N362,1),1)*IF(OR(D361="Electric heating",D361="Heat pump (heating &amp; cooling)"),IF(DE_Base_Profile!L19=1,P362,1),1)</f>
        <v>1</v>
      </c>
      <c r="E391">
        <f t="shared" si="25"/>
        <v>0.02886</v>
      </c>
      <c r="F391">
        <f t="shared" si="26"/>
        <v>0.0308201952372867</v>
      </c>
      <c r="G391">
        <f>((L361+D362)/365)*F391</f>
        <v>0.464413900835827</v>
      </c>
      <c r="H391">
        <f>INDEX(DE_Base_Profile!$N$6:$Q$29,ROW()-377,MATCH(J361,DE_Base_Profile!$N$5:$Q$5,0))</f>
        <v>0</v>
      </c>
      <c r="I391">
        <f>(F362/365)*H391</f>
        <v>0</v>
      </c>
      <c r="J391">
        <f>(G391+I391)/(H362/365)</f>
        <v>0.0308201952372867</v>
      </c>
    </row>
    <row r="392" spans="1:10">
      <c r="A392">
        <f>DE_Base_Profile!H20</f>
        <v>14</v>
      </c>
      <c r="B392">
        <f>DE_Base_Profile!I20</f>
        <v>0.0459</v>
      </c>
      <c r="C392">
        <f>IF(DE_Base_Profile!J20=1,INDEX(DE_Lookups!$B$2:$B$4,MATCH(B361,DE_Lookups!$A$2:$A$4,0)),1)</f>
        <v>0.6</v>
      </c>
      <c r="D392">
        <f>IF(OR(D361="Air conditioning",D361="Heat pump (heating &amp; cooling)"),IF(DE_Base_Profile!K20=1,N362,1),1)*IF(OR(D361="Electric heating",D361="Heat pump (heating &amp; cooling)"),IF(DE_Base_Profile!L20=1,P362,1),1)</f>
        <v>1.2</v>
      </c>
      <c r="E392">
        <f t="shared" si="25"/>
        <v>0.033048</v>
      </c>
      <c r="F392">
        <f t="shared" si="26"/>
        <v>0.0352926476854418</v>
      </c>
      <c r="G392">
        <f>((L361+D362)/365)*F392</f>
        <v>0.531807019917616</v>
      </c>
      <c r="H392">
        <f>INDEX(DE_Base_Profile!$N$6:$Q$29,ROW()-377,MATCH(J361,DE_Base_Profile!$N$5:$Q$5,0))</f>
        <v>0</v>
      </c>
      <c r="I392">
        <f>(F362/365)*H392</f>
        <v>0</v>
      </c>
      <c r="J392">
        <f>(G392+I392)/(H362/365)</f>
        <v>0.0352926476854418</v>
      </c>
    </row>
    <row r="393" spans="1:10">
      <c r="A393">
        <f>DE_Base_Profile!H21</f>
        <v>15</v>
      </c>
      <c r="B393">
        <f>DE_Base_Profile!I21</f>
        <v>0.0454</v>
      </c>
      <c r="C393">
        <f>IF(DE_Base_Profile!J21=1,INDEX(DE_Lookups!$B$2:$B$4,MATCH(B361,DE_Lookups!$A$2:$A$4,0)),1)</f>
        <v>0.6</v>
      </c>
      <c r="D393">
        <f>IF(OR(D361="Air conditioning",D361="Heat pump (heating &amp; cooling)"),IF(DE_Base_Profile!K21=1,N362,1),1)*IF(OR(D361="Electric heating",D361="Heat pump (heating &amp; cooling)"),IF(DE_Base_Profile!L21=1,P362,1),1)</f>
        <v>1.2</v>
      </c>
      <c r="E393">
        <f t="shared" si="25"/>
        <v>0.032688</v>
      </c>
      <c r="F393">
        <f t="shared" si="26"/>
        <v>0.0349081961856004</v>
      </c>
      <c r="G393">
        <f>((L361+D362)/365)*F393</f>
        <v>0.526013915125485</v>
      </c>
      <c r="H393">
        <f>INDEX(DE_Base_Profile!$N$6:$Q$29,ROW()-377,MATCH(J361,DE_Base_Profile!$N$5:$Q$5,0))</f>
        <v>0</v>
      </c>
      <c r="I393">
        <f>(F362/365)*H393</f>
        <v>0</v>
      </c>
      <c r="J393">
        <f>(G393+I393)/(H362/365)</f>
        <v>0.0349081961856004</v>
      </c>
    </row>
    <row r="394" spans="1:10">
      <c r="A394">
        <f>DE_Base_Profile!H22</f>
        <v>16</v>
      </c>
      <c r="B394">
        <f>DE_Base_Profile!I22</f>
        <v>0.0475</v>
      </c>
      <c r="C394">
        <f>IF(DE_Base_Profile!J22=1,INDEX(DE_Lookups!$B$2:$B$4,MATCH(B361,DE_Lookups!$A$2:$A$4,0)),1)</f>
        <v>0.6</v>
      </c>
      <c r="D394">
        <f>IF(OR(D361="Air conditioning",D361="Heat pump (heating &amp; cooling)"),IF(DE_Base_Profile!K22=1,N362,1),1)*IF(OR(D361="Electric heating",D361="Heat pump (heating &amp; cooling)"),IF(DE_Base_Profile!L22=1,P362,1),1)</f>
        <v>1.2</v>
      </c>
      <c r="E394">
        <f t="shared" si="25"/>
        <v>0.0342</v>
      </c>
      <c r="F394">
        <f t="shared" si="26"/>
        <v>0.0365228924849343</v>
      </c>
      <c r="G394">
        <f>((L361+D362)/365)*F394</f>
        <v>0.550344955252435</v>
      </c>
      <c r="H394">
        <f>INDEX(DE_Base_Profile!$N$6:$Q$29,ROW()-377,MATCH(J361,DE_Base_Profile!$N$5:$Q$5,0))</f>
        <v>0</v>
      </c>
      <c r="I394">
        <f>(F362/365)*H394</f>
        <v>0</v>
      </c>
      <c r="J394">
        <f>(G394+I394)/(H362/365)</f>
        <v>0.0365228924849343</v>
      </c>
    </row>
    <row r="395" spans="1:10">
      <c r="A395">
        <f>DE_Base_Profile!H23</f>
        <v>17</v>
      </c>
      <c r="B395">
        <f>DE_Base_Profile!I23</f>
        <v>0.0535</v>
      </c>
      <c r="C395">
        <f>IF(DE_Base_Profile!J23=1,INDEX(DE_Lookups!$B$2:$B$4,MATCH(B361,DE_Lookups!$A$2:$A$4,0)),1)</f>
        <v>0.6</v>
      </c>
      <c r="D395">
        <f>IF(OR(D361="Air conditioning",D361="Heat pump (heating &amp; cooling)"),IF(DE_Base_Profile!K23=1,N362,1),1)*IF(OR(D361="Electric heating",D361="Heat pump (heating &amp; cooling)"),IF(DE_Base_Profile!L23=1,P362,1),1)</f>
        <v>1.2</v>
      </c>
      <c r="E395">
        <f t="shared" si="25"/>
        <v>0.03852</v>
      </c>
      <c r="F395">
        <f t="shared" si="26"/>
        <v>0.0411363104830313</v>
      </c>
      <c r="G395">
        <f>((L361+D362)/365)*F395</f>
        <v>0.619862212758005</v>
      </c>
      <c r="H395">
        <f>INDEX(DE_Base_Profile!$N$6:$Q$29,ROW()-377,MATCH(J361,DE_Base_Profile!$N$5:$Q$5,0))</f>
        <v>0</v>
      </c>
      <c r="I395">
        <f>(F362/365)*H395</f>
        <v>0</v>
      </c>
      <c r="J395">
        <f>(G395+I395)/(H362/365)</f>
        <v>0.0411363104830313</v>
      </c>
    </row>
    <row r="396" spans="1:10">
      <c r="A396">
        <f>DE_Base_Profile!H24</f>
        <v>18</v>
      </c>
      <c r="B396">
        <f>DE_Base_Profile!I24</f>
        <v>0.0587</v>
      </c>
      <c r="C396">
        <f>IF(DE_Base_Profile!J24=1,INDEX(DE_Lookups!$B$2:$B$4,MATCH(B361,DE_Lookups!$A$2:$A$4,0)),1)</f>
        <v>1</v>
      </c>
      <c r="D396">
        <f>IF(OR(D361="Air conditioning",D361="Heat pump (heating &amp; cooling)"),IF(DE_Base_Profile!K24=1,N362,1),1)*IF(OR(D361="Electric heating",D361="Heat pump (heating &amp; cooling)"),IF(DE_Base_Profile!L24=1,P362,1),1)</f>
        <v>1.38</v>
      </c>
      <c r="E396">
        <f t="shared" si="25"/>
        <v>0.081006</v>
      </c>
      <c r="F396">
        <f t="shared" si="26"/>
        <v>0.0865079949893155</v>
      </c>
      <c r="G396">
        <f>((L361+D362)/365)*F396</f>
        <v>1.30354512997599</v>
      </c>
      <c r="H396">
        <f>INDEX(DE_Base_Profile!$N$6:$Q$29,ROW()-377,MATCH(J361,DE_Base_Profile!$N$5:$Q$5,0))</f>
        <v>0</v>
      </c>
      <c r="I396">
        <f>(F362/365)*H396</f>
        <v>0</v>
      </c>
      <c r="J396">
        <f>(G396+I396)/(H362/365)</f>
        <v>0.0865079949893155</v>
      </c>
    </row>
    <row r="397" spans="1:10">
      <c r="A397">
        <f>DE_Base_Profile!H25</f>
        <v>19</v>
      </c>
      <c r="B397">
        <f>DE_Base_Profile!I25</f>
        <v>0.0591</v>
      </c>
      <c r="C397">
        <f>IF(DE_Base_Profile!J25=1,INDEX(DE_Lookups!$B$2:$B$4,MATCH(B361,DE_Lookups!$A$2:$A$4,0)),1)</f>
        <v>1</v>
      </c>
      <c r="D397">
        <f>IF(OR(D361="Air conditioning",D361="Heat pump (heating &amp; cooling)"),IF(DE_Base_Profile!K25=1,N362,1),1)*IF(OR(D361="Electric heating",D361="Heat pump (heating &amp; cooling)"),IF(DE_Base_Profile!L25=1,P362,1),1)</f>
        <v>1.38</v>
      </c>
      <c r="E397">
        <f t="shared" si="25"/>
        <v>0.081558</v>
      </c>
      <c r="F397">
        <f t="shared" si="26"/>
        <v>0.0870974872890723</v>
      </c>
      <c r="G397">
        <f>((L361+D362)/365)*F397</f>
        <v>1.31242789065725</v>
      </c>
      <c r="H397">
        <f>INDEX(DE_Base_Profile!$N$6:$Q$29,ROW()-377,MATCH(J361,DE_Base_Profile!$N$5:$Q$5,0))</f>
        <v>0</v>
      </c>
      <c r="I397">
        <f>(F362/365)*H397</f>
        <v>0</v>
      </c>
      <c r="J397">
        <f>(G397+I397)/(H362/365)</f>
        <v>0.0870974872890723</v>
      </c>
    </row>
    <row r="398" spans="1:10">
      <c r="A398">
        <f>DE_Base_Profile!H26</f>
        <v>20</v>
      </c>
      <c r="B398">
        <f>DE_Base_Profile!I26</f>
        <v>0.0556</v>
      </c>
      <c r="C398">
        <f>IF(DE_Base_Profile!J26=1,INDEX(DE_Lookups!$B$2:$B$4,MATCH(B361,DE_Lookups!$A$2:$A$4,0)),1)</f>
        <v>1</v>
      </c>
      <c r="D398">
        <f>IF(OR(D361="Air conditioning",D361="Heat pump (heating &amp; cooling)"),IF(DE_Base_Profile!K26=1,N362,1),1)*IF(OR(D361="Electric heating",D361="Heat pump (heating &amp; cooling)"),IF(DE_Base_Profile!L26=1,P362,1),1)</f>
        <v>1.15</v>
      </c>
      <c r="E398">
        <f t="shared" si="25"/>
        <v>0.06394</v>
      </c>
      <c r="F398">
        <f t="shared" si="26"/>
        <v>0.0682828580551667</v>
      </c>
      <c r="G398">
        <f>((L361+D362)/365)*F398</f>
        <v>1.02891977891347</v>
      </c>
      <c r="H398">
        <f>INDEX(DE_Base_Profile!$N$6:$Q$29,ROW()-377,MATCH(J361,DE_Base_Profile!$N$5:$Q$5,0))</f>
        <v>0</v>
      </c>
      <c r="I398">
        <f>(F362/365)*H398</f>
        <v>0</v>
      </c>
      <c r="J398">
        <f>(G398+I398)/(H362/365)</f>
        <v>0.0682828580551667</v>
      </c>
    </row>
    <row r="399" spans="1:10">
      <c r="A399">
        <f>DE_Base_Profile!H27</f>
        <v>21</v>
      </c>
      <c r="B399">
        <f>DE_Base_Profile!I27</f>
        <v>0.0508</v>
      </c>
      <c r="C399">
        <f>IF(DE_Base_Profile!J27=1,INDEX(DE_Lookups!$B$2:$B$4,MATCH(B361,DE_Lookups!$A$2:$A$4,0)),1)</f>
        <v>1</v>
      </c>
      <c r="D399">
        <f>IF(OR(D361="Air conditioning",D361="Heat pump (heating &amp; cooling)"),IF(DE_Base_Profile!K27=1,N362,1),1)*IF(OR(D361="Electric heating",D361="Heat pump (heating &amp; cooling)"),IF(DE_Base_Profile!L27=1,P362,1),1)</f>
        <v>1.15</v>
      </c>
      <c r="E399">
        <f t="shared" si="25"/>
        <v>0.05842</v>
      </c>
      <c r="F399">
        <f t="shared" si="26"/>
        <v>0.0623879350575983</v>
      </c>
      <c r="G399">
        <f>((L361+D362)/365)*F399</f>
        <v>0.940092172100796</v>
      </c>
      <c r="H399">
        <f>INDEX(DE_Base_Profile!$N$6:$Q$29,ROW()-377,MATCH(J361,DE_Base_Profile!$N$5:$Q$5,0))</f>
        <v>0</v>
      </c>
      <c r="I399">
        <f>(F362/365)*H399</f>
        <v>0</v>
      </c>
      <c r="J399">
        <f>(G399+I399)/(H362/365)</f>
        <v>0.0623879350575983</v>
      </c>
    </row>
    <row r="400" spans="1:10">
      <c r="A400">
        <f>DE_Base_Profile!H28</f>
        <v>22</v>
      </c>
      <c r="B400">
        <f>DE_Base_Profile!I28</f>
        <v>0.0451</v>
      </c>
      <c r="C400">
        <f>IF(DE_Base_Profile!J28=1,INDEX(DE_Lookups!$B$2:$B$4,MATCH(B361,DE_Lookups!$A$2:$A$4,0)),1)</f>
        <v>1</v>
      </c>
      <c r="D400">
        <f>IF(OR(D361="Air conditioning",D361="Heat pump (heating &amp; cooling)"),IF(DE_Base_Profile!K28=1,N362,1),1)*IF(OR(D361="Electric heating",D361="Heat pump (heating &amp; cooling)"),IF(DE_Base_Profile!L28=1,P362,1),1)</f>
        <v>1.15</v>
      </c>
      <c r="E400">
        <f t="shared" si="25"/>
        <v>0.051865</v>
      </c>
      <c r="F400">
        <f t="shared" si="26"/>
        <v>0.0553877139979859</v>
      </c>
      <c r="G400">
        <f>((L361+D362)/365)*F400</f>
        <v>0.834609389010746</v>
      </c>
      <c r="H400">
        <f>INDEX(DE_Base_Profile!$N$6:$Q$29,ROW()-377,MATCH(J361,DE_Base_Profile!$N$5:$Q$5,0))</f>
        <v>0.125</v>
      </c>
      <c r="I400">
        <f>(F362/365)*H400</f>
        <v>0</v>
      </c>
      <c r="J400">
        <f>(G400+I400)/(H362/365)</f>
        <v>0.0553877139979859</v>
      </c>
    </row>
    <row r="401" spans="1:16">
      <c r="A401">
        <f>DE_Base_Profile!H29</f>
        <v>23</v>
      </c>
      <c r="B401">
        <f>DE_Base_Profile!I29</f>
        <v>0.0366</v>
      </c>
      <c r="C401">
        <f>IF(DE_Base_Profile!J29=1,INDEX(DE_Lookups!$B$2:$B$4,MATCH(B361,DE_Lookups!$A$2:$A$4,0)),1)</f>
        <v>1</v>
      </c>
      <c r="D401">
        <f>IF(OR(D361="Air conditioning",D361="Heat pump (heating &amp; cooling)"),IF(DE_Base_Profile!K29=1,N362,1),1)*IF(OR(D361="Electric heating",D361="Heat pump (heating &amp; cooling)"),IF(DE_Base_Profile!L29=1,P362,1),1)</f>
        <v>1</v>
      </c>
      <c r="E401">
        <f t="shared" si="25"/>
        <v>0.0366</v>
      </c>
      <c r="F401">
        <f t="shared" si="26"/>
        <v>0.0390859024838771</v>
      </c>
      <c r="G401">
        <f>((L361+D362)/365)*F401</f>
        <v>0.588965653866641</v>
      </c>
      <c r="H401">
        <f>INDEX(DE_Base_Profile!$N$6:$Q$29,ROW()-377,MATCH(J361,DE_Base_Profile!$N$5:$Q$5,0))</f>
        <v>0.125</v>
      </c>
      <c r="I401">
        <f>(F362/365)*H401</f>
        <v>0</v>
      </c>
      <c r="J401">
        <f>(G401+I401)/(H362/365)</f>
        <v>0.0390859024838771</v>
      </c>
    </row>
    <row r="406" spans="1:16">
      <c r="A406" t="s">
        <v>51</v>
      </c>
      <c r="B406" t="str">
        <f>DE_Option_Monthly!C13</f>
        <v>Mostly away during the day</v>
      </c>
      <c r="C406" t="s">
        <v>188</v>
      </c>
      <c r="D406" t="str">
        <f>DE_Option_Monthly!D13</f>
        <v>Heat pump (heating &amp; cooling)</v>
      </c>
      <c r="E406" t="s">
        <v>68</v>
      </c>
      <c r="F406" t="str">
        <f>DE_Option_Monthly!E13</f>
        <v>High</v>
      </c>
      <c r="G406" t="s">
        <v>98</v>
      </c>
      <c r="H406" t="str">
        <f>DE_Option_Monthly!F13</f>
        <v>No electric vehicle</v>
      </c>
      <c r="I406" t="s">
        <v>289</v>
      </c>
      <c r="J406" t="str">
        <f>DE_Option_Monthly!G13</f>
        <v>Mostly overnight</v>
      </c>
      <c r="K406" t="s">
        <v>290</v>
      </c>
      <c r="L406">
        <f>DE_Option_Monthly!$B$1</f>
        <v>3500</v>
      </c>
    </row>
    <row r="407" spans="1:16">
      <c r="A407" t="s">
        <v>291</v>
      </c>
      <c r="B407">
        <f>INDEX(DE_Lookups!$E$2:$E$5,MATCH(F406,DE_Lookups!$D$2:$D$5,0))</f>
        <v>1.3</v>
      </c>
      <c r="C407" t="s">
        <v>292</v>
      </c>
      <c r="D407">
        <f>IF(OR(D406="Electric heating",D406="Heat pump (heating &amp; cooling)"),INDEX(DE_Lookups!$L$2:$L$5,MATCH(D406,DE_Lookups!$K$2:$K$5,0))*B407,0)</f>
        <v>2600</v>
      </c>
      <c r="E407" t="s">
        <v>293</v>
      </c>
      <c r="F407">
        <f>INDEX(DE_Lookups!$O$2:$O$7,MATCH(H406,DE_Lookups!$N$2:$N$7,0))*0.18</f>
        <v>0</v>
      </c>
      <c r="G407" t="s">
        <v>294</v>
      </c>
      <c r="H407">
        <f>L406+D407+F407</f>
        <v>6100</v>
      </c>
      <c r="I407" t="s">
        <v>295</v>
      </c>
      <c r="J407">
        <f>INDEX(DE_Lookups!$F$2:$F$5,MATCH(F406,DE_Lookups!$D$2:$D$5,0))</f>
        <v>1.2</v>
      </c>
      <c r="K407" t="s">
        <v>296</v>
      </c>
      <c r="L407">
        <f>INDEX(DE_Lookups!$G$2:$G$5,MATCH(F406,DE_Lookups!$D$2:$D$5,0))</f>
        <v>1.25</v>
      </c>
      <c r="M407" t="s">
        <v>297</v>
      </c>
      <c r="N407">
        <f>INDEX(DE_Lookups!$H$2:$H$5,MATCH(F406,DE_Lookups!$D$2:$D$5,0))</f>
        <v>1.35</v>
      </c>
      <c r="O407" t="s">
        <v>298</v>
      </c>
      <c r="P407">
        <f>INDEX(DE_Lookups!$I$2:$I$5,MATCH(F406,DE_Lookups!$D$2:$D$5,0))</f>
        <v>1.25</v>
      </c>
    </row>
    <row r="409" spans="1:16">
      <c r="A409" t="str">
        <f>DE_Base_Profile!A6</f>
        <v>1月</v>
      </c>
      <c r="B409">
        <f>DE_Base_Profile!B6</f>
        <v>0.0789</v>
      </c>
      <c r="C409">
        <f>L406*B409</f>
        <v>276.15</v>
      </c>
      <c r="D409">
        <f>1+IF(OR(D406="Air conditioning",D406="Heat pump (heating &amp; cooling)"),IF(DE_Base_Profile!D6=1,J407-1,0),0)+IF(OR(D406="Electric heating",D406="Heat pump (heating &amp; cooling)"),IF(DE_Base_Profile!E6=1,L407-1,0),0)</f>
        <v>1.25</v>
      </c>
      <c r="E409">
        <f t="shared" ref="E409:E420" si="27">C409*D409</f>
        <v>345.1875</v>
      </c>
      <c r="F409">
        <f>IF(D406="Electric heating",IF(DE_Base_Profile!E6=1,B409*L407,0),IF(D406="Heat pump (heating &amp; cooling)",IF(DE_Base_Profile!D6=1,B409*J407,0)+IF(DE_Base_Profile!E6=1,B409*L407,0),0))</f>
        <v>0.098625</v>
      </c>
      <c r="G409">
        <f>IF(SUM($F$409:$F$420)=0,0,D407*F409/SUM($F$409:$F$420))</f>
        <v>250.146327187591</v>
      </c>
      <c r="H409">
        <f>F407/12</f>
        <v>0</v>
      </c>
      <c r="I409">
        <f>E409/SUM($E$409:$E$420)*L406+G409+H409</f>
        <v>539.175465595027</v>
      </c>
      <c r="J409">
        <f>I409/H407</f>
        <v>0.0883894205893486</v>
      </c>
    </row>
    <row r="410" spans="1:16">
      <c r="A410" t="str">
        <f>DE_Base_Profile!A7</f>
        <v>2月</v>
      </c>
      <c r="B410">
        <f>DE_Base_Profile!B7</f>
        <v>0.0791</v>
      </c>
      <c r="C410">
        <f>L406*B410</f>
        <v>276.85</v>
      </c>
      <c r="D410">
        <f>1+IF(OR(D406="Air conditioning",D406="Heat pump (heating &amp; cooling)"),IF(DE_Base_Profile!D7=1,J407-1,0),0)+IF(OR(D406="Electric heating",D406="Heat pump (heating &amp; cooling)"),IF(DE_Base_Profile!E7=1,L407-1,0),0)</f>
        <v>1.25</v>
      </c>
      <c r="E410">
        <f t="shared" si="27"/>
        <v>346.0625</v>
      </c>
      <c r="F410">
        <f>IF(D406="Electric heating",IF(DE_Base_Profile!E7=1,B410*L407,0),IF(D406="Heat pump (heating &amp; cooling)",IF(DE_Base_Profile!D7=1,B410*J407,0)+IF(DE_Base_Profile!E7=1,B410*L407,0),0))</f>
        <v>0.098875</v>
      </c>
      <c r="G410">
        <f>IF(SUM($F$409:$F$420)=0,0,D407*F410/SUM($F$409:$F$420))</f>
        <v>250.780411667154</v>
      </c>
      <c r="H410">
        <f>F407/12</f>
        <v>0</v>
      </c>
      <c r="I410">
        <f>E410/SUM($E$409:$E$420)*L406+G410+H410</f>
        <v>540.542196813265</v>
      </c>
      <c r="J410">
        <f>I410/H407</f>
        <v>0.0886134748874205</v>
      </c>
    </row>
    <row r="411" spans="1:16">
      <c r="A411" t="str">
        <f>DE_Base_Profile!A8</f>
        <v>3月</v>
      </c>
      <c r="B411">
        <f>DE_Base_Profile!B8</f>
        <v>0.0773</v>
      </c>
      <c r="C411">
        <f>L406*B411</f>
        <v>270.55</v>
      </c>
      <c r="D411">
        <f>1+IF(OR(D406="Air conditioning",D406="Heat pump (heating &amp; cooling)"),IF(DE_Base_Profile!D8=1,J407-1,0),0)+IF(OR(D406="Electric heating",D406="Heat pump (heating &amp; cooling)"),IF(DE_Base_Profile!E8=1,L407-1,0),0)</f>
        <v>1.25</v>
      </c>
      <c r="E411">
        <f t="shared" si="27"/>
        <v>338.1875</v>
      </c>
      <c r="F411">
        <f>IF(D406="Electric heating",IF(DE_Base_Profile!E8=1,B411*L407,0),IF(D406="Heat pump (heating &amp; cooling)",IF(DE_Base_Profile!D8=1,B411*J407,0)+IF(DE_Base_Profile!E8=1,B411*L407,0),0))</f>
        <v>0.096625</v>
      </c>
      <c r="G411">
        <f>IF(SUM($F$409:$F$420)=0,0,D407*F411/SUM($F$409:$F$420))</f>
        <v>245.073651351088</v>
      </c>
      <c r="H411">
        <f>F407/12</f>
        <v>0</v>
      </c>
      <c r="I411">
        <f>E411/SUM($E$409:$E$420)*L406+G411+H411</f>
        <v>528.24161584912</v>
      </c>
      <c r="J411">
        <f>I411/H407</f>
        <v>0.0865969862047737</v>
      </c>
    </row>
    <row r="412" spans="1:16">
      <c r="A412" t="str">
        <f>DE_Base_Profile!A9</f>
        <v>4月</v>
      </c>
      <c r="B412">
        <f>DE_Base_Profile!B9</f>
        <v>0.0822</v>
      </c>
      <c r="C412">
        <f>L406*B412</f>
        <v>287.7</v>
      </c>
      <c r="D412">
        <f>1+IF(OR(D406="Air conditioning",D406="Heat pump (heating &amp; cooling)"),IF(DE_Base_Profile!D9=1,J407-1,0),0)+IF(OR(D406="Electric heating",D406="Heat pump (heating &amp; cooling)"),IF(DE_Base_Profile!E9=1,L407-1,0),0)</f>
        <v>1.25</v>
      </c>
      <c r="E412">
        <f t="shared" si="27"/>
        <v>359.625</v>
      </c>
      <c r="F412">
        <f>IF(D406="Electric heating",IF(DE_Base_Profile!E9=1,B412*L407,0),IF(D406="Heat pump (heating &amp; cooling)",IF(DE_Base_Profile!D9=1,B412*J407,0)+IF(DE_Base_Profile!E9=1,B412*L407,0),0))</f>
        <v>0.10275</v>
      </c>
      <c r="G412">
        <f>IF(SUM($F$409:$F$420)=0,0,D407*F412/SUM($F$409:$F$420))</f>
        <v>260.60872110038</v>
      </c>
      <c r="H412">
        <f>F407/12</f>
        <v>0</v>
      </c>
      <c r="I412">
        <f>E412/SUM($E$409:$E$420)*L406+G412+H412</f>
        <v>561.726530695959</v>
      </c>
      <c r="J412">
        <f>I412/H407</f>
        <v>0.0920863165075343</v>
      </c>
    </row>
    <row r="413" spans="1:16">
      <c r="A413" t="str">
        <f>DE_Base_Profile!A10</f>
        <v>5月</v>
      </c>
      <c r="B413">
        <f>DE_Base_Profile!B10</f>
        <v>0.0839</v>
      </c>
      <c r="C413">
        <f>L406*B413</f>
        <v>293.65</v>
      </c>
      <c r="D413">
        <f>1+IF(OR(D406="Air conditioning",D406="Heat pump (heating &amp; cooling)"),IF(DE_Base_Profile!D10=1,J407-1,0),0)+IF(OR(D406="Electric heating",D406="Heat pump (heating &amp; cooling)"),IF(DE_Base_Profile!E10=1,L407-1,0),0)</f>
        <v>1</v>
      </c>
      <c r="E413">
        <f t="shared" si="27"/>
        <v>293.65</v>
      </c>
      <c r="F413">
        <f>IF(D406="Electric heating",IF(DE_Base_Profile!E10=1,B413*L407,0),IF(D406="Heat pump (heating &amp; cooling)",IF(DE_Base_Profile!D10=1,B413*J407,0)+IF(DE_Base_Profile!E10=1,B413*L407,0),0))</f>
        <v>0</v>
      </c>
      <c r="G413">
        <f>IF(SUM($F$409:$F$420)=0,0,D407*F413/SUM($F$409:$F$420))</f>
        <v>0</v>
      </c>
      <c r="H413">
        <f>F407/12</f>
        <v>0</v>
      </c>
      <c r="I413">
        <f>E413/SUM($E$409:$E$420)*L406+G413+H413</f>
        <v>245.876245499456</v>
      </c>
      <c r="J413">
        <f>I413/H407</f>
        <v>0.040307581229419</v>
      </c>
    </row>
    <row r="414" spans="1:16">
      <c r="A414" t="str">
        <f>DE_Base_Profile!A11</f>
        <v>6月</v>
      </c>
      <c r="B414">
        <f>DE_Base_Profile!B11</f>
        <v>0.0876</v>
      </c>
      <c r="C414">
        <f>L406*B414</f>
        <v>306.6</v>
      </c>
      <c r="D414">
        <f>1+IF(OR(D406="Air conditioning",D406="Heat pump (heating &amp; cooling)"),IF(DE_Base_Profile!D11=1,J407-1,0),0)+IF(OR(D406="Electric heating",D406="Heat pump (heating &amp; cooling)"),IF(DE_Base_Profile!E11=1,L407-1,0),0)</f>
        <v>1.2</v>
      </c>
      <c r="E414">
        <f t="shared" si="27"/>
        <v>367.92</v>
      </c>
      <c r="F414">
        <f>IF(D406="Electric heating",IF(DE_Base_Profile!E11=1,B414*L407,0),IF(D406="Heat pump (heating &amp; cooling)",IF(DE_Base_Profile!D11=1,B414*J407,0)+IF(DE_Base_Profile!E11=1,B414*L407,0),0))</f>
        <v>0.10512</v>
      </c>
      <c r="G414">
        <f>IF(SUM($F$409:$F$420)=0,0,D407*F414/SUM($F$409:$F$420))</f>
        <v>266.619841966637</v>
      </c>
      <c r="H414">
        <f>F407/12</f>
        <v>0</v>
      </c>
      <c r="I414">
        <f>E414/SUM($E$409:$E$420)*L406+G414+H414</f>
        <v>574.683142644859</v>
      </c>
      <c r="J414">
        <f>I414/H407</f>
        <v>0.0942103512532556</v>
      </c>
    </row>
    <row r="415" spans="1:16">
      <c r="A415" t="str">
        <f>DE_Base_Profile!A12</f>
        <v>7月</v>
      </c>
      <c r="B415">
        <f>DE_Base_Profile!B12</f>
        <v>0.0917</v>
      </c>
      <c r="C415">
        <f>L406*B415</f>
        <v>320.95</v>
      </c>
      <c r="D415">
        <f>1+IF(OR(D406="Air conditioning",D406="Heat pump (heating &amp; cooling)"),IF(DE_Base_Profile!D12=1,J407-1,0),0)+IF(OR(D406="Electric heating",D406="Heat pump (heating &amp; cooling)"),IF(DE_Base_Profile!E12=1,L407-1,0),0)</f>
        <v>1.2</v>
      </c>
      <c r="E415">
        <f t="shared" si="27"/>
        <v>385.14</v>
      </c>
      <c r="F415">
        <f>IF(D406="Electric heating",IF(DE_Base_Profile!E12=1,B415*L407,0),IF(D406="Heat pump (heating &amp; cooling)",IF(DE_Base_Profile!D12=1,B415*J407,0)+IF(DE_Base_Profile!E12=1,B415*L407,0),0))</f>
        <v>0.11004</v>
      </c>
      <c r="G415">
        <f>IF(SUM($F$409:$F$420)=0,0,D407*F415/SUM($F$409:$F$420))</f>
        <v>279.098624524437</v>
      </c>
      <c r="H415">
        <f>F407/12</f>
        <v>0</v>
      </c>
      <c r="I415">
        <f>E415/SUM($E$409:$E$420)*L406+G415+H415</f>
        <v>601.58041301979</v>
      </c>
      <c r="J415">
        <f>I415/H407</f>
        <v>0.0986197398393098</v>
      </c>
    </row>
    <row r="416" spans="1:16">
      <c r="A416" t="str">
        <f>DE_Base_Profile!A13</f>
        <v>8月</v>
      </c>
      <c r="B416">
        <f>DE_Base_Profile!B13</f>
        <v>0.0887</v>
      </c>
      <c r="C416">
        <f>L406*B416</f>
        <v>310.45</v>
      </c>
      <c r="D416">
        <f>1+IF(OR(D406="Air conditioning",D406="Heat pump (heating &amp; cooling)"),IF(DE_Base_Profile!D13=1,J407-1,0),0)+IF(OR(D406="Electric heating",D406="Heat pump (heating &amp; cooling)"),IF(DE_Base_Profile!E13=1,L407-1,0),0)</f>
        <v>1.2</v>
      </c>
      <c r="E416">
        <f t="shared" si="27"/>
        <v>372.54</v>
      </c>
      <c r="F416">
        <f>IF(D406="Electric heating",IF(DE_Base_Profile!E13=1,B416*L407,0),IF(D406="Heat pump (heating &amp; cooling)",IF(DE_Base_Profile!D13=1,B416*J407,0)+IF(DE_Base_Profile!E13=1,B416*L407,0),0))</f>
        <v>0.10644</v>
      </c>
      <c r="G416">
        <f>IF(SUM($F$409:$F$420)=0,0,D407*F416/SUM($F$409:$F$420))</f>
        <v>269.96780801873</v>
      </c>
      <c r="H416">
        <f>F407/12</f>
        <v>0</v>
      </c>
      <c r="I416">
        <f>E416/SUM($E$409:$E$420)*L406+G416+H416</f>
        <v>581.899483477157</v>
      </c>
      <c r="J416">
        <f>I416/H407</f>
        <v>0.095393357947075</v>
      </c>
    </row>
    <row r="417" spans="1:10">
      <c r="A417" t="str">
        <f>DE_Base_Profile!A14</f>
        <v>9月</v>
      </c>
      <c r="B417">
        <f>DE_Base_Profile!B14</f>
        <v>0.0853</v>
      </c>
      <c r="C417">
        <f>L406*B417</f>
        <v>298.55</v>
      </c>
      <c r="D417">
        <f>1+IF(OR(D406="Air conditioning",D406="Heat pump (heating &amp; cooling)"),IF(DE_Base_Profile!D14=1,J407-1,0),0)+IF(OR(D406="Electric heating",D406="Heat pump (heating &amp; cooling)"),IF(DE_Base_Profile!E14=1,L407-1,0),0)</f>
        <v>1</v>
      </c>
      <c r="E417">
        <f t="shared" si="27"/>
        <v>298.55</v>
      </c>
      <c r="F417">
        <f>IF(D406="Electric heating",IF(DE_Base_Profile!E14=1,B417*L407,0),IF(D406="Heat pump (heating &amp; cooling)",IF(DE_Base_Profile!D14=1,B417*J407,0)+IF(DE_Base_Profile!E14=1,B417*L407,0),0))</f>
        <v>0</v>
      </c>
      <c r="G417">
        <f>IF(SUM($F$409:$F$420)=0,0,D407*F417/SUM($F$409:$F$420))</f>
        <v>0</v>
      </c>
      <c r="H417">
        <f>F407/12</f>
        <v>0</v>
      </c>
      <c r="I417">
        <f>E417/SUM($E$409:$E$420)*L406+G417+H417</f>
        <v>249.979067236038</v>
      </c>
      <c r="J417">
        <f>I417/H407</f>
        <v>0.0409801749567275</v>
      </c>
    </row>
    <row r="418" spans="1:10">
      <c r="A418" t="str">
        <f>DE_Base_Profile!A15</f>
        <v>10月</v>
      </c>
      <c r="B418">
        <f>DE_Base_Profile!B15</f>
        <v>0.0838</v>
      </c>
      <c r="C418">
        <f>L406*B418</f>
        <v>293.3</v>
      </c>
      <c r="D418">
        <f>1+IF(OR(D406="Air conditioning",D406="Heat pump (heating &amp; cooling)"),IF(DE_Base_Profile!D15=1,J407-1,0),0)+IF(OR(D406="Electric heating",D406="Heat pump (heating &amp; cooling)"),IF(DE_Base_Profile!E15=1,L407-1,0),0)</f>
        <v>1.25</v>
      </c>
      <c r="E418">
        <f t="shared" si="27"/>
        <v>366.625</v>
      </c>
      <c r="F418">
        <f>IF(D406="Electric heating",IF(DE_Base_Profile!E15=1,B418*L407,0),IF(D406="Heat pump (heating &amp; cooling)",IF(DE_Base_Profile!D15=1,B418*J407,0)+IF(DE_Base_Profile!E15=1,B418*L407,0),0))</f>
        <v>0.10475</v>
      </c>
      <c r="G418">
        <f>IF(SUM($F$409:$F$420)=0,0,D407*F418/SUM($F$409:$F$420))</f>
        <v>265.681396936884</v>
      </c>
      <c r="H418">
        <f>F407/12</f>
        <v>0</v>
      </c>
      <c r="I418">
        <f>E418/SUM($E$409:$E$420)*L406+G418+H418</f>
        <v>572.660380441866</v>
      </c>
      <c r="J418">
        <f>I418/H407</f>
        <v>0.0938787508921092</v>
      </c>
    </row>
    <row r="419" spans="1:10">
      <c r="A419" t="str">
        <f>DE_Base_Profile!A16</f>
        <v>11月</v>
      </c>
      <c r="B419">
        <f>DE_Base_Profile!B16</f>
        <v>0.0819</v>
      </c>
      <c r="C419">
        <f>L406*B419</f>
        <v>286.65</v>
      </c>
      <c r="D419">
        <f>1+IF(OR(D406="Air conditioning",D406="Heat pump (heating &amp; cooling)"),IF(DE_Base_Profile!D16=1,J407-1,0),0)+IF(OR(D406="Electric heating",D406="Heat pump (heating &amp; cooling)"),IF(DE_Base_Profile!E16=1,L407-1,0),0)</f>
        <v>1.25</v>
      </c>
      <c r="E419">
        <f t="shared" si="27"/>
        <v>358.3125</v>
      </c>
      <c r="F419">
        <f>IF(D406="Electric heating",IF(DE_Base_Profile!E16=1,B419*L407,0),IF(D406="Heat pump (heating &amp; cooling)",IF(DE_Base_Profile!D16=1,B419*J407,0)+IF(DE_Base_Profile!E16=1,B419*L407,0),0))</f>
        <v>0.102375</v>
      </c>
      <c r="G419">
        <f>IF(SUM($F$409:$F$420)=0,0,D407*F419/SUM($F$409:$F$420))</f>
        <v>259.657594381036</v>
      </c>
      <c r="H419">
        <f>F407/12</f>
        <v>0</v>
      </c>
      <c r="I419">
        <f>E419/SUM($E$409:$E$420)*L406+G419+H419</f>
        <v>559.676433868602</v>
      </c>
      <c r="J419">
        <f>I419/H407</f>
        <v>0.0917502350604265</v>
      </c>
    </row>
    <row r="420" spans="1:10">
      <c r="A420" t="str">
        <f>DE_Base_Profile!A17</f>
        <v>12月</v>
      </c>
      <c r="B420">
        <f>DE_Base_Profile!B17</f>
        <v>0.0796</v>
      </c>
      <c r="C420">
        <f>L406*B420</f>
        <v>278.6</v>
      </c>
      <c r="D420">
        <f>1+IF(OR(D406="Air conditioning",D406="Heat pump (heating &amp; cooling)"),IF(DE_Base_Profile!D17=1,J407-1,0),0)+IF(OR(D406="Electric heating",D406="Heat pump (heating &amp; cooling)"),IF(DE_Base_Profile!E17=1,L407-1,0),0)</f>
        <v>1.25</v>
      </c>
      <c r="E420">
        <f t="shared" si="27"/>
        <v>348.25</v>
      </c>
      <c r="F420">
        <f>IF(D406="Electric heating",IF(DE_Base_Profile!E17=1,B420*L407,0),IF(D406="Heat pump (heating &amp; cooling)",IF(DE_Base_Profile!D17=1,B420*J407,0)+IF(DE_Base_Profile!E17=1,B420*L407,0),0))</f>
        <v>0.0995</v>
      </c>
      <c r="G420">
        <f>IF(SUM($F$409:$F$420)=0,0,D407*F420/SUM($F$409:$F$420))</f>
        <v>252.365622866062</v>
      </c>
      <c r="H420">
        <f>F407/12</f>
        <v>0</v>
      </c>
      <c r="I420">
        <f>E420/SUM($E$409:$E$420)*L406+G420+H420</f>
        <v>543.959024858861</v>
      </c>
      <c r="J420">
        <f>I420/H407</f>
        <v>0.0891736106326002</v>
      </c>
    </row>
    <row r="423" spans="1:10">
      <c r="A423">
        <f>DE_Base_Profile!H6</f>
        <v>0</v>
      </c>
      <c r="B423">
        <f>DE_Base_Profile!I6</f>
        <v>0.0301</v>
      </c>
      <c r="C423">
        <f>IF(DE_Base_Profile!J6=1,INDEX(DE_Lookups!$B$2:$B$4,MATCH(B406,DE_Lookups!$A$2:$A$4,0)),1)</f>
        <v>1</v>
      </c>
      <c r="D423">
        <f>IF(OR(D406="Air conditioning",D406="Heat pump (heating &amp; cooling)"),IF(DE_Base_Profile!K6=1,N407,1),1)*IF(OR(D406="Electric heating",D406="Heat pump (heating &amp; cooling)"),IF(DE_Base_Profile!L6=1,P407,1),1)</f>
        <v>1</v>
      </c>
      <c r="E423">
        <f t="shared" ref="E423:E446" si="28">B423*C423*D423</f>
        <v>0.0301</v>
      </c>
      <c r="F423">
        <f t="shared" ref="F423:F446" si="29">E423/SUM($E$423:$E$446)</f>
        <v>0.0295551362850176</v>
      </c>
      <c r="G423">
        <f>((L406+D407)/365)*F423</f>
        <v>0.493935154352348</v>
      </c>
      <c r="H423">
        <f>INDEX(DE_Base_Profile!$N$6:$Q$29,ROW()-422,MATCH(J406,DE_Base_Profile!$N$5:$Q$5,0))</f>
        <v>0.125</v>
      </c>
      <c r="I423">
        <f>(F407/365)*H423</f>
        <v>0</v>
      </c>
      <c r="J423">
        <f>(G423+I423)/(H407/365)</f>
        <v>0.0295551362850176</v>
      </c>
    </row>
    <row r="424" spans="1:10">
      <c r="A424">
        <f>DE_Base_Profile!H7</f>
        <v>1</v>
      </c>
      <c r="B424">
        <f>DE_Base_Profile!I7</f>
        <v>0.0258</v>
      </c>
      <c r="C424">
        <f>IF(DE_Base_Profile!J7=1,INDEX(DE_Lookups!$B$2:$B$4,MATCH(B406,DE_Lookups!$A$2:$A$4,0)),1)</f>
        <v>1</v>
      </c>
      <c r="D424">
        <f>IF(OR(D406="Air conditioning",D406="Heat pump (heating &amp; cooling)"),IF(DE_Base_Profile!K7=1,N407,1),1)*IF(OR(D406="Electric heating",D406="Heat pump (heating &amp; cooling)"),IF(DE_Base_Profile!L7=1,P407,1),1)</f>
        <v>1</v>
      </c>
      <c r="E424">
        <f t="shared" si="28"/>
        <v>0.0258</v>
      </c>
      <c r="F424">
        <f t="shared" si="29"/>
        <v>0.0253329739585865</v>
      </c>
      <c r="G424">
        <f>((L406+D407)/365)*F424</f>
        <v>0.42337298944487</v>
      </c>
      <c r="H424">
        <f>INDEX(DE_Base_Profile!$N$6:$Q$29,ROW()-422,MATCH(J406,DE_Base_Profile!$N$5:$Q$5,0))</f>
        <v>0.125</v>
      </c>
      <c r="I424">
        <f>(F407/365)*H424</f>
        <v>0</v>
      </c>
      <c r="J424">
        <f>(G424+I424)/(H407/365)</f>
        <v>0.0253329739585865</v>
      </c>
    </row>
    <row r="425" spans="1:10">
      <c r="A425">
        <f>DE_Base_Profile!H8</f>
        <v>2</v>
      </c>
      <c r="B425">
        <f>DE_Base_Profile!I8</f>
        <v>0.0239</v>
      </c>
      <c r="C425">
        <f>IF(DE_Base_Profile!J8=1,INDEX(DE_Lookups!$B$2:$B$4,MATCH(B406,DE_Lookups!$A$2:$A$4,0)),1)</f>
        <v>1</v>
      </c>
      <c r="D425">
        <f>IF(OR(D406="Air conditioning",D406="Heat pump (heating &amp; cooling)"),IF(DE_Base_Profile!K8=1,N407,1),1)*IF(OR(D406="Electric heating",D406="Heat pump (heating &amp; cooling)"),IF(DE_Base_Profile!L8=1,P407,1),1)</f>
        <v>1</v>
      </c>
      <c r="E425">
        <f t="shared" si="28"/>
        <v>0.0239</v>
      </c>
      <c r="F425">
        <f t="shared" si="29"/>
        <v>0.0234673673492332</v>
      </c>
      <c r="G425">
        <f>((L406+D407)/365)*F425</f>
        <v>0.39219435843924</v>
      </c>
      <c r="H425">
        <f>INDEX(DE_Base_Profile!$N$6:$Q$29,ROW()-422,MATCH(J406,DE_Base_Profile!$N$5:$Q$5,0))</f>
        <v>0.125</v>
      </c>
      <c r="I425">
        <f>(F407/365)*H425</f>
        <v>0</v>
      </c>
      <c r="J425">
        <f>(G425+I425)/(H407/365)</f>
        <v>0.0234673673492332</v>
      </c>
    </row>
    <row r="426" spans="1:10">
      <c r="A426">
        <f>DE_Base_Profile!H9</f>
        <v>3</v>
      </c>
      <c r="B426">
        <f>DE_Base_Profile!I9</f>
        <v>0.0232</v>
      </c>
      <c r="C426">
        <f>IF(DE_Base_Profile!J9=1,INDEX(DE_Lookups!$B$2:$B$4,MATCH(B406,DE_Lookups!$A$2:$A$4,0)),1)</f>
        <v>1</v>
      </c>
      <c r="D426">
        <f>IF(OR(D406="Air conditioning",D406="Heat pump (heating &amp; cooling)"),IF(DE_Base_Profile!K9=1,N407,1),1)*IF(OR(D406="Electric heating",D406="Heat pump (heating &amp; cooling)"),IF(DE_Base_Profile!L9=1,P407,1),1)</f>
        <v>1</v>
      </c>
      <c r="E426">
        <f t="shared" si="28"/>
        <v>0.0232</v>
      </c>
      <c r="F426">
        <f t="shared" si="29"/>
        <v>0.0227800385984188</v>
      </c>
      <c r="G426">
        <f>((L406+D407)/365)*F426</f>
        <v>0.380707494384534</v>
      </c>
      <c r="H426">
        <f>INDEX(DE_Base_Profile!$N$6:$Q$29,ROW()-422,MATCH(J406,DE_Base_Profile!$N$5:$Q$5,0))</f>
        <v>0.125</v>
      </c>
      <c r="I426">
        <f>(F407/365)*H426</f>
        <v>0</v>
      </c>
      <c r="J426">
        <f>(G426+I426)/(H407/365)</f>
        <v>0.0227800385984188</v>
      </c>
    </row>
    <row r="427" spans="1:10">
      <c r="A427">
        <f>DE_Base_Profile!H10</f>
        <v>4</v>
      </c>
      <c r="B427">
        <f>DE_Base_Profile!I10</f>
        <v>0.0236</v>
      </c>
      <c r="C427">
        <f>IF(DE_Base_Profile!J10=1,INDEX(DE_Lookups!$B$2:$B$4,MATCH(B406,DE_Lookups!$A$2:$A$4,0)),1)</f>
        <v>1</v>
      </c>
      <c r="D427">
        <f>IF(OR(D406="Air conditioning",D406="Heat pump (heating &amp; cooling)"),IF(DE_Base_Profile!K10=1,N407,1),1)*IF(OR(D406="Electric heating",D406="Heat pump (heating &amp; cooling)"),IF(DE_Base_Profile!L10=1,P407,1),1)</f>
        <v>1</v>
      </c>
      <c r="E427">
        <f t="shared" si="28"/>
        <v>0.0236</v>
      </c>
      <c r="F427">
        <f t="shared" si="29"/>
        <v>0.0231727978845985</v>
      </c>
      <c r="G427">
        <f>((L406+D407)/365)*F427</f>
        <v>0.387271416701509</v>
      </c>
      <c r="H427">
        <f>INDEX(DE_Base_Profile!$N$6:$Q$29,ROW()-422,MATCH(J406,DE_Base_Profile!$N$5:$Q$5,0))</f>
        <v>0.125</v>
      </c>
      <c r="I427">
        <f>(F407/365)*H427</f>
        <v>0</v>
      </c>
      <c r="J427">
        <f>(G427+I427)/(H407/365)</f>
        <v>0.0231727978845985</v>
      </c>
    </row>
    <row r="428" spans="1:10">
      <c r="A428">
        <f>DE_Base_Profile!H11</f>
        <v>5</v>
      </c>
      <c r="B428">
        <f>DE_Base_Profile!I11</f>
        <v>0.0252</v>
      </c>
      <c r="C428">
        <f>IF(DE_Base_Profile!J11=1,INDEX(DE_Lookups!$B$2:$B$4,MATCH(B406,DE_Lookups!$A$2:$A$4,0)),1)</f>
        <v>1</v>
      </c>
      <c r="D428">
        <f>IF(OR(D406="Air conditioning",D406="Heat pump (heating &amp; cooling)"),IF(DE_Base_Profile!K11=1,N407,1),1)*IF(OR(D406="Electric heating",D406="Heat pump (heating &amp; cooling)"),IF(DE_Base_Profile!L11=1,P407,1),1)</f>
        <v>1</v>
      </c>
      <c r="E428">
        <f t="shared" si="28"/>
        <v>0.0252</v>
      </c>
      <c r="F428">
        <f t="shared" si="29"/>
        <v>0.024743835029317</v>
      </c>
      <c r="G428">
        <f>((L406+D407)/365)*F428</f>
        <v>0.413527105969408</v>
      </c>
      <c r="H428">
        <f>INDEX(DE_Base_Profile!$N$6:$Q$29,ROW()-422,MATCH(J406,DE_Base_Profile!$N$5:$Q$5,0))</f>
        <v>0.125</v>
      </c>
      <c r="I428">
        <f>(F407/365)*H428</f>
        <v>0</v>
      </c>
      <c r="J428">
        <f>(G428+I428)/(H407/365)</f>
        <v>0.024743835029317</v>
      </c>
    </row>
    <row r="429" spans="1:10">
      <c r="A429">
        <f>DE_Base_Profile!H12</f>
        <v>6</v>
      </c>
      <c r="B429">
        <f>DE_Base_Profile!I12</f>
        <v>0.03</v>
      </c>
      <c r="C429">
        <f>IF(DE_Base_Profile!J12=1,INDEX(DE_Lookups!$B$2:$B$4,MATCH(B406,DE_Lookups!$A$2:$A$4,0)),1)</f>
        <v>1</v>
      </c>
      <c r="D429">
        <f>IF(OR(D406="Air conditioning",D406="Heat pump (heating &amp; cooling)"),IF(DE_Base_Profile!K12=1,N407,1),1)*IF(OR(D406="Electric heating",D406="Heat pump (heating &amp; cooling)"),IF(DE_Base_Profile!L12=1,P407,1),1)</f>
        <v>1.25</v>
      </c>
      <c r="E429">
        <f t="shared" si="28"/>
        <v>0.0375</v>
      </c>
      <c r="F429">
        <f t="shared" si="29"/>
        <v>0.0368211830793408</v>
      </c>
      <c r="G429">
        <f>((L406+D407)/365)*F429</f>
        <v>0.615367717216381</v>
      </c>
      <c r="H429">
        <f>INDEX(DE_Base_Profile!$N$6:$Q$29,ROW()-422,MATCH(J406,DE_Base_Profile!$N$5:$Q$5,0))</f>
        <v>0</v>
      </c>
      <c r="I429">
        <f>(F407/365)*H429</f>
        <v>0</v>
      </c>
      <c r="J429">
        <f>(G429+I429)/(H407/365)</f>
        <v>0.0368211830793408</v>
      </c>
    </row>
    <row r="430" spans="1:10">
      <c r="A430">
        <f>DE_Base_Profile!H13</f>
        <v>7</v>
      </c>
      <c r="B430">
        <f>DE_Base_Profile!I13</f>
        <v>0.0358</v>
      </c>
      <c r="C430">
        <f>IF(DE_Base_Profile!J13=1,INDEX(DE_Lookups!$B$2:$B$4,MATCH(B406,DE_Lookups!$A$2:$A$4,0)),1)</f>
        <v>1</v>
      </c>
      <c r="D430">
        <f>IF(OR(D406="Air conditioning",D406="Heat pump (heating &amp; cooling)"),IF(DE_Base_Profile!K13=1,N407,1),1)*IF(OR(D406="Electric heating",D406="Heat pump (heating &amp; cooling)"),IF(DE_Base_Profile!L13=1,P407,1),1)</f>
        <v>1.25</v>
      </c>
      <c r="E430">
        <f t="shared" si="28"/>
        <v>0.04475</v>
      </c>
      <c r="F430">
        <f t="shared" si="29"/>
        <v>0.0439399451413467</v>
      </c>
      <c r="G430">
        <f>((L406+D407)/365)*F430</f>
        <v>0.734338809211548</v>
      </c>
      <c r="H430">
        <f>INDEX(DE_Base_Profile!$N$6:$Q$29,ROW()-422,MATCH(J406,DE_Base_Profile!$N$5:$Q$5,0))</f>
        <v>0</v>
      </c>
      <c r="I430">
        <f>(F407/365)*H430</f>
        <v>0</v>
      </c>
      <c r="J430">
        <f>(G430+I430)/(H407/365)</f>
        <v>0.0439399451413467</v>
      </c>
    </row>
    <row r="431" spans="1:10">
      <c r="A431">
        <f>DE_Base_Profile!H14</f>
        <v>8</v>
      </c>
      <c r="B431">
        <f>DE_Base_Profile!I14</f>
        <v>0.041</v>
      </c>
      <c r="C431">
        <f>IF(DE_Base_Profile!J14=1,INDEX(DE_Lookups!$B$2:$B$4,MATCH(B406,DE_Lookups!$A$2:$A$4,0)),1)</f>
        <v>1</v>
      </c>
      <c r="D431">
        <f>IF(OR(D406="Air conditioning",D406="Heat pump (heating &amp; cooling)"),IF(DE_Base_Profile!K14=1,N407,1),1)*IF(OR(D406="Electric heating",D406="Heat pump (heating &amp; cooling)"),IF(DE_Base_Profile!L14=1,P407,1),1)</f>
        <v>1.25</v>
      </c>
      <c r="E431">
        <f t="shared" si="28"/>
        <v>0.05125</v>
      </c>
      <c r="F431">
        <f t="shared" si="29"/>
        <v>0.0503222835417658</v>
      </c>
      <c r="G431">
        <f>((L406+D407)/365)*F431</f>
        <v>0.841002546862387</v>
      </c>
      <c r="H431">
        <f>INDEX(DE_Base_Profile!$N$6:$Q$29,ROW()-422,MATCH(J406,DE_Base_Profile!$N$5:$Q$5,0))</f>
        <v>0</v>
      </c>
      <c r="I431">
        <f>(F407/365)*H431</f>
        <v>0</v>
      </c>
      <c r="J431">
        <f>(G431+I431)/(H407/365)</f>
        <v>0.0503222835417658</v>
      </c>
    </row>
    <row r="432" spans="1:10">
      <c r="A432">
        <f>DE_Base_Profile!H15</f>
        <v>9</v>
      </c>
      <c r="B432">
        <f>DE_Base_Profile!I15</f>
        <v>0.0446</v>
      </c>
      <c r="C432">
        <f>IF(DE_Base_Profile!J15=1,INDEX(DE_Lookups!$B$2:$B$4,MATCH(B406,DE_Lookups!$A$2:$A$4,0)),1)</f>
        <v>0.6</v>
      </c>
      <c r="D432">
        <f>IF(OR(D406="Air conditioning",D406="Heat pump (heating &amp; cooling)"),IF(DE_Base_Profile!K15=1,N407,1),1)*IF(OR(D406="Electric heating",D406="Heat pump (heating &amp; cooling)"),IF(DE_Base_Profile!L15=1,P407,1),1)</f>
        <v>1.25</v>
      </c>
      <c r="E432">
        <f t="shared" si="28"/>
        <v>0.03345</v>
      </c>
      <c r="F432">
        <f t="shared" si="29"/>
        <v>0.032844495306772</v>
      </c>
      <c r="G432">
        <f>((L406+D407)/365)*F432</f>
        <v>0.548908003757012</v>
      </c>
      <c r="H432">
        <f>INDEX(DE_Base_Profile!$N$6:$Q$29,ROW()-422,MATCH(J406,DE_Base_Profile!$N$5:$Q$5,0))</f>
        <v>0</v>
      </c>
      <c r="I432">
        <f>(F407/365)*H432</f>
        <v>0</v>
      </c>
      <c r="J432">
        <f>(G432+I432)/(H407/365)</f>
        <v>0.032844495306772</v>
      </c>
    </row>
    <row r="433" spans="1:10">
      <c r="A433">
        <f>DE_Base_Profile!H16</f>
        <v>10</v>
      </c>
      <c r="B433">
        <f>DE_Base_Profile!I16</f>
        <v>0.0474</v>
      </c>
      <c r="C433">
        <f>IF(DE_Base_Profile!J16=1,INDEX(DE_Lookups!$B$2:$B$4,MATCH(B406,DE_Lookups!$A$2:$A$4,0)),1)</f>
        <v>0.6</v>
      </c>
      <c r="D433">
        <f>IF(OR(D406="Air conditioning",D406="Heat pump (heating &amp; cooling)"),IF(DE_Base_Profile!K16=1,N407,1),1)*IF(OR(D406="Electric heating",D406="Heat pump (heating &amp; cooling)"),IF(DE_Base_Profile!L16=1,P407,1),1)</f>
        <v>1</v>
      </c>
      <c r="E433">
        <f t="shared" si="28"/>
        <v>0.02844</v>
      </c>
      <c r="F433">
        <f t="shared" si="29"/>
        <v>0.0279251852473721</v>
      </c>
      <c r="G433">
        <f>((L406+D407)/365)*F433</f>
        <v>0.466694876736903</v>
      </c>
      <c r="H433">
        <f>INDEX(DE_Base_Profile!$N$6:$Q$29,ROW()-422,MATCH(J406,DE_Base_Profile!$N$5:$Q$5,0))</f>
        <v>0</v>
      </c>
      <c r="I433">
        <f>(F407/365)*H433</f>
        <v>0</v>
      </c>
      <c r="J433">
        <f>(G433+I433)/(H407/365)</f>
        <v>0.0279251852473721</v>
      </c>
    </row>
    <row r="434" spans="1:10">
      <c r="A434">
        <f>DE_Base_Profile!H17</f>
        <v>11</v>
      </c>
      <c r="B434">
        <f>DE_Base_Profile!I17</f>
        <v>0.0518</v>
      </c>
      <c r="C434">
        <f>IF(DE_Base_Profile!J17=1,INDEX(DE_Lookups!$B$2:$B$4,MATCH(B406,DE_Lookups!$A$2:$A$4,0)),1)</f>
        <v>0.6</v>
      </c>
      <c r="D434">
        <f>IF(OR(D406="Air conditioning",D406="Heat pump (heating &amp; cooling)"),IF(DE_Base_Profile!K17=1,N407,1),1)*IF(OR(D406="Electric heating",D406="Heat pump (heating &amp; cooling)"),IF(DE_Base_Profile!L17=1,P407,1),1)</f>
        <v>1</v>
      </c>
      <c r="E434">
        <f t="shared" si="28"/>
        <v>0.03108</v>
      </c>
      <c r="F434">
        <f t="shared" si="29"/>
        <v>0.0305173965361577</v>
      </c>
      <c r="G434">
        <f>((L406+D407)/365)*F434</f>
        <v>0.510016764028936</v>
      </c>
      <c r="H434">
        <f>INDEX(DE_Base_Profile!$N$6:$Q$29,ROW()-422,MATCH(J406,DE_Base_Profile!$N$5:$Q$5,0))</f>
        <v>0</v>
      </c>
      <c r="I434">
        <f>(F407/365)*H434</f>
        <v>0</v>
      </c>
      <c r="J434">
        <f>(G434+I434)/(H407/365)</f>
        <v>0.0305173965361577</v>
      </c>
    </row>
    <row r="435" spans="1:10">
      <c r="A435">
        <f>DE_Base_Profile!H18</f>
        <v>12</v>
      </c>
      <c r="B435">
        <f>DE_Base_Profile!I18</f>
        <v>0.0513</v>
      </c>
      <c r="C435">
        <f>IF(DE_Base_Profile!J18=1,INDEX(DE_Lookups!$B$2:$B$4,MATCH(B406,DE_Lookups!$A$2:$A$4,0)),1)</f>
        <v>0.6</v>
      </c>
      <c r="D435">
        <f>IF(OR(D406="Air conditioning",D406="Heat pump (heating &amp; cooling)"),IF(DE_Base_Profile!K18=1,N407,1),1)*IF(OR(D406="Electric heating",D406="Heat pump (heating &amp; cooling)"),IF(DE_Base_Profile!L18=1,P407,1),1)</f>
        <v>1</v>
      </c>
      <c r="E435">
        <f t="shared" si="28"/>
        <v>0.03078</v>
      </c>
      <c r="F435">
        <f t="shared" si="29"/>
        <v>0.0302228270715229</v>
      </c>
      <c r="G435">
        <f>((L406+D407)/365)*F435</f>
        <v>0.505093822291205</v>
      </c>
      <c r="H435">
        <f>INDEX(DE_Base_Profile!$N$6:$Q$29,ROW()-422,MATCH(J406,DE_Base_Profile!$N$5:$Q$5,0))</f>
        <v>0</v>
      </c>
      <c r="I435">
        <f>(F407/365)*H435</f>
        <v>0</v>
      </c>
      <c r="J435">
        <f>(G435+I435)/(H407/365)</f>
        <v>0.0302228270715229</v>
      </c>
    </row>
    <row r="436" spans="1:10">
      <c r="A436">
        <f>DE_Base_Profile!H19</f>
        <v>13</v>
      </c>
      <c r="B436">
        <f>DE_Base_Profile!I19</f>
        <v>0.0481</v>
      </c>
      <c r="C436">
        <f>IF(DE_Base_Profile!J19=1,INDEX(DE_Lookups!$B$2:$B$4,MATCH(B406,DE_Lookups!$A$2:$A$4,0)),1)</f>
        <v>0.6</v>
      </c>
      <c r="D436">
        <f>IF(OR(D406="Air conditioning",D406="Heat pump (heating &amp; cooling)"),IF(DE_Base_Profile!K19=1,N407,1),1)*IF(OR(D406="Electric heating",D406="Heat pump (heating &amp; cooling)"),IF(DE_Base_Profile!L19=1,P407,1),1)</f>
        <v>1</v>
      </c>
      <c r="E436">
        <f t="shared" si="28"/>
        <v>0.02886</v>
      </c>
      <c r="F436">
        <f t="shared" si="29"/>
        <v>0.0283375824978607</v>
      </c>
      <c r="G436">
        <f>((L406+D407)/365)*F436</f>
        <v>0.473586995169727</v>
      </c>
      <c r="H436">
        <f>INDEX(DE_Base_Profile!$N$6:$Q$29,ROW()-422,MATCH(J406,DE_Base_Profile!$N$5:$Q$5,0))</f>
        <v>0</v>
      </c>
      <c r="I436">
        <f>(F407/365)*H436</f>
        <v>0</v>
      </c>
      <c r="J436">
        <f>(G436+I436)/(H407/365)</f>
        <v>0.0283375824978607</v>
      </c>
    </row>
    <row r="437" spans="1:10">
      <c r="A437">
        <f>DE_Base_Profile!H20</f>
        <v>14</v>
      </c>
      <c r="B437">
        <f>DE_Base_Profile!I20</f>
        <v>0.0459</v>
      </c>
      <c r="C437">
        <f>IF(DE_Base_Profile!J20=1,INDEX(DE_Lookups!$B$2:$B$4,MATCH(B406,DE_Lookups!$A$2:$A$4,0)),1)</f>
        <v>0.6</v>
      </c>
      <c r="D437">
        <f>IF(OR(D406="Air conditioning",D406="Heat pump (heating &amp; cooling)"),IF(DE_Base_Profile!K20=1,N407,1),1)*IF(OR(D406="Electric heating",D406="Heat pump (heating &amp; cooling)"),IF(DE_Base_Profile!L20=1,P407,1),1)</f>
        <v>1.35</v>
      </c>
      <c r="E437">
        <f t="shared" si="28"/>
        <v>0.037179</v>
      </c>
      <c r="F437">
        <f t="shared" si="29"/>
        <v>0.0365059937521817</v>
      </c>
      <c r="G437">
        <f>((L406+D407)/365)*F437</f>
        <v>0.610100169557009</v>
      </c>
      <c r="H437">
        <f>INDEX(DE_Base_Profile!$N$6:$Q$29,ROW()-422,MATCH(J406,DE_Base_Profile!$N$5:$Q$5,0))</f>
        <v>0</v>
      </c>
      <c r="I437">
        <f>(F407/365)*H437</f>
        <v>0</v>
      </c>
      <c r="J437">
        <f>(G437+I437)/(H407/365)</f>
        <v>0.0365059937521817</v>
      </c>
    </row>
    <row r="438" spans="1:10">
      <c r="A438">
        <f>DE_Base_Profile!H21</f>
        <v>15</v>
      </c>
      <c r="B438">
        <f>DE_Base_Profile!I21</f>
        <v>0.0454</v>
      </c>
      <c r="C438">
        <f>IF(DE_Base_Profile!J21=1,INDEX(DE_Lookups!$B$2:$B$4,MATCH(B406,DE_Lookups!$A$2:$A$4,0)),1)</f>
        <v>0.6</v>
      </c>
      <c r="D438">
        <f>IF(OR(D406="Air conditioning",D406="Heat pump (heating &amp; cooling)"),IF(DE_Base_Profile!K21=1,N407,1),1)*IF(OR(D406="Electric heating",D406="Heat pump (heating &amp; cooling)"),IF(DE_Base_Profile!L21=1,P407,1),1)</f>
        <v>1.35</v>
      </c>
      <c r="E438">
        <f t="shared" si="28"/>
        <v>0.036774</v>
      </c>
      <c r="F438">
        <f t="shared" si="29"/>
        <v>0.0361083249749248</v>
      </c>
      <c r="G438">
        <f>((L406+D407)/365)*F438</f>
        <v>0.603454198211072</v>
      </c>
      <c r="H438">
        <f>INDEX(DE_Base_Profile!$N$6:$Q$29,ROW()-422,MATCH(J406,DE_Base_Profile!$N$5:$Q$5,0))</f>
        <v>0</v>
      </c>
      <c r="I438">
        <f>(F407/365)*H438</f>
        <v>0</v>
      </c>
      <c r="J438">
        <f>(G438+I438)/(H407/365)</f>
        <v>0.0361083249749248</v>
      </c>
    </row>
    <row r="439" spans="1:10">
      <c r="A439">
        <f>DE_Base_Profile!H22</f>
        <v>16</v>
      </c>
      <c r="B439">
        <f>DE_Base_Profile!I22</f>
        <v>0.0475</v>
      </c>
      <c r="C439">
        <f>IF(DE_Base_Profile!J22=1,INDEX(DE_Lookups!$B$2:$B$4,MATCH(B406,DE_Lookups!$A$2:$A$4,0)),1)</f>
        <v>0.6</v>
      </c>
      <c r="D439">
        <f>IF(OR(D406="Air conditioning",D406="Heat pump (heating &amp; cooling)"),IF(DE_Base_Profile!K22=1,N407,1),1)*IF(OR(D406="Electric heating",D406="Heat pump (heating &amp; cooling)"),IF(DE_Base_Profile!L22=1,P407,1),1)</f>
        <v>1.35</v>
      </c>
      <c r="E439">
        <f t="shared" si="28"/>
        <v>0.038475</v>
      </c>
      <c r="F439">
        <f t="shared" si="29"/>
        <v>0.0377785338394037</v>
      </c>
      <c r="G439">
        <f>((L406+D407)/365)*F439</f>
        <v>0.631367277864007</v>
      </c>
      <c r="H439">
        <f>INDEX(DE_Base_Profile!$N$6:$Q$29,ROW()-422,MATCH(J406,DE_Base_Profile!$N$5:$Q$5,0))</f>
        <v>0</v>
      </c>
      <c r="I439">
        <f>(F407/365)*H439</f>
        <v>0</v>
      </c>
      <c r="J439">
        <f>(G439+I439)/(H407/365)</f>
        <v>0.0377785338394037</v>
      </c>
    </row>
    <row r="440" spans="1:10">
      <c r="A440">
        <f>DE_Base_Profile!H23</f>
        <v>17</v>
      </c>
      <c r="B440">
        <f>DE_Base_Profile!I23</f>
        <v>0.0535</v>
      </c>
      <c r="C440">
        <f>IF(DE_Base_Profile!J23=1,INDEX(DE_Lookups!$B$2:$B$4,MATCH(B406,DE_Lookups!$A$2:$A$4,0)),1)</f>
        <v>0.6</v>
      </c>
      <c r="D440">
        <f>IF(OR(D406="Air conditioning",D406="Heat pump (heating &amp; cooling)"),IF(DE_Base_Profile!K23=1,N407,1),1)*IF(OR(D406="Electric heating",D406="Heat pump (heating &amp; cooling)"),IF(DE_Base_Profile!L23=1,P407,1),1)</f>
        <v>1.35</v>
      </c>
      <c r="E440">
        <f t="shared" si="28"/>
        <v>0.043335</v>
      </c>
      <c r="F440">
        <f t="shared" si="29"/>
        <v>0.0425505591664862</v>
      </c>
      <c r="G440">
        <f>((L406+D407)/365)*F440</f>
        <v>0.71111893401525</v>
      </c>
      <c r="H440">
        <f>INDEX(DE_Base_Profile!$N$6:$Q$29,ROW()-422,MATCH(J406,DE_Base_Profile!$N$5:$Q$5,0))</f>
        <v>0</v>
      </c>
      <c r="I440">
        <f>(F407/365)*H440</f>
        <v>0</v>
      </c>
      <c r="J440">
        <f>(G440+I440)/(H407/365)</f>
        <v>0.0425505591664862</v>
      </c>
    </row>
    <row r="441" spans="1:10">
      <c r="A441">
        <f>DE_Base_Profile!H24</f>
        <v>18</v>
      </c>
      <c r="B441">
        <f>DE_Base_Profile!I24</f>
        <v>0.0587</v>
      </c>
      <c r="C441">
        <f>IF(DE_Base_Profile!J24=1,INDEX(DE_Lookups!$B$2:$B$4,MATCH(B406,DE_Lookups!$A$2:$A$4,0)),1)</f>
        <v>1</v>
      </c>
      <c r="D441">
        <f>IF(OR(D406="Air conditioning",D406="Heat pump (heating &amp; cooling)"),IF(DE_Base_Profile!K24=1,N407,1),1)*IF(OR(D406="Electric heating",D406="Heat pump (heating &amp; cooling)"),IF(DE_Base_Profile!L24=1,P407,1),1)</f>
        <v>1.6875</v>
      </c>
      <c r="E441">
        <f t="shared" si="28"/>
        <v>0.09905625</v>
      </c>
      <c r="F441">
        <f t="shared" si="29"/>
        <v>0.0972631551040787</v>
      </c>
      <c r="G441">
        <f>((L406+D407)/365)*F441</f>
        <v>1.62549382502707</v>
      </c>
      <c r="H441">
        <f>INDEX(DE_Base_Profile!$N$6:$Q$29,ROW()-422,MATCH(J406,DE_Base_Profile!$N$5:$Q$5,0))</f>
        <v>0</v>
      </c>
      <c r="I441">
        <f>(F407/365)*H441</f>
        <v>0</v>
      </c>
      <c r="J441">
        <f>(G441+I441)/(H407/365)</f>
        <v>0.0972631551040787</v>
      </c>
    </row>
    <row r="442" spans="1:10">
      <c r="A442">
        <f>DE_Base_Profile!H25</f>
        <v>19</v>
      </c>
      <c r="B442">
        <f>DE_Base_Profile!I25</f>
        <v>0.0591</v>
      </c>
      <c r="C442">
        <f>IF(DE_Base_Profile!J25=1,INDEX(DE_Lookups!$B$2:$B$4,MATCH(B406,DE_Lookups!$A$2:$A$4,0)),1)</f>
        <v>1</v>
      </c>
      <c r="D442">
        <f>IF(OR(D406="Air conditioning",D406="Heat pump (heating &amp; cooling)"),IF(DE_Base_Profile!K25=1,N407,1),1)*IF(OR(D406="Electric heating",D406="Heat pump (heating &amp; cooling)"),IF(DE_Base_Profile!L25=1,P407,1),1)</f>
        <v>1.6875</v>
      </c>
      <c r="E442">
        <f t="shared" si="28"/>
        <v>0.09973125</v>
      </c>
      <c r="F442">
        <f t="shared" si="29"/>
        <v>0.0979259363995069</v>
      </c>
      <c r="G442">
        <f>((L406+D407)/365)*F442</f>
        <v>1.63657044393696</v>
      </c>
      <c r="H442">
        <f>INDEX(DE_Base_Profile!$N$6:$Q$29,ROW()-422,MATCH(J406,DE_Base_Profile!$N$5:$Q$5,0))</f>
        <v>0</v>
      </c>
      <c r="I442">
        <f>(F407/365)*H442</f>
        <v>0</v>
      </c>
      <c r="J442">
        <f>(G442+I442)/(H407/365)</f>
        <v>0.0979259363995069</v>
      </c>
    </row>
    <row r="443" spans="1:10">
      <c r="A443">
        <f>DE_Base_Profile!H26</f>
        <v>20</v>
      </c>
      <c r="B443">
        <f>DE_Base_Profile!I26</f>
        <v>0.0556</v>
      </c>
      <c r="C443">
        <f>IF(DE_Base_Profile!J26=1,INDEX(DE_Lookups!$B$2:$B$4,MATCH(B406,DE_Lookups!$A$2:$A$4,0)),1)</f>
        <v>1</v>
      </c>
      <c r="D443">
        <f>IF(OR(D406="Air conditioning",D406="Heat pump (heating &amp; cooling)"),IF(DE_Base_Profile!K26=1,N407,1),1)*IF(OR(D406="Electric heating",D406="Heat pump (heating &amp; cooling)"),IF(DE_Base_Profile!L26=1,P407,1),1)</f>
        <v>1.25</v>
      </c>
      <c r="E443">
        <f t="shared" si="28"/>
        <v>0.0695</v>
      </c>
      <c r="F443">
        <f t="shared" si="29"/>
        <v>0.0682419259737116</v>
      </c>
      <c r="G443">
        <f>((L406+D407)/365)*F443</f>
        <v>1.14048150257436</v>
      </c>
      <c r="H443">
        <f>INDEX(DE_Base_Profile!$N$6:$Q$29,ROW()-422,MATCH(J406,DE_Base_Profile!$N$5:$Q$5,0))</f>
        <v>0</v>
      </c>
      <c r="I443">
        <f>(F407/365)*H443</f>
        <v>0</v>
      </c>
      <c r="J443">
        <f>(G443+I443)/(H407/365)</f>
        <v>0.0682419259737116</v>
      </c>
    </row>
    <row r="444" spans="1:10">
      <c r="A444">
        <f>DE_Base_Profile!H27</f>
        <v>21</v>
      </c>
      <c r="B444">
        <f>DE_Base_Profile!I27</f>
        <v>0.0508</v>
      </c>
      <c r="C444">
        <f>IF(DE_Base_Profile!J27=1,INDEX(DE_Lookups!$B$2:$B$4,MATCH(B406,DE_Lookups!$A$2:$A$4,0)),1)</f>
        <v>1</v>
      </c>
      <c r="D444">
        <f>IF(OR(D406="Air conditioning",D406="Heat pump (heating &amp; cooling)"),IF(DE_Base_Profile!K27=1,N407,1),1)*IF(OR(D406="Electric heating",D406="Heat pump (heating &amp; cooling)"),IF(DE_Base_Profile!L27=1,P407,1),1)</f>
        <v>1.25</v>
      </c>
      <c r="E444">
        <f t="shared" si="28"/>
        <v>0.0635</v>
      </c>
      <c r="F444">
        <f t="shared" si="29"/>
        <v>0.0623505366810171</v>
      </c>
      <c r="G444">
        <f>((L406+D407)/365)*F444</f>
        <v>1.04202266781974</v>
      </c>
      <c r="H444">
        <f>INDEX(DE_Base_Profile!$N$6:$Q$29,ROW()-422,MATCH(J406,DE_Base_Profile!$N$5:$Q$5,0))</f>
        <v>0</v>
      </c>
      <c r="I444">
        <f>(F407/365)*H444</f>
        <v>0</v>
      </c>
      <c r="J444">
        <f>(G444+I444)/(H407/365)</f>
        <v>0.0623505366810171</v>
      </c>
    </row>
    <row r="445" spans="1:10">
      <c r="A445">
        <f>DE_Base_Profile!H28</f>
        <v>22</v>
      </c>
      <c r="B445">
        <f>DE_Base_Profile!I28</f>
        <v>0.0451</v>
      </c>
      <c r="C445">
        <f>IF(DE_Base_Profile!J28=1,INDEX(DE_Lookups!$B$2:$B$4,MATCH(B406,DE_Lookups!$A$2:$A$4,0)),1)</f>
        <v>1</v>
      </c>
      <c r="D445">
        <f>IF(OR(D406="Air conditioning",D406="Heat pump (heating &amp; cooling)"),IF(DE_Base_Profile!K28=1,N407,1),1)*IF(OR(D406="Electric heating",D406="Heat pump (heating &amp; cooling)"),IF(DE_Base_Profile!L28=1,P407,1),1)</f>
        <v>1.25</v>
      </c>
      <c r="E445">
        <f t="shared" si="28"/>
        <v>0.056375</v>
      </c>
      <c r="F445">
        <f t="shared" si="29"/>
        <v>0.0553545118959424</v>
      </c>
      <c r="G445">
        <f>((L406+D407)/365)*F445</f>
        <v>0.925102801548626</v>
      </c>
      <c r="H445">
        <f>INDEX(DE_Base_Profile!$N$6:$Q$29,ROW()-422,MATCH(J406,DE_Base_Profile!$N$5:$Q$5,0))</f>
        <v>0.125</v>
      </c>
      <c r="I445">
        <f>(F407/365)*H445</f>
        <v>0</v>
      </c>
      <c r="J445">
        <f>(G445+I445)/(H407/365)</f>
        <v>0.0553545118959424</v>
      </c>
    </row>
    <row r="446" spans="1:10">
      <c r="A446">
        <f>DE_Base_Profile!H29</f>
        <v>23</v>
      </c>
      <c r="B446">
        <f>DE_Base_Profile!I29</f>
        <v>0.0366</v>
      </c>
      <c r="C446">
        <f>IF(DE_Base_Profile!J29=1,INDEX(DE_Lookups!$B$2:$B$4,MATCH(B406,DE_Lookups!$A$2:$A$4,0)),1)</f>
        <v>1</v>
      </c>
      <c r="D446">
        <f>IF(OR(D406="Air conditioning",D406="Heat pump (heating &amp; cooling)"),IF(DE_Base_Profile!K29=1,N407,1),1)*IF(OR(D406="Electric heating",D406="Heat pump (heating &amp; cooling)"),IF(DE_Base_Profile!L29=1,P407,1),1)</f>
        <v>1</v>
      </c>
      <c r="E446">
        <f t="shared" si="28"/>
        <v>0.0366</v>
      </c>
      <c r="F446">
        <f t="shared" si="29"/>
        <v>0.0359374746854366</v>
      </c>
      <c r="G446">
        <f>((L406+D407)/365)*F446</f>
        <v>0.600598892003188</v>
      </c>
      <c r="H446">
        <f>INDEX(DE_Base_Profile!$N$6:$Q$29,ROW()-422,MATCH(J406,DE_Base_Profile!$N$5:$Q$5,0))</f>
        <v>0.125</v>
      </c>
      <c r="I446">
        <f>(F407/365)*H446</f>
        <v>0</v>
      </c>
      <c r="J446">
        <f>(G446+I446)/(H407/365)</f>
        <v>0.0359374746854366</v>
      </c>
    </row>
    <row r="451" spans="1:16">
      <c r="A451" t="s">
        <v>51</v>
      </c>
      <c r="B451" t="str">
        <f>DE_Option_Monthly!C14</f>
        <v>Mostly away during the day</v>
      </c>
      <c r="C451" t="s">
        <v>188</v>
      </c>
      <c r="D451" t="str">
        <f>DE_Option_Monthly!D14</f>
        <v>Heat pump (heating &amp; cooling)</v>
      </c>
      <c r="E451" t="s">
        <v>68</v>
      </c>
      <c r="F451" t="str">
        <f>DE_Option_Monthly!E14</f>
        <v>Very high</v>
      </c>
      <c r="G451" t="s">
        <v>98</v>
      </c>
      <c r="H451" t="str">
        <f>DE_Option_Monthly!F14</f>
        <v>No electric vehicle</v>
      </c>
      <c r="I451" t="s">
        <v>289</v>
      </c>
      <c r="J451" t="str">
        <f>DE_Option_Monthly!G14</f>
        <v>Mostly overnight</v>
      </c>
      <c r="K451" t="s">
        <v>290</v>
      </c>
      <c r="L451">
        <f>DE_Option_Monthly!$B$1</f>
        <v>3500</v>
      </c>
    </row>
    <row r="452" spans="1:16">
      <c r="A452" t="s">
        <v>291</v>
      </c>
      <c r="B452">
        <f>INDEX(DE_Lookups!$E$2:$E$5,MATCH(F451,DE_Lookups!$D$2:$D$5,0))</f>
        <v>1.6</v>
      </c>
      <c r="C452" t="s">
        <v>292</v>
      </c>
      <c r="D452">
        <f>IF(OR(D451="Electric heating",D451="Heat pump (heating &amp; cooling)"),INDEX(DE_Lookups!$L$2:$L$5,MATCH(D451,DE_Lookups!$K$2:$K$5,0))*B452,0)</f>
        <v>3200</v>
      </c>
      <c r="E452" t="s">
        <v>293</v>
      </c>
      <c r="F452">
        <f>INDEX(DE_Lookups!$O$2:$O$7,MATCH(H451,DE_Lookups!$N$2:$N$7,0))*0.18</f>
        <v>0</v>
      </c>
      <c r="G452" t="s">
        <v>294</v>
      </c>
      <c r="H452">
        <f>L451+D452+F452</f>
        <v>6700</v>
      </c>
      <c r="I452" t="s">
        <v>295</v>
      </c>
      <c r="J452">
        <f>INDEX(DE_Lookups!$F$2:$F$5,MATCH(F451,DE_Lookups!$D$2:$D$5,0))</f>
        <v>1.35</v>
      </c>
      <c r="K452" t="s">
        <v>296</v>
      </c>
      <c r="L452">
        <f>INDEX(DE_Lookups!$G$2:$G$5,MATCH(F451,DE_Lookups!$D$2:$D$5,0))</f>
        <v>1.4</v>
      </c>
      <c r="M452" t="s">
        <v>297</v>
      </c>
      <c r="N452">
        <f>INDEX(DE_Lookups!$H$2:$H$5,MATCH(F451,DE_Lookups!$D$2:$D$5,0))</f>
        <v>1.5</v>
      </c>
      <c r="O452" t="s">
        <v>298</v>
      </c>
      <c r="P452">
        <f>INDEX(DE_Lookups!$I$2:$I$5,MATCH(F451,DE_Lookups!$D$2:$D$5,0))</f>
        <v>1.4</v>
      </c>
    </row>
    <row r="454" spans="1:16">
      <c r="A454" t="str">
        <f>DE_Base_Profile!A6</f>
        <v>1月</v>
      </c>
      <c r="B454">
        <f>DE_Base_Profile!B6</f>
        <v>0.0789</v>
      </c>
      <c r="C454">
        <f>L451*B454</f>
        <v>276.15</v>
      </c>
      <c r="D454">
        <f>1+IF(OR(D451="Air conditioning",D451="Heat pump (heating &amp; cooling)"),IF(DE_Base_Profile!D6=1,J452-1,0),0)+IF(OR(D451="Electric heating",D451="Heat pump (heating &amp; cooling)"),IF(DE_Base_Profile!E6=1,L452-1,0),0)</f>
        <v>1.4</v>
      </c>
      <c r="E454">
        <f t="shared" ref="E454:E465" si="30">C454*D454</f>
        <v>386.61</v>
      </c>
      <c r="F454">
        <f>IF(D451="Electric heating",IF(DE_Base_Profile!E6=1,B454*L452,0),IF(D451="Heat pump (heating &amp; cooling)",IF(DE_Base_Profile!D6=1,B454*J452,0)+IF(DE_Base_Profile!E6=1,B454*L452,0),0))</f>
        <v>0.11046</v>
      </c>
      <c r="G454">
        <f>IF(SUM($F$454:$F$465)=0,0,D452*F454/SUM($F$454:$F$465))</f>
        <v>307.441811919424</v>
      </c>
      <c r="H454">
        <f>F452/12</f>
        <v>0</v>
      </c>
      <c r="I454">
        <f>E454/SUM($E$454:$E$465)*L451+G454+H454</f>
        <v>600.568006078281</v>
      </c>
      <c r="J454">
        <f>I454/H452</f>
        <v>0.0896370158325793</v>
      </c>
    </row>
    <row r="455" spans="1:16">
      <c r="A455" t="str">
        <f>DE_Base_Profile!A7</f>
        <v>2月</v>
      </c>
      <c r="B455">
        <f>DE_Base_Profile!B7</f>
        <v>0.0791</v>
      </c>
      <c r="C455">
        <f>L451*B455</f>
        <v>276.85</v>
      </c>
      <c r="D455">
        <f>1+IF(OR(D451="Air conditioning",D451="Heat pump (heating &amp; cooling)"),IF(DE_Base_Profile!D7=1,J452-1,0),0)+IF(OR(D451="Electric heating",D451="Heat pump (heating &amp; cooling)"),IF(DE_Base_Profile!E7=1,L452-1,0),0)</f>
        <v>1.4</v>
      </c>
      <c r="E455">
        <f t="shared" si="30"/>
        <v>387.59</v>
      </c>
      <c r="F455">
        <f>IF(D451="Electric heating",IF(DE_Base_Profile!E7=1,B455*L452,0),IF(D451="Heat pump (heating &amp; cooling)",IF(DE_Base_Profile!D7=1,B455*J452,0)+IF(DE_Base_Profile!E7=1,B455*L452,0),0))</f>
        <v>0.11074</v>
      </c>
      <c r="G455">
        <f>IF(SUM($F$454:$F$465)=0,0,D452*F455/SUM($F$454:$F$465))</f>
        <v>308.221132101729</v>
      </c>
      <c r="H455">
        <f>F452/12</f>
        <v>0</v>
      </c>
      <c r="I455">
        <f>E455/SUM($E$454:$E$465)*L451+G455+H455</f>
        <v>602.090358438429</v>
      </c>
      <c r="J455">
        <f>I455/H452</f>
        <v>0.0898642326027506</v>
      </c>
    </row>
    <row r="456" spans="1:16">
      <c r="A456" t="str">
        <f>DE_Base_Profile!A8</f>
        <v>3月</v>
      </c>
      <c r="B456">
        <f>DE_Base_Profile!B8</f>
        <v>0.0773</v>
      </c>
      <c r="C456">
        <f>L451*B456</f>
        <v>270.55</v>
      </c>
      <c r="D456">
        <f>1+IF(OR(D451="Air conditioning",D451="Heat pump (heating &amp; cooling)"),IF(DE_Base_Profile!D8=1,J452-1,0),0)+IF(OR(D451="Electric heating",D451="Heat pump (heating &amp; cooling)"),IF(DE_Base_Profile!E8=1,L452-1,0),0)</f>
        <v>1.4</v>
      </c>
      <c r="E456">
        <f t="shared" si="30"/>
        <v>378.77</v>
      </c>
      <c r="F456">
        <f>IF(D451="Electric heating",IF(DE_Base_Profile!E8=1,B456*L452,0),IF(D451="Heat pump (heating &amp; cooling)",IF(DE_Base_Profile!D8=1,B456*J452,0)+IF(DE_Base_Profile!E8=1,B456*L452,0),0))</f>
        <v>0.10822</v>
      </c>
      <c r="G456">
        <f>IF(SUM($F$454:$F$465)=0,0,D452*F456/SUM($F$454:$F$465))</f>
        <v>301.207250460982</v>
      </c>
      <c r="H456">
        <f>F452/12</f>
        <v>0</v>
      </c>
      <c r="I456">
        <f>E456/SUM($E$454:$E$465)*L451+G456+H456</f>
        <v>588.389187197099</v>
      </c>
      <c r="J456">
        <f>I456/H452</f>
        <v>0.0878192816712088</v>
      </c>
    </row>
    <row r="457" spans="1:16">
      <c r="A457" t="str">
        <f>DE_Base_Profile!A9</f>
        <v>4月</v>
      </c>
      <c r="B457">
        <f>DE_Base_Profile!B9</f>
        <v>0.0822</v>
      </c>
      <c r="C457">
        <f>L451*B457</f>
        <v>287.7</v>
      </c>
      <c r="D457">
        <f>1+IF(OR(D451="Air conditioning",D451="Heat pump (heating &amp; cooling)"),IF(DE_Base_Profile!D9=1,J452-1,0),0)+IF(OR(D451="Electric heating",D451="Heat pump (heating &amp; cooling)"),IF(DE_Base_Profile!E9=1,L452-1,0),0)</f>
        <v>1.4</v>
      </c>
      <c r="E457">
        <f t="shared" si="30"/>
        <v>402.78</v>
      </c>
      <c r="F457">
        <f>IF(D451="Electric heating",IF(DE_Base_Profile!E9=1,B457*L452,0),IF(D451="Heat pump (heating &amp; cooling)",IF(DE_Base_Profile!D9=1,B457*J452,0)+IF(DE_Base_Profile!E9=1,B457*L452,0),0))</f>
        <v>0.11508</v>
      </c>
      <c r="G457">
        <f>IF(SUM($F$454:$F$465)=0,0,D452*F457/SUM($F$454:$F$465))</f>
        <v>320.300594927461</v>
      </c>
      <c r="H457">
        <f>F452/12</f>
        <v>0</v>
      </c>
      <c r="I457">
        <f>E457/SUM($E$454:$E$465)*L451+G457+H457</f>
        <v>625.686820020719</v>
      </c>
      <c r="J457">
        <f>I457/H452</f>
        <v>0.0933860925404058</v>
      </c>
    </row>
    <row r="458" spans="1:16">
      <c r="A458" t="str">
        <f>DE_Base_Profile!A10</f>
        <v>5月</v>
      </c>
      <c r="B458">
        <f>DE_Base_Profile!B10</f>
        <v>0.0839</v>
      </c>
      <c r="C458">
        <f>L451*B458</f>
        <v>293.65</v>
      </c>
      <c r="D458">
        <f>1+IF(OR(D451="Air conditioning",D451="Heat pump (heating &amp; cooling)"),IF(DE_Base_Profile!D10=1,J452-1,0),0)+IF(OR(D451="Electric heating",D451="Heat pump (heating &amp; cooling)"),IF(DE_Base_Profile!E10=1,L452-1,0),0)</f>
        <v>1</v>
      </c>
      <c r="E458">
        <f t="shared" si="30"/>
        <v>293.65</v>
      </c>
      <c r="F458">
        <f>IF(D451="Electric heating",IF(DE_Base_Profile!E10=1,B458*L452,0),IF(D451="Heat pump (heating &amp; cooling)",IF(DE_Base_Profile!D10=1,B458*J452,0)+IF(DE_Base_Profile!E10=1,B458*L452,0),0))</f>
        <v>0</v>
      </c>
      <c r="G458">
        <f>IF(SUM($F$454:$F$465)=0,0,D452*F458/SUM($F$454:$F$465))</f>
        <v>0</v>
      </c>
      <c r="H458">
        <f>F452/12</f>
        <v>0</v>
      </c>
      <c r="I458">
        <f>E458/SUM($E$454:$E$465)*L451+G458+H458</f>
        <v>222.644284717799</v>
      </c>
      <c r="J458">
        <f>I458/H452</f>
        <v>0.033230490256388</v>
      </c>
    </row>
    <row r="459" spans="1:16">
      <c r="A459" t="str">
        <f>DE_Base_Profile!A11</f>
        <v>6月</v>
      </c>
      <c r="B459">
        <f>DE_Base_Profile!B11</f>
        <v>0.0876</v>
      </c>
      <c r="C459">
        <f>L451*B459</f>
        <v>306.6</v>
      </c>
      <c r="D459">
        <f>1+IF(OR(D451="Air conditioning",D451="Heat pump (heating &amp; cooling)"),IF(DE_Base_Profile!D11=1,J452-1,0),0)+IF(OR(D451="Electric heating",D451="Heat pump (heating &amp; cooling)"),IF(DE_Base_Profile!E11=1,L452-1,0),0)</f>
        <v>1.35</v>
      </c>
      <c r="E459">
        <f t="shared" si="30"/>
        <v>413.91</v>
      </c>
      <c r="F459">
        <f>IF(D451="Electric heating",IF(DE_Base_Profile!E11=1,B459*L452,0),IF(D451="Heat pump (heating &amp; cooling)",IF(DE_Base_Profile!D11=1,B459*J452,0)+IF(DE_Base_Profile!E11=1,B459*L452,0),0))</f>
        <v>0.11826</v>
      </c>
      <c r="G459">
        <f>IF(SUM($F$454:$F$465)=0,0,D452*F459/SUM($F$454:$F$465))</f>
        <v>329.151445569356</v>
      </c>
      <c r="H459">
        <f>F452/12</f>
        <v>0</v>
      </c>
      <c r="I459">
        <f>E459/SUM($E$454:$E$465)*L451+G459+H459</f>
        <v>642.976393253825</v>
      </c>
      <c r="J459">
        <f>I459/H452</f>
        <v>0.0959666258587799</v>
      </c>
    </row>
    <row r="460" spans="1:16">
      <c r="A460" t="str">
        <f>DE_Base_Profile!A12</f>
        <v>7月</v>
      </c>
      <c r="B460">
        <f>DE_Base_Profile!B12</f>
        <v>0.0917</v>
      </c>
      <c r="C460">
        <f>L451*B460</f>
        <v>320.95</v>
      </c>
      <c r="D460">
        <f>1+IF(OR(D451="Air conditioning",D451="Heat pump (heating &amp; cooling)"),IF(DE_Base_Profile!D12=1,J452-1,0),0)+IF(OR(D451="Electric heating",D451="Heat pump (heating &amp; cooling)"),IF(DE_Base_Profile!E12=1,L452-1,0),0)</f>
        <v>1.35</v>
      </c>
      <c r="E460">
        <f t="shared" si="30"/>
        <v>433.2825</v>
      </c>
      <c r="F460">
        <f>IF(D451="Electric heating",IF(DE_Base_Profile!E12=1,B460*L452,0),IF(D451="Heat pump (heating &amp; cooling)",IF(DE_Base_Profile!D12=1,B460*J452,0)+IF(DE_Base_Profile!E12=1,B460*L452,0),0))</f>
        <v>0.123795</v>
      </c>
      <c r="G460">
        <f>IF(SUM($F$454:$F$465)=0,0,D452*F460/SUM($F$454:$F$465))</f>
        <v>344.556935601712</v>
      </c>
      <c r="H460">
        <f>F452/12</f>
        <v>0</v>
      </c>
      <c r="I460">
        <f>E460/SUM($E$454:$E$465)*L451+G460+H460</f>
        <v>673.070037230317</v>
      </c>
      <c r="J460">
        <f>I460/H452</f>
        <v>0.100458214511988</v>
      </c>
    </row>
    <row r="461" spans="1:16">
      <c r="A461" t="str">
        <f>DE_Base_Profile!A13</f>
        <v>8月</v>
      </c>
      <c r="B461">
        <f>DE_Base_Profile!B13</f>
        <v>0.0887</v>
      </c>
      <c r="C461">
        <f>L451*B461</f>
        <v>310.45</v>
      </c>
      <c r="D461">
        <f>1+IF(OR(D451="Air conditioning",D451="Heat pump (heating &amp; cooling)"),IF(DE_Base_Profile!D13=1,J452-1,0),0)+IF(OR(D451="Electric heating",D451="Heat pump (heating &amp; cooling)"),IF(DE_Base_Profile!E13=1,L452-1,0),0)</f>
        <v>1.35</v>
      </c>
      <c r="E461">
        <f t="shared" si="30"/>
        <v>419.1075</v>
      </c>
      <c r="F461">
        <f>IF(D451="Electric heating",IF(DE_Base_Profile!E13=1,B461*L452,0),IF(D451="Heat pump (heating &amp; cooling)",IF(DE_Base_Profile!D13=1,B461*J452,0)+IF(DE_Base_Profile!E13=1,B461*L452,0),0))</f>
        <v>0.119745</v>
      </c>
      <c r="G461">
        <f>IF(SUM($F$454:$F$465)=0,0,D452*F461/SUM($F$454:$F$465))</f>
        <v>333.284625821939</v>
      </c>
      <c r="H461">
        <f>F452/12</f>
        <v>0</v>
      </c>
      <c r="I461">
        <f>E461/SUM($E$454:$E$465)*L451+G461+H461</f>
        <v>651.050297735323</v>
      </c>
      <c r="J461">
        <f>I461/H452</f>
        <v>0.0971716862291527</v>
      </c>
    </row>
    <row r="462" spans="1:16">
      <c r="A462" t="str">
        <f>DE_Base_Profile!A14</f>
        <v>9月</v>
      </c>
      <c r="B462">
        <f>DE_Base_Profile!B14</f>
        <v>0.0853</v>
      </c>
      <c r="C462">
        <f>L451*B462</f>
        <v>298.55</v>
      </c>
      <c r="D462">
        <f>1+IF(OR(D451="Air conditioning",D451="Heat pump (heating &amp; cooling)"),IF(DE_Base_Profile!D14=1,J452-1,0),0)+IF(OR(D451="Electric heating",D451="Heat pump (heating &amp; cooling)"),IF(DE_Base_Profile!E14=1,L452-1,0),0)</f>
        <v>1</v>
      </c>
      <c r="E462">
        <f t="shared" si="30"/>
        <v>298.55</v>
      </c>
      <c r="F462">
        <f>IF(D451="Electric heating",IF(DE_Base_Profile!E14=1,B462*L452,0),IF(D451="Heat pump (heating &amp; cooling)",IF(DE_Base_Profile!D14=1,B462*J452,0)+IF(DE_Base_Profile!E14=1,B462*L452,0),0))</f>
        <v>0</v>
      </c>
      <c r="G462">
        <f>IF(SUM($F$454:$F$465)=0,0,D452*F462/SUM($F$454:$F$465))</f>
        <v>0</v>
      </c>
      <c r="H462">
        <f>F452/12</f>
        <v>0</v>
      </c>
      <c r="I462">
        <f>E462/SUM($E$454:$E$465)*L451+G462+H462</f>
        <v>226.359445607012</v>
      </c>
      <c r="J462">
        <f>I462/H452</f>
        <v>0.0337849918816436</v>
      </c>
    </row>
    <row r="463" spans="1:16">
      <c r="A463" t="str">
        <f>DE_Base_Profile!A15</f>
        <v>10月</v>
      </c>
      <c r="B463">
        <f>DE_Base_Profile!B15</f>
        <v>0.0838</v>
      </c>
      <c r="C463">
        <f>L451*B463</f>
        <v>293.3</v>
      </c>
      <c r="D463">
        <f>1+IF(OR(D451="Air conditioning",D451="Heat pump (heating &amp; cooling)"),IF(DE_Base_Profile!D15=1,J452-1,0),0)+IF(OR(D451="Electric heating",D451="Heat pump (heating &amp; cooling)"),IF(DE_Base_Profile!E15=1,L452-1,0),0)</f>
        <v>1.4</v>
      </c>
      <c r="E463">
        <f t="shared" si="30"/>
        <v>410.62</v>
      </c>
      <c r="F463">
        <f>IF(D451="Electric heating",IF(DE_Base_Profile!E15=1,B463*L452,0),IF(D451="Heat pump (heating &amp; cooling)",IF(DE_Base_Profile!D15=1,B463*J452,0)+IF(DE_Base_Profile!E15=1,B463*L452,0),0))</f>
        <v>0.11732</v>
      </c>
      <c r="G463">
        <f>IF(SUM($F$454:$F$465)=0,0,D452*F463/SUM($F$454:$F$465))</f>
        <v>326.535156385903</v>
      </c>
      <c r="H463">
        <f>F452/12</f>
        <v>0</v>
      </c>
      <c r="I463">
        <f>E463/SUM($E$454:$E$465)*L451+G463+H463</f>
        <v>637.865638901901</v>
      </c>
      <c r="J463">
        <f>I463/H452</f>
        <v>0.0952038267017762</v>
      </c>
    </row>
    <row r="464" spans="1:16">
      <c r="A464" t="str">
        <f>DE_Base_Profile!A16</f>
        <v>11月</v>
      </c>
      <c r="B464">
        <f>DE_Base_Profile!B16</f>
        <v>0.0819</v>
      </c>
      <c r="C464">
        <f>L451*B464</f>
        <v>286.65</v>
      </c>
      <c r="D464">
        <f>1+IF(OR(D451="Air conditioning",D451="Heat pump (heating &amp; cooling)"),IF(DE_Base_Profile!D16=1,J452-1,0),0)+IF(OR(D451="Electric heating",D451="Heat pump (heating &amp; cooling)"),IF(DE_Base_Profile!E16=1,L452-1,0),0)</f>
        <v>1.4</v>
      </c>
      <c r="E464">
        <f t="shared" si="30"/>
        <v>401.31</v>
      </c>
      <c r="F464">
        <f>IF(D451="Electric heating",IF(DE_Base_Profile!E16=1,B464*L452,0),IF(D451="Heat pump (heating &amp; cooling)",IF(DE_Base_Profile!D16=1,B464*J452,0)+IF(DE_Base_Profile!E16=1,B464*L452,0),0))</f>
        <v>0.11466</v>
      </c>
      <c r="G464">
        <f>IF(SUM($F$454:$F$465)=0,0,D452*F464/SUM($F$454:$F$465))</f>
        <v>319.131614654003</v>
      </c>
      <c r="H464">
        <f>F452/12</f>
        <v>0</v>
      </c>
      <c r="I464">
        <f>E464/SUM($E$454:$E$465)*L451+G464+H464</f>
        <v>623.403291480497</v>
      </c>
      <c r="J464">
        <f>I464/H452</f>
        <v>0.0930452673851488</v>
      </c>
    </row>
    <row r="465" spans="1:10">
      <c r="A465" t="str">
        <f>DE_Base_Profile!A17</f>
        <v>12月</v>
      </c>
      <c r="B465">
        <f>DE_Base_Profile!B17</f>
        <v>0.0796</v>
      </c>
      <c r="C465">
        <f>L451*B465</f>
        <v>278.6</v>
      </c>
      <c r="D465">
        <f>1+IF(OR(D451="Air conditioning",D451="Heat pump (heating &amp; cooling)"),IF(DE_Base_Profile!D17=1,J452-1,0),0)+IF(OR(D451="Electric heating",D451="Heat pump (heating &amp; cooling)"),IF(DE_Base_Profile!E17=1,L452-1,0),0)</f>
        <v>1.4</v>
      </c>
      <c r="E465">
        <f t="shared" si="30"/>
        <v>390.04</v>
      </c>
      <c r="F465">
        <f>IF(D451="Electric heating",IF(DE_Base_Profile!E17=1,B465*L452,0),IF(D451="Heat pump (heating &amp; cooling)",IF(DE_Base_Profile!D17=1,B465*J452,0)+IF(DE_Base_Profile!E17=1,B465*L452,0),0))</f>
        <v>0.11144</v>
      </c>
      <c r="G465">
        <f>IF(SUM($F$454:$F$465)=0,0,D452*F465/SUM($F$454:$F$465))</f>
        <v>310.169432557492</v>
      </c>
      <c r="H465">
        <f>F452/12</f>
        <v>0</v>
      </c>
      <c r="I465">
        <f>E465/SUM($E$454:$E$465)*L451+G465+H465</f>
        <v>605.896239338798</v>
      </c>
      <c r="J465">
        <f>I465/H452</f>
        <v>0.0904322745281789</v>
      </c>
    </row>
    <row r="468" spans="1:10">
      <c r="A468">
        <f>DE_Base_Profile!H6</f>
        <v>0</v>
      </c>
      <c r="B468">
        <f>DE_Base_Profile!I6</f>
        <v>0.0301</v>
      </c>
      <c r="C468">
        <f>IF(DE_Base_Profile!J6=1,INDEX(DE_Lookups!$B$2:$B$4,MATCH(B451,DE_Lookups!$A$2:$A$4,0)),1)</f>
        <v>1</v>
      </c>
      <c r="D468">
        <f>IF(OR(D451="Air conditioning",D451="Heat pump (heating &amp; cooling)"),IF(DE_Base_Profile!K6=1,N452,1),1)*IF(OR(D451="Electric heating",D451="Heat pump (heating &amp; cooling)"),IF(DE_Base_Profile!L6=1,P452,1),1)</f>
        <v>1</v>
      </c>
      <c r="E468">
        <f t="shared" ref="E468:E491" si="31">B468*C468*D468</f>
        <v>0.0301</v>
      </c>
      <c r="F468">
        <f t="shared" ref="F468:F491" si="32">E468/SUM($E$468:$E$491)</f>
        <v>0.0267058470722052</v>
      </c>
      <c r="G468">
        <f>((L451+D452)/365)*F468</f>
        <v>0.490216918859656</v>
      </c>
      <c r="H468">
        <f>INDEX(DE_Base_Profile!$N$6:$Q$29,ROW()-467,MATCH(J451,DE_Base_Profile!$N$5:$Q$5,0))</f>
        <v>0.125</v>
      </c>
      <c r="I468">
        <f>(F452/365)*H468</f>
        <v>0</v>
      </c>
      <c r="J468">
        <f>(G468+I468)/(H452/365)</f>
        <v>0.0267058470722052</v>
      </c>
    </row>
    <row r="469" spans="1:10">
      <c r="A469">
        <f>DE_Base_Profile!H7</f>
        <v>1</v>
      </c>
      <c r="B469">
        <f>DE_Base_Profile!I7</f>
        <v>0.0258</v>
      </c>
      <c r="C469">
        <f>IF(DE_Base_Profile!J7=1,INDEX(DE_Lookups!$B$2:$B$4,MATCH(B451,DE_Lookups!$A$2:$A$4,0)),1)</f>
        <v>1</v>
      </c>
      <c r="D469">
        <f>IF(OR(D451="Air conditioning",D451="Heat pump (heating &amp; cooling)"),IF(DE_Base_Profile!K7=1,N452,1),1)*IF(OR(D451="Electric heating",D451="Heat pump (heating &amp; cooling)"),IF(DE_Base_Profile!L7=1,P452,1),1)</f>
        <v>1</v>
      </c>
      <c r="E469">
        <f t="shared" si="31"/>
        <v>0.0258</v>
      </c>
      <c r="F469">
        <f t="shared" si="32"/>
        <v>0.0228907260618901</v>
      </c>
      <c r="G469">
        <f>((L451+D452)/365)*F469</f>
        <v>0.420185930451134</v>
      </c>
      <c r="H469">
        <f>INDEX(DE_Base_Profile!$N$6:$Q$29,ROW()-467,MATCH(J451,DE_Base_Profile!$N$5:$Q$5,0))</f>
        <v>0.125</v>
      </c>
      <c r="I469">
        <f>(F452/365)*H469</f>
        <v>0</v>
      </c>
      <c r="J469">
        <f>(G469+I469)/(H452/365)</f>
        <v>0.0228907260618901</v>
      </c>
    </row>
    <row r="470" spans="1:10">
      <c r="A470">
        <f>DE_Base_Profile!H8</f>
        <v>2</v>
      </c>
      <c r="B470">
        <f>DE_Base_Profile!I8</f>
        <v>0.0239</v>
      </c>
      <c r="C470">
        <f>IF(DE_Base_Profile!J8=1,INDEX(DE_Lookups!$B$2:$B$4,MATCH(B451,DE_Lookups!$A$2:$A$4,0)),1)</f>
        <v>1</v>
      </c>
      <c r="D470">
        <f>IF(OR(D451="Air conditioning",D451="Heat pump (heating &amp; cooling)"),IF(DE_Base_Profile!K8=1,N452,1),1)*IF(OR(D451="Electric heating",D451="Heat pump (heating &amp; cooling)"),IF(DE_Base_Profile!L8=1,P452,1),1)</f>
        <v>1</v>
      </c>
      <c r="E470">
        <f t="shared" si="31"/>
        <v>0.0239</v>
      </c>
      <c r="F470">
        <f t="shared" si="32"/>
        <v>0.0212049749177975</v>
      </c>
      <c r="G470">
        <f>((L451+D452)/365)*F470</f>
        <v>0.389242005340392</v>
      </c>
      <c r="H470">
        <f>INDEX(DE_Base_Profile!$N$6:$Q$29,ROW()-467,MATCH(J451,DE_Base_Profile!$N$5:$Q$5,0))</f>
        <v>0.125</v>
      </c>
      <c r="I470">
        <f>(F452/365)*H470</f>
        <v>0</v>
      </c>
      <c r="J470">
        <f>(G470+I470)/(H452/365)</f>
        <v>0.0212049749177975</v>
      </c>
    </row>
    <row r="471" spans="1:10">
      <c r="A471">
        <f>DE_Base_Profile!H9</f>
        <v>3</v>
      </c>
      <c r="B471">
        <f>DE_Base_Profile!I9</f>
        <v>0.0232</v>
      </c>
      <c r="C471">
        <f>IF(DE_Base_Profile!J9=1,INDEX(DE_Lookups!$B$2:$B$4,MATCH(B451,DE_Lookups!$A$2:$A$4,0)),1)</f>
        <v>1</v>
      </c>
      <c r="D471">
        <f>IF(OR(D451="Air conditioning",D451="Heat pump (heating &amp; cooling)"),IF(DE_Base_Profile!K9=1,N452,1),1)*IF(OR(D451="Electric heating",D451="Heat pump (heating &amp; cooling)"),IF(DE_Base_Profile!L9=1,P452,1),1)</f>
        <v>1</v>
      </c>
      <c r="E471">
        <f t="shared" si="31"/>
        <v>0.0232</v>
      </c>
      <c r="F471">
        <f t="shared" si="32"/>
        <v>0.0205839087068159</v>
      </c>
      <c r="G471">
        <f>((L451+D452)/365)*F471</f>
        <v>0.377841611878539</v>
      </c>
      <c r="H471">
        <f>INDEX(DE_Base_Profile!$N$6:$Q$29,ROW()-467,MATCH(J451,DE_Base_Profile!$N$5:$Q$5,0))</f>
        <v>0.125</v>
      </c>
      <c r="I471">
        <f>(F452/365)*H471</f>
        <v>0</v>
      </c>
      <c r="J471">
        <f>(G471+I471)/(H452/365)</f>
        <v>0.0205839087068159</v>
      </c>
    </row>
    <row r="472" spans="1:10">
      <c r="A472">
        <f>DE_Base_Profile!H10</f>
        <v>4</v>
      </c>
      <c r="B472">
        <f>DE_Base_Profile!I10</f>
        <v>0.0236</v>
      </c>
      <c r="C472">
        <f>IF(DE_Base_Profile!J10=1,INDEX(DE_Lookups!$B$2:$B$4,MATCH(B451,DE_Lookups!$A$2:$A$4,0)),1)</f>
        <v>1</v>
      </c>
      <c r="D472">
        <f>IF(OR(D451="Air conditioning",D451="Heat pump (heating &amp; cooling)"),IF(DE_Base_Profile!K10=1,N452,1),1)*IF(OR(D451="Electric heating",D451="Heat pump (heating &amp; cooling)"),IF(DE_Base_Profile!L10=1,P452,1),1)</f>
        <v>1</v>
      </c>
      <c r="E472">
        <f t="shared" si="31"/>
        <v>0.0236</v>
      </c>
      <c r="F472">
        <f t="shared" si="32"/>
        <v>0.0209388036845197</v>
      </c>
      <c r="G472">
        <f>((L451+D452)/365)*F472</f>
        <v>0.384356122428169</v>
      </c>
      <c r="H472">
        <f>INDEX(DE_Base_Profile!$N$6:$Q$29,ROW()-467,MATCH(J451,DE_Base_Profile!$N$5:$Q$5,0))</f>
        <v>0.125</v>
      </c>
      <c r="I472">
        <f>(F452/365)*H472</f>
        <v>0</v>
      </c>
      <c r="J472">
        <f>(G472+I472)/(H452/365)</f>
        <v>0.0209388036845197</v>
      </c>
    </row>
    <row r="473" spans="1:10">
      <c r="A473">
        <f>DE_Base_Profile!H11</f>
        <v>5</v>
      </c>
      <c r="B473">
        <f>DE_Base_Profile!I11</f>
        <v>0.0252</v>
      </c>
      <c r="C473">
        <f>IF(DE_Base_Profile!J11=1,INDEX(DE_Lookups!$B$2:$B$4,MATCH(B451,DE_Lookups!$A$2:$A$4,0)),1)</f>
        <v>1</v>
      </c>
      <c r="D473">
        <f>IF(OR(D451="Air conditioning",D451="Heat pump (heating &amp; cooling)"),IF(DE_Base_Profile!K11=1,N452,1),1)*IF(OR(D451="Electric heating",D451="Heat pump (heating &amp; cooling)"),IF(DE_Base_Profile!L11=1,P452,1),1)</f>
        <v>1</v>
      </c>
      <c r="E473">
        <f t="shared" si="31"/>
        <v>0.0252</v>
      </c>
      <c r="F473">
        <f t="shared" si="32"/>
        <v>0.0223583835953346</v>
      </c>
      <c r="G473">
        <f>((L451+D452)/365)*F473</f>
        <v>0.410414164626689</v>
      </c>
      <c r="H473">
        <f>INDEX(DE_Base_Profile!$N$6:$Q$29,ROW()-467,MATCH(J451,DE_Base_Profile!$N$5:$Q$5,0))</f>
        <v>0.125</v>
      </c>
      <c r="I473">
        <f>(F452/365)*H473</f>
        <v>0</v>
      </c>
      <c r="J473">
        <f>(G473+I473)/(H452/365)</f>
        <v>0.0223583835953346</v>
      </c>
    </row>
    <row r="474" spans="1:10">
      <c r="A474">
        <f>DE_Base_Profile!H12</f>
        <v>6</v>
      </c>
      <c r="B474">
        <f>DE_Base_Profile!I12</f>
        <v>0.03</v>
      </c>
      <c r="C474">
        <f>IF(DE_Base_Profile!J12=1,INDEX(DE_Lookups!$B$2:$B$4,MATCH(B451,DE_Lookups!$A$2:$A$4,0)),1)</f>
        <v>1</v>
      </c>
      <c r="D474">
        <f>IF(OR(D451="Air conditioning",D451="Heat pump (heating &amp; cooling)"),IF(DE_Base_Profile!K12=1,N452,1),1)*IF(OR(D451="Electric heating",D451="Heat pump (heating &amp; cooling)"),IF(DE_Base_Profile!L12=1,P452,1),1)</f>
        <v>1.4</v>
      </c>
      <c r="E474">
        <f t="shared" si="31"/>
        <v>0.042</v>
      </c>
      <c r="F474">
        <f t="shared" si="32"/>
        <v>0.0372639726588909</v>
      </c>
      <c r="G474">
        <f>((L451+D452)/365)*F474</f>
        <v>0.684023607711148</v>
      </c>
      <c r="H474">
        <f>INDEX(DE_Base_Profile!$N$6:$Q$29,ROW()-467,MATCH(J451,DE_Base_Profile!$N$5:$Q$5,0))</f>
        <v>0</v>
      </c>
      <c r="I474">
        <f>(F452/365)*H474</f>
        <v>0</v>
      </c>
      <c r="J474">
        <f>(G474+I474)/(H452/365)</f>
        <v>0.0372639726588909</v>
      </c>
    </row>
    <row r="475" spans="1:10">
      <c r="A475">
        <f>DE_Base_Profile!H13</f>
        <v>7</v>
      </c>
      <c r="B475">
        <f>DE_Base_Profile!I13</f>
        <v>0.0358</v>
      </c>
      <c r="C475">
        <f>IF(DE_Base_Profile!J13=1,INDEX(DE_Lookups!$B$2:$B$4,MATCH(B451,DE_Lookups!$A$2:$A$4,0)),1)</f>
        <v>1</v>
      </c>
      <c r="D475">
        <f>IF(OR(D451="Air conditioning",D451="Heat pump (heating &amp; cooling)"),IF(DE_Base_Profile!K13=1,N452,1),1)*IF(OR(D451="Electric heating",D451="Heat pump (heating &amp; cooling)"),IF(DE_Base_Profile!L13=1,P452,1),1)</f>
        <v>1.4</v>
      </c>
      <c r="E475">
        <f t="shared" si="31"/>
        <v>0.05012</v>
      </c>
      <c r="F475">
        <f t="shared" si="32"/>
        <v>0.0444683407062765</v>
      </c>
      <c r="G475">
        <f>((L451+D452)/365)*F475</f>
        <v>0.816268171868637</v>
      </c>
      <c r="H475">
        <f>INDEX(DE_Base_Profile!$N$6:$Q$29,ROW()-467,MATCH(J451,DE_Base_Profile!$N$5:$Q$5,0))</f>
        <v>0</v>
      </c>
      <c r="I475">
        <f>(F452/365)*H475</f>
        <v>0</v>
      </c>
      <c r="J475">
        <f>(G475+I475)/(H452/365)</f>
        <v>0.0444683407062765</v>
      </c>
    </row>
    <row r="476" spans="1:10">
      <c r="A476">
        <f>DE_Base_Profile!H14</f>
        <v>8</v>
      </c>
      <c r="B476">
        <f>DE_Base_Profile!I14</f>
        <v>0.041</v>
      </c>
      <c r="C476">
        <f>IF(DE_Base_Profile!J14=1,INDEX(DE_Lookups!$B$2:$B$4,MATCH(B451,DE_Lookups!$A$2:$A$4,0)),1)</f>
        <v>1</v>
      </c>
      <c r="D476">
        <f>IF(OR(D451="Air conditioning",D451="Heat pump (heating &amp; cooling)"),IF(DE_Base_Profile!K14=1,N452,1),1)*IF(OR(D451="Electric heating",D451="Heat pump (heating &amp; cooling)"),IF(DE_Base_Profile!L14=1,P452,1),1)</f>
        <v>1.4</v>
      </c>
      <c r="E476">
        <f t="shared" si="31"/>
        <v>0.0574</v>
      </c>
      <c r="F476">
        <f t="shared" si="32"/>
        <v>0.0509274293004843</v>
      </c>
      <c r="G476">
        <f>((L451+D452)/365)*F476</f>
        <v>0.934832263871903</v>
      </c>
      <c r="H476">
        <f>INDEX(DE_Base_Profile!$N$6:$Q$29,ROW()-467,MATCH(J451,DE_Base_Profile!$N$5:$Q$5,0))</f>
        <v>0</v>
      </c>
      <c r="I476">
        <f>(F452/365)*H476</f>
        <v>0</v>
      </c>
      <c r="J476">
        <f>(G476+I476)/(H452/365)</f>
        <v>0.0509274293004843</v>
      </c>
    </row>
    <row r="477" spans="1:10">
      <c r="A477">
        <f>DE_Base_Profile!H15</f>
        <v>9</v>
      </c>
      <c r="B477">
        <f>DE_Base_Profile!I15</f>
        <v>0.0446</v>
      </c>
      <c r="C477">
        <f>IF(DE_Base_Profile!J15=1,INDEX(DE_Lookups!$B$2:$B$4,MATCH(B451,DE_Lookups!$A$2:$A$4,0)),1)</f>
        <v>0.6</v>
      </c>
      <c r="D477">
        <f>IF(OR(D451="Air conditioning",D451="Heat pump (heating &amp; cooling)"),IF(DE_Base_Profile!K15=1,N452,1),1)*IF(OR(D451="Electric heating",D451="Heat pump (heating &amp; cooling)"),IF(DE_Base_Profile!L15=1,P452,1),1)</f>
        <v>1.4</v>
      </c>
      <c r="E477">
        <f t="shared" si="31"/>
        <v>0.037464</v>
      </c>
      <c r="F477">
        <f t="shared" si="32"/>
        <v>0.0332394636117307</v>
      </c>
      <c r="G477">
        <f>((L451+D452)/365)*F477</f>
        <v>0.610149058078344</v>
      </c>
      <c r="H477">
        <f>INDEX(DE_Base_Profile!$N$6:$Q$29,ROW()-467,MATCH(J451,DE_Base_Profile!$N$5:$Q$5,0))</f>
        <v>0</v>
      </c>
      <c r="I477">
        <f>(F452/365)*H477</f>
        <v>0</v>
      </c>
      <c r="J477">
        <f>(G477+I477)/(H452/365)</f>
        <v>0.0332394636117307</v>
      </c>
    </row>
    <row r="478" spans="1:10">
      <c r="A478">
        <f>DE_Base_Profile!H16</f>
        <v>10</v>
      </c>
      <c r="B478">
        <f>DE_Base_Profile!I16</f>
        <v>0.0474</v>
      </c>
      <c r="C478">
        <f>IF(DE_Base_Profile!J16=1,INDEX(DE_Lookups!$B$2:$B$4,MATCH(B451,DE_Lookups!$A$2:$A$4,0)),1)</f>
        <v>0.6</v>
      </c>
      <c r="D478">
        <f>IF(OR(D451="Air conditioning",D451="Heat pump (heating &amp; cooling)"),IF(DE_Base_Profile!K16=1,N452,1),1)*IF(OR(D451="Electric heating",D451="Heat pump (heating &amp; cooling)"),IF(DE_Base_Profile!L16=1,P452,1),1)</f>
        <v>1</v>
      </c>
      <c r="E478">
        <f t="shared" si="31"/>
        <v>0.02844</v>
      </c>
      <c r="F478">
        <f t="shared" si="32"/>
        <v>0.0252330329147347</v>
      </c>
      <c r="G478">
        <f>((L451+D452)/365)*F478</f>
        <v>0.463181700078692</v>
      </c>
      <c r="H478">
        <f>INDEX(DE_Base_Profile!$N$6:$Q$29,ROW()-467,MATCH(J451,DE_Base_Profile!$N$5:$Q$5,0))</f>
        <v>0</v>
      </c>
      <c r="I478">
        <f>(F452/365)*H478</f>
        <v>0</v>
      </c>
      <c r="J478">
        <f>(G478+I478)/(H452/365)</f>
        <v>0.0252330329147347</v>
      </c>
    </row>
    <row r="479" spans="1:10">
      <c r="A479">
        <f>DE_Base_Profile!H17</f>
        <v>11</v>
      </c>
      <c r="B479">
        <f>DE_Base_Profile!I17</f>
        <v>0.0518</v>
      </c>
      <c r="C479">
        <f>IF(DE_Base_Profile!J17=1,INDEX(DE_Lookups!$B$2:$B$4,MATCH(B451,DE_Lookups!$A$2:$A$4,0)),1)</f>
        <v>0.6</v>
      </c>
      <c r="D479">
        <f>IF(OR(D451="Air conditioning",D451="Heat pump (heating &amp; cooling)"),IF(DE_Base_Profile!K17=1,N452,1),1)*IF(OR(D451="Electric heating",D451="Heat pump (heating &amp; cooling)"),IF(DE_Base_Profile!L17=1,P452,1),1)</f>
        <v>1</v>
      </c>
      <c r="E479">
        <f t="shared" si="31"/>
        <v>0.03108</v>
      </c>
      <c r="F479">
        <f t="shared" si="32"/>
        <v>0.0275753397675793</v>
      </c>
      <c r="G479">
        <f>((L451+D452)/365)*F479</f>
        <v>0.50617746970625</v>
      </c>
      <c r="H479">
        <f>INDEX(DE_Base_Profile!$N$6:$Q$29,ROW()-467,MATCH(J451,DE_Base_Profile!$N$5:$Q$5,0))</f>
        <v>0</v>
      </c>
      <c r="I479">
        <f>(F452/365)*H479</f>
        <v>0</v>
      </c>
      <c r="J479">
        <f>(G479+I479)/(H452/365)</f>
        <v>0.0275753397675793</v>
      </c>
    </row>
    <row r="480" spans="1:10">
      <c r="A480">
        <f>DE_Base_Profile!H18</f>
        <v>12</v>
      </c>
      <c r="B480">
        <f>DE_Base_Profile!I18</f>
        <v>0.0513</v>
      </c>
      <c r="C480">
        <f>IF(DE_Base_Profile!J18=1,INDEX(DE_Lookups!$B$2:$B$4,MATCH(B451,DE_Lookups!$A$2:$A$4,0)),1)</f>
        <v>0.6</v>
      </c>
      <c r="D480">
        <f>IF(OR(D451="Air conditioning",D451="Heat pump (heating &amp; cooling)"),IF(DE_Base_Profile!K18=1,N452,1),1)*IF(OR(D451="Electric heating",D451="Heat pump (heating &amp; cooling)"),IF(DE_Base_Profile!L18=1,P452,1),1)</f>
        <v>1</v>
      </c>
      <c r="E480">
        <f t="shared" si="31"/>
        <v>0.03078</v>
      </c>
      <c r="F480">
        <f t="shared" si="32"/>
        <v>0.0273091685343015</v>
      </c>
      <c r="G480">
        <f>((L451+D452)/365)*F480</f>
        <v>0.501291586794027</v>
      </c>
      <c r="H480">
        <f>INDEX(DE_Base_Profile!$N$6:$Q$29,ROW()-467,MATCH(J451,DE_Base_Profile!$N$5:$Q$5,0))</f>
        <v>0</v>
      </c>
      <c r="I480">
        <f>(F452/365)*H480</f>
        <v>0</v>
      </c>
      <c r="J480">
        <f>(G480+I480)/(H452/365)</f>
        <v>0.0273091685343015</v>
      </c>
    </row>
    <row r="481" spans="1:12">
      <c r="A481">
        <f>DE_Base_Profile!H19</f>
        <v>13</v>
      </c>
      <c r="B481">
        <f>DE_Base_Profile!I19</f>
        <v>0.0481</v>
      </c>
      <c r="C481">
        <f>IF(DE_Base_Profile!J19=1,INDEX(DE_Lookups!$B$2:$B$4,MATCH(B451,DE_Lookups!$A$2:$A$4,0)),1)</f>
        <v>0.6</v>
      </c>
      <c r="D481">
        <f>IF(OR(D451="Air conditioning",D451="Heat pump (heating &amp; cooling)"),IF(DE_Base_Profile!K19=1,N452,1),1)*IF(OR(D451="Electric heating",D451="Heat pump (heating &amp; cooling)"),IF(DE_Base_Profile!L19=1,P452,1),1)</f>
        <v>1</v>
      </c>
      <c r="E481">
        <f t="shared" si="31"/>
        <v>0.02886</v>
      </c>
      <c r="F481">
        <f t="shared" si="32"/>
        <v>0.0256056726413236</v>
      </c>
      <c r="G481">
        <f>((L451+D452)/365)*F481</f>
        <v>0.470021936155803</v>
      </c>
      <c r="H481">
        <f>INDEX(DE_Base_Profile!$N$6:$Q$29,ROW()-467,MATCH(J451,DE_Base_Profile!$N$5:$Q$5,0))</f>
        <v>0</v>
      </c>
      <c r="I481">
        <f>(F452/365)*H481</f>
        <v>0</v>
      </c>
      <c r="J481">
        <f>(G481+I481)/(H452/365)</f>
        <v>0.0256056726413236</v>
      </c>
    </row>
    <row r="482" spans="1:12">
      <c r="A482">
        <f>DE_Base_Profile!H20</f>
        <v>14</v>
      </c>
      <c r="B482">
        <f>DE_Base_Profile!I20</f>
        <v>0.0459</v>
      </c>
      <c r="C482">
        <f>IF(DE_Base_Profile!J20=1,INDEX(DE_Lookups!$B$2:$B$4,MATCH(B451,DE_Lookups!$A$2:$A$4,0)),1)</f>
        <v>0.6</v>
      </c>
      <c r="D482">
        <f>IF(OR(D451="Air conditioning",D451="Heat pump (heating &amp; cooling)"),IF(DE_Base_Profile!K20=1,N452,1),1)*IF(OR(D451="Electric heating",D451="Heat pump (heating &amp; cooling)"),IF(DE_Base_Profile!L20=1,P452,1),1)</f>
        <v>1.5</v>
      </c>
      <c r="E482">
        <f t="shared" si="31"/>
        <v>0.04131</v>
      </c>
      <c r="F482">
        <f t="shared" si="32"/>
        <v>0.036651778822352</v>
      </c>
      <c r="G482">
        <f>((L451+D452)/365)*F482</f>
        <v>0.672786077013037</v>
      </c>
      <c r="H482">
        <f>INDEX(DE_Base_Profile!$N$6:$Q$29,ROW()-467,MATCH(J451,DE_Base_Profile!$N$5:$Q$5,0))</f>
        <v>0</v>
      </c>
      <c r="I482">
        <f>(F452/365)*H482</f>
        <v>0</v>
      </c>
      <c r="J482">
        <f>(G482+I482)/(H452/365)</f>
        <v>0.036651778822352</v>
      </c>
    </row>
    <row r="483" spans="1:12">
      <c r="A483">
        <f>DE_Base_Profile!H21</f>
        <v>15</v>
      </c>
      <c r="B483">
        <f>DE_Base_Profile!I21</f>
        <v>0.0454</v>
      </c>
      <c r="C483">
        <f>IF(DE_Base_Profile!J21=1,INDEX(DE_Lookups!$B$2:$B$4,MATCH(B451,DE_Lookups!$A$2:$A$4,0)),1)</f>
        <v>0.6</v>
      </c>
      <c r="D483">
        <f>IF(OR(D451="Air conditioning",D451="Heat pump (heating &amp; cooling)"),IF(DE_Base_Profile!K21=1,N452,1),1)*IF(OR(D451="Electric heating",D451="Heat pump (heating &amp; cooling)"),IF(DE_Base_Profile!L21=1,P452,1),1)</f>
        <v>1.5</v>
      </c>
      <c r="E483">
        <f t="shared" si="31"/>
        <v>0.04086</v>
      </c>
      <c r="F483">
        <f t="shared" si="32"/>
        <v>0.0362525219724353</v>
      </c>
      <c r="G483">
        <f>((L451+D452)/365)*F483</f>
        <v>0.665457252644703</v>
      </c>
      <c r="H483">
        <f>INDEX(DE_Base_Profile!$N$6:$Q$29,ROW()-467,MATCH(J451,DE_Base_Profile!$N$5:$Q$5,0))</f>
        <v>0</v>
      </c>
      <c r="I483">
        <f>(F452/365)*H483</f>
        <v>0</v>
      </c>
      <c r="J483">
        <f>(G483+I483)/(H452/365)</f>
        <v>0.0362525219724353</v>
      </c>
    </row>
    <row r="484" spans="1:12">
      <c r="A484">
        <f>DE_Base_Profile!H22</f>
        <v>16</v>
      </c>
      <c r="B484">
        <f>DE_Base_Profile!I22</f>
        <v>0.0475</v>
      </c>
      <c r="C484">
        <f>IF(DE_Base_Profile!J22=1,INDEX(DE_Lookups!$B$2:$B$4,MATCH(B451,DE_Lookups!$A$2:$A$4,0)),1)</f>
        <v>0.6</v>
      </c>
      <c r="D484">
        <f>IF(OR(D451="Air conditioning",D451="Heat pump (heating &amp; cooling)"),IF(DE_Base_Profile!K22=1,N452,1),1)*IF(OR(D451="Electric heating",D451="Heat pump (heating &amp; cooling)"),IF(DE_Base_Profile!L22=1,P452,1),1)</f>
        <v>1.5</v>
      </c>
      <c r="E484">
        <f t="shared" si="31"/>
        <v>0.04275</v>
      </c>
      <c r="F484">
        <f t="shared" si="32"/>
        <v>0.0379294007420854</v>
      </c>
      <c r="G484">
        <f>((L451+D452)/365)*F484</f>
        <v>0.696238314991705</v>
      </c>
      <c r="H484">
        <f>INDEX(DE_Base_Profile!$N$6:$Q$29,ROW()-467,MATCH(J451,DE_Base_Profile!$N$5:$Q$5,0))</f>
        <v>0</v>
      </c>
      <c r="I484">
        <f>(F452/365)*H484</f>
        <v>0</v>
      </c>
      <c r="J484">
        <f>(G484+I484)/(H452/365)</f>
        <v>0.0379294007420854</v>
      </c>
    </row>
    <row r="485" spans="1:12">
      <c r="A485">
        <f>DE_Base_Profile!H23</f>
        <v>17</v>
      </c>
      <c r="B485">
        <f>DE_Base_Profile!I23</f>
        <v>0.0535</v>
      </c>
      <c r="C485">
        <f>IF(DE_Base_Profile!J23=1,INDEX(DE_Lookups!$B$2:$B$4,MATCH(B451,DE_Lookups!$A$2:$A$4,0)),1)</f>
        <v>0.6</v>
      </c>
      <c r="D485">
        <f>IF(OR(D451="Air conditioning",D451="Heat pump (heating &amp; cooling)"),IF(DE_Base_Profile!K23=1,N452,1),1)*IF(OR(D451="Electric heating",D451="Heat pump (heating &amp; cooling)"),IF(DE_Base_Profile!L23=1,P452,1),1)</f>
        <v>1.5</v>
      </c>
      <c r="E485">
        <f t="shared" si="31"/>
        <v>0.04815</v>
      </c>
      <c r="F485">
        <f t="shared" si="32"/>
        <v>0.0427204829410857</v>
      </c>
      <c r="G485">
        <f>((L451+D452)/365)*F485</f>
        <v>0.784184207411709</v>
      </c>
      <c r="H485">
        <f>INDEX(DE_Base_Profile!$N$6:$Q$29,ROW()-467,MATCH(J451,DE_Base_Profile!$N$5:$Q$5,0))</f>
        <v>0</v>
      </c>
      <c r="I485">
        <f>(F452/365)*H485</f>
        <v>0</v>
      </c>
      <c r="J485">
        <f>(G485+I485)/(H452/365)</f>
        <v>0.0427204829410857</v>
      </c>
    </row>
    <row r="486" spans="1:12">
      <c r="A486">
        <f>DE_Base_Profile!H24</f>
        <v>18</v>
      </c>
      <c r="B486">
        <f>DE_Base_Profile!I24</f>
        <v>0.0587</v>
      </c>
      <c r="C486">
        <f>IF(DE_Base_Profile!J24=1,INDEX(DE_Lookups!$B$2:$B$4,MATCH(B451,DE_Lookups!$A$2:$A$4,0)),1)</f>
        <v>1</v>
      </c>
      <c r="D486">
        <f>IF(OR(D451="Air conditioning",D451="Heat pump (heating &amp; cooling)"),IF(DE_Base_Profile!K24=1,N452,1),1)*IF(OR(D451="Electric heating",D451="Heat pump (heating &amp; cooling)"),IF(DE_Base_Profile!L24=1,P452,1),1)</f>
        <v>2.1</v>
      </c>
      <c r="E486">
        <f t="shared" si="31"/>
        <v>0.12327</v>
      </c>
      <c r="F486">
        <f t="shared" si="32"/>
        <v>0.109369759753845</v>
      </c>
      <c r="G486">
        <f>((L451+D452)/365)*F486</f>
        <v>2.00760928863222</v>
      </c>
      <c r="H486">
        <f>INDEX(DE_Base_Profile!$N$6:$Q$29,ROW()-467,MATCH(J451,DE_Base_Profile!$N$5:$Q$5,0))</f>
        <v>0</v>
      </c>
      <c r="I486">
        <f>(F452/365)*H486</f>
        <v>0</v>
      </c>
      <c r="J486">
        <f>(G486+I486)/(H452/365)</f>
        <v>0.109369759753845</v>
      </c>
    </row>
    <row r="487" spans="1:12">
      <c r="A487">
        <f>DE_Base_Profile!H25</f>
        <v>19</v>
      </c>
      <c r="B487">
        <f>DE_Base_Profile!I25</f>
        <v>0.0591</v>
      </c>
      <c r="C487">
        <f>IF(DE_Base_Profile!J25=1,INDEX(DE_Lookups!$B$2:$B$4,MATCH(B451,DE_Lookups!$A$2:$A$4,0)),1)</f>
        <v>1</v>
      </c>
      <c r="D487">
        <f>IF(OR(D451="Air conditioning",D451="Heat pump (heating &amp; cooling)"),IF(DE_Base_Profile!K25=1,N452,1),1)*IF(OR(D451="Electric heating",D451="Heat pump (heating &amp; cooling)"),IF(DE_Base_Profile!L25=1,P452,1),1)</f>
        <v>2.1</v>
      </c>
      <c r="E487">
        <f t="shared" si="31"/>
        <v>0.12411</v>
      </c>
      <c r="F487">
        <f t="shared" si="32"/>
        <v>0.110115039207023</v>
      </c>
      <c r="G487">
        <f>((L451+D452)/365)*F487</f>
        <v>2.02128976078644</v>
      </c>
      <c r="H487">
        <f>INDEX(DE_Base_Profile!$N$6:$Q$29,ROW()-467,MATCH(J451,DE_Base_Profile!$N$5:$Q$5,0))</f>
        <v>0</v>
      </c>
      <c r="I487">
        <f>(F452/365)*H487</f>
        <v>0</v>
      </c>
      <c r="J487">
        <f>(G487+I487)/(H452/365)</f>
        <v>0.110115039207023</v>
      </c>
    </row>
    <row r="488" spans="1:12">
      <c r="A488">
        <f>DE_Base_Profile!H26</f>
        <v>20</v>
      </c>
      <c r="B488">
        <f>DE_Base_Profile!I26</f>
        <v>0.0556</v>
      </c>
      <c r="C488">
        <f>IF(DE_Base_Profile!J26=1,INDEX(DE_Lookups!$B$2:$B$4,MATCH(B451,DE_Lookups!$A$2:$A$4,0)),1)</f>
        <v>1</v>
      </c>
      <c r="D488">
        <f>IF(OR(D451="Air conditioning",D451="Heat pump (heating &amp; cooling)"),IF(DE_Base_Profile!K26=1,N452,1),1)*IF(OR(D451="Electric heating",D451="Heat pump (heating &amp; cooling)"),IF(DE_Base_Profile!L26=1,P452,1),1)</f>
        <v>1.4</v>
      </c>
      <c r="E488">
        <f t="shared" si="31"/>
        <v>0.07784</v>
      </c>
      <c r="F488">
        <f t="shared" si="32"/>
        <v>0.0690625626611445</v>
      </c>
      <c r="G488">
        <f>((L451+D452)/365)*F488</f>
        <v>1.267723752958</v>
      </c>
      <c r="H488">
        <f>INDEX(DE_Base_Profile!$N$6:$Q$29,ROW()-467,MATCH(J451,DE_Base_Profile!$N$5:$Q$5,0))</f>
        <v>0</v>
      </c>
      <c r="I488">
        <f>(F452/365)*H488</f>
        <v>0</v>
      </c>
      <c r="J488">
        <f>(G488+I488)/(H452/365)</f>
        <v>0.0690625626611445</v>
      </c>
    </row>
    <row r="489" spans="1:12">
      <c r="A489">
        <f>DE_Base_Profile!H27</f>
        <v>21</v>
      </c>
      <c r="B489">
        <f>DE_Base_Profile!I27</f>
        <v>0.0508</v>
      </c>
      <c r="C489">
        <f>IF(DE_Base_Profile!J27=1,INDEX(DE_Lookups!$B$2:$B$4,MATCH(B451,DE_Lookups!$A$2:$A$4,0)),1)</f>
        <v>1</v>
      </c>
      <c r="D489">
        <f>IF(OR(D451="Air conditioning",D451="Heat pump (heating &amp; cooling)"),IF(DE_Base_Profile!K27=1,N452,1),1)*IF(OR(D451="Electric heating",D451="Heat pump (heating &amp; cooling)"),IF(DE_Base_Profile!L27=1,P452,1),1)</f>
        <v>1.4</v>
      </c>
      <c r="E489">
        <f t="shared" si="31"/>
        <v>0.07112</v>
      </c>
      <c r="F489">
        <f t="shared" si="32"/>
        <v>0.063100327035722</v>
      </c>
      <c r="G489">
        <f>((L451+D452)/365)*F489</f>
        <v>1.15827997572421</v>
      </c>
      <c r="H489">
        <f>INDEX(DE_Base_Profile!$N$6:$Q$29,ROW()-467,MATCH(J451,DE_Base_Profile!$N$5:$Q$5,0))</f>
        <v>0</v>
      </c>
      <c r="I489">
        <f>(F452/365)*H489</f>
        <v>0</v>
      </c>
      <c r="J489">
        <f>(G489+I489)/(H452/365)</f>
        <v>0.063100327035722</v>
      </c>
    </row>
    <row r="490" spans="1:12">
      <c r="A490">
        <f>DE_Base_Profile!H28</f>
        <v>22</v>
      </c>
      <c r="B490">
        <f>DE_Base_Profile!I28</f>
        <v>0.0451</v>
      </c>
      <c r="C490">
        <f>IF(DE_Base_Profile!J28=1,INDEX(DE_Lookups!$B$2:$B$4,MATCH(B451,DE_Lookups!$A$2:$A$4,0)),1)</f>
        <v>1</v>
      </c>
      <c r="D490">
        <f>IF(OR(D451="Air conditioning",D451="Heat pump (heating &amp; cooling)"),IF(DE_Base_Profile!K28=1,N452,1),1)*IF(OR(D451="Electric heating",D451="Heat pump (heating &amp; cooling)"),IF(DE_Base_Profile!L28=1,P452,1),1)</f>
        <v>1.4</v>
      </c>
      <c r="E490">
        <f t="shared" si="31"/>
        <v>0.06314</v>
      </c>
      <c r="F490">
        <f t="shared" si="32"/>
        <v>0.0560201722305327</v>
      </c>
      <c r="G490">
        <f>((L451+D452)/365)*F490</f>
        <v>1.02831549025909</v>
      </c>
      <c r="H490">
        <f>INDEX(DE_Base_Profile!$N$6:$Q$29,ROW()-467,MATCH(J451,DE_Base_Profile!$N$5:$Q$5,0))</f>
        <v>0.125</v>
      </c>
      <c r="I490">
        <f>(F452/365)*H490</f>
        <v>0</v>
      </c>
      <c r="J490">
        <f>(G490+I490)/(H452/365)</f>
        <v>0.0560201722305327</v>
      </c>
    </row>
    <row r="491" spans="1:12">
      <c r="A491">
        <f>DE_Base_Profile!H29</f>
        <v>23</v>
      </c>
      <c r="B491">
        <f>DE_Base_Profile!I29</f>
        <v>0.0366</v>
      </c>
      <c r="C491">
        <f>IF(DE_Base_Profile!J29=1,INDEX(DE_Lookups!$B$2:$B$4,MATCH(B451,DE_Lookups!$A$2:$A$4,0)),1)</f>
        <v>1</v>
      </c>
      <c r="D491">
        <f>IF(OR(D451="Air conditioning",D451="Heat pump (heating &amp; cooling)"),IF(DE_Base_Profile!K29=1,N452,1),1)*IF(OR(D451="Electric heating",D451="Heat pump (heating &amp; cooling)"),IF(DE_Base_Profile!L29=1,P452,1),1)</f>
        <v>1</v>
      </c>
      <c r="E491">
        <f t="shared" si="31"/>
        <v>0.0366</v>
      </c>
      <c r="F491">
        <f t="shared" si="32"/>
        <v>0.0324728904598907</v>
      </c>
      <c r="G491">
        <f>((L451+D452)/365)*F491</f>
        <v>0.596077715291144</v>
      </c>
      <c r="H491">
        <f>INDEX(DE_Base_Profile!$N$6:$Q$29,ROW()-467,MATCH(J451,DE_Base_Profile!$N$5:$Q$5,0))</f>
        <v>0.125</v>
      </c>
      <c r="I491">
        <f>(F452/365)*H491</f>
        <v>0</v>
      </c>
      <c r="J491">
        <f>(G491+I491)/(H452/365)</f>
        <v>0.0324728904598907</v>
      </c>
    </row>
    <row r="496" spans="1:12">
      <c r="A496" t="s">
        <v>51</v>
      </c>
      <c r="B496" t="str">
        <f>DE_Option_Monthly!C15</f>
        <v>Mostly away during the day</v>
      </c>
      <c r="C496" t="s">
        <v>188</v>
      </c>
      <c r="D496" t="str">
        <f>DE_Option_Monthly!D15</f>
        <v>No heating or cooling system</v>
      </c>
      <c r="E496" t="s">
        <v>68</v>
      </c>
      <c r="F496" t="str">
        <f>DE_Option_Monthly!E15</f>
        <v>Medium</v>
      </c>
      <c r="G496" t="s">
        <v>98</v>
      </c>
      <c r="H496" t="str">
        <f>DE_Option_Monthly!F15</f>
        <v>No electric vehicle</v>
      </c>
      <c r="I496" t="s">
        <v>289</v>
      </c>
      <c r="J496" t="str">
        <f>DE_Option_Monthly!G15</f>
        <v>Mostly overnight</v>
      </c>
      <c r="K496" t="s">
        <v>290</v>
      </c>
      <c r="L496">
        <f>DE_Option_Monthly!$B$1</f>
        <v>3500</v>
      </c>
    </row>
    <row r="497" spans="1:16">
      <c r="A497" t="s">
        <v>291</v>
      </c>
      <c r="B497">
        <f>INDEX(DE_Lookups!$E$2:$E$5,MATCH(F496,DE_Lookups!$D$2:$D$5,0))</f>
        <v>1</v>
      </c>
      <c r="C497" t="s">
        <v>292</v>
      </c>
      <c r="D497">
        <f>IF(OR(D496="Electric heating",D496="Heat pump (heating &amp; cooling)"),INDEX(DE_Lookups!$L$2:$L$5,MATCH(D496,DE_Lookups!$K$2:$K$5,0))*B497,0)</f>
        <v>0</v>
      </c>
      <c r="E497" t="s">
        <v>293</v>
      </c>
      <c r="F497">
        <f>INDEX(DE_Lookups!$O$2:$O$7,MATCH(H496,DE_Lookups!$N$2:$N$7,0))*0.18</f>
        <v>0</v>
      </c>
      <c r="G497" t="s">
        <v>294</v>
      </c>
      <c r="H497">
        <f>L496+D497+F497</f>
        <v>3500</v>
      </c>
      <c r="I497" t="s">
        <v>295</v>
      </c>
      <c r="J497">
        <f>INDEX(DE_Lookups!$F$2:$F$5,MATCH(F496,DE_Lookups!$D$2:$D$5,0))</f>
        <v>1.1</v>
      </c>
      <c r="K497" t="s">
        <v>296</v>
      </c>
      <c r="L497">
        <f>INDEX(DE_Lookups!$G$2:$G$5,MATCH(F496,DE_Lookups!$D$2:$D$5,0))</f>
        <v>1.15</v>
      </c>
      <c r="M497" t="s">
        <v>297</v>
      </c>
      <c r="N497">
        <f>INDEX(DE_Lookups!$H$2:$H$5,MATCH(F496,DE_Lookups!$D$2:$D$5,0))</f>
        <v>1.2</v>
      </c>
      <c r="O497" t="s">
        <v>298</v>
      </c>
      <c r="P497">
        <f>INDEX(DE_Lookups!$I$2:$I$5,MATCH(F496,DE_Lookups!$D$2:$D$5,0))</f>
        <v>1.15</v>
      </c>
    </row>
    <row r="499" spans="1:16">
      <c r="A499" t="str">
        <f>DE_Base_Profile!A6</f>
        <v>1月</v>
      </c>
      <c r="B499">
        <f>DE_Base_Profile!B6</f>
        <v>0.0789</v>
      </c>
      <c r="C499">
        <f>L496*B499</f>
        <v>276.15</v>
      </c>
      <c r="D499">
        <f>1+IF(OR(D496="Air conditioning",D496="Heat pump (heating &amp; cooling)"),IF(DE_Base_Profile!D6=1,J497-1,0),0)+IF(OR(D496="Electric heating",D496="Heat pump (heating &amp; cooling)"),IF(DE_Base_Profile!E6=1,L497-1,0),0)</f>
        <v>1</v>
      </c>
      <c r="E499">
        <f t="shared" ref="E499:E510" si="33">C499*D499</f>
        <v>276.15</v>
      </c>
      <c r="F499">
        <f>IF(D496="Electric heating",IF(DE_Base_Profile!E6=1,B499*L497,0),IF(D496="Heat pump (heating &amp; cooling)",IF(DE_Base_Profile!D6=1,B499*J497,0)+IF(DE_Base_Profile!E6=1,B499*L497,0),0))</f>
        <v>0</v>
      </c>
      <c r="G499">
        <f>IF(SUM($F$499:$F$510)=0,0,D497*F499/SUM($F$499:$F$510))</f>
        <v>0</v>
      </c>
      <c r="H499">
        <f>F497/12</f>
        <v>0</v>
      </c>
      <c r="I499">
        <f>E499/SUM($E$499:$E$510)*L496+G499+H499</f>
        <v>276.15</v>
      </c>
      <c r="J499">
        <f>I499/H497</f>
        <v>0.0789</v>
      </c>
    </row>
    <row r="500" spans="1:16">
      <c r="A500" t="str">
        <f>DE_Base_Profile!A7</f>
        <v>2月</v>
      </c>
      <c r="B500">
        <f>DE_Base_Profile!B7</f>
        <v>0.0791</v>
      </c>
      <c r="C500">
        <f>L496*B500</f>
        <v>276.85</v>
      </c>
      <c r="D500">
        <f>1+IF(OR(D496="Air conditioning",D496="Heat pump (heating &amp; cooling)"),IF(DE_Base_Profile!D7=1,J497-1,0),0)+IF(OR(D496="Electric heating",D496="Heat pump (heating &amp; cooling)"),IF(DE_Base_Profile!E7=1,L497-1,0),0)</f>
        <v>1</v>
      </c>
      <c r="E500">
        <f t="shared" si="33"/>
        <v>276.85</v>
      </c>
      <c r="F500">
        <f>IF(D496="Electric heating",IF(DE_Base_Profile!E7=1,B500*L497,0),IF(D496="Heat pump (heating &amp; cooling)",IF(DE_Base_Profile!D7=1,B500*J497,0)+IF(DE_Base_Profile!E7=1,B500*L497,0),0))</f>
        <v>0</v>
      </c>
      <c r="G500">
        <f>IF(SUM($F$499:$F$510)=0,0,D497*F500/SUM($F$499:$F$510))</f>
        <v>0</v>
      </c>
      <c r="H500">
        <f>F497/12</f>
        <v>0</v>
      </c>
      <c r="I500">
        <f>E500/SUM($E$499:$E$510)*L496+G500+H500</f>
        <v>276.85</v>
      </c>
      <c r="J500">
        <f>I500/H497</f>
        <v>0.0791</v>
      </c>
    </row>
    <row r="501" spans="1:16">
      <c r="A501" t="str">
        <f>DE_Base_Profile!A8</f>
        <v>3月</v>
      </c>
      <c r="B501">
        <f>DE_Base_Profile!B8</f>
        <v>0.0773</v>
      </c>
      <c r="C501">
        <f>L496*B501</f>
        <v>270.55</v>
      </c>
      <c r="D501">
        <f>1+IF(OR(D496="Air conditioning",D496="Heat pump (heating &amp; cooling)"),IF(DE_Base_Profile!D8=1,J497-1,0),0)+IF(OR(D496="Electric heating",D496="Heat pump (heating &amp; cooling)"),IF(DE_Base_Profile!E8=1,L497-1,0),0)</f>
        <v>1</v>
      </c>
      <c r="E501">
        <f t="shared" si="33"/>
        <v>270.55</v>
      </c>
      <c r="F501">
        <f>IF(D496="Electric heating",IF(DE_Base_Profile!E8=1,B501*L497,0),IF(D496="Heat pump (heating &amp; cooling)",IF(DE_Base_Profile!D8=1,B501*J497,0)+IF(DE_Base_Profile!E8=1,B501*L497,0),0))</f>
        <v>0</v>
      </c>
      <c r="G501">
        <f>IF(SUM($F$499:$F$510)=0,0,D497*F501/SUM($F$499:$F$510))</f>
        <v>0</v>
      </c>
      <c r="H501">
        <f>F497/12</f>
        <v>0</v>
      </c>
      <c r="I501">
        <f>E501/SUM($E$499:$E$510)*L496+G501+H501</f>
        <v>270.55</v>
      </c>
      <c r="J501">
        <f>I501/H497</f>
        <v>0.0773</v>
      </c>
    </row>
    <row r="502" spans="1:16">
      <c r="A502" t="str">
        <f>DE_Base_Profile!A9</f>
        <v>4月</v>
      </c>
      <c r="B502">
        <f>DE_Base_Profile!B9</f>
        <v>0.0822</v>
      </c>
      <c r="C502">
        <f>L496*B502</f>
        <v>287.7</v>
      </c>
      <c r="D502">
        <f>1+IF(OR(D496="Air conditioning",D496="Heat pump (heating &amp; cooling)"),IF(DE_Base_Profile!D9=1,J497-1,0),0)+IF(OR(D496="Electric heating",D496="Heat pump (heating &amp; cooling)"),IF(DE_Base_Profile!E9=1,L497-1,0),0)</f>
        <v>1</v>
      </c>
      <c r="E502">
        <f t="shared" si="33"/>
        <v>287.7</v>
      </c>
      <c r="F502">
        <f>IF(D496="Electric heating",IF(DE_Base_Profile!E9=1,B502*L497,0),IF(D496="Heat pump (heating &amp; cooling)",IF(DE_Base_Profile!D9=1,B502*J497,0)+IF(DE_Base_Profile!E9=1,B502*L497,0),0))</f>
        <v>0</v>
      </c>
      <c r="G502">
        <f>IF(SUM($F$499:$F$510)=0,0,D497*F502/SUM($F$499:$F$510))</f>
        <v>0</v>
      </c>
      <c r="H502">
        <f>F497/12</f>
        <v>0</v>
      </c>
      <c r="I502">
        <f>E502/SUM($E$499:$E$510)*L496+G502+H502</f>
        <v>287.7</v>
      </c>
      <c r="J502">
        <f>I502/H497</f>
        <v>0.0822</v>
      </c>
    </row>
    <row r="503" spans="1:16">
      <c r="A503" t="str">
        <f>DE_Base_Profile!A10</f>
        <v>5月</v>
      </c>
      <c r="B503">
        <f>DE_Base_Profile!B10</f>
        <v>0.0839</v>
      </c>
      <c r="C503">
        <f>L496*B503</f>
        <v>293.65</v>
      </c>
      <c r="D503">
        <f>1+IF(OR(D496="Air conditioning",D496="Heat pump (heating &amp; cooling)"),IF(DE_Base_Profile!D10=1,J497-1,0),0)+IF(OR(D496="Electric heating",D496="Heat pump (heating &amp; cooling)"),IF(DE_Base_Profile!E10=1,L497-1,0),0)</f>
        <v>1</v>
      </c>
      <c r="E503">
        <f t="shared" si="33"/>
        <v>293.65</v>
      </c>
      <c r="F503">
        <f>IF(D496="Electric heating",IF(DE_Base_Profile!E10=1,B503*L497,0),IF(D496="Heat pump (heating &amp; cooling)",IF(DE_Base_Profile!D10=1,B503*J497,0)+IF(DE_Base_Profile!E10=1,B503*L497,0),0))</f>
        <v>0</v>
      </c>
      <c r="G503">
        <f>IF(SUM($F$499:$F$510)=0,0,D497*F503/SUM($F$499:$F$510))</f>
        <v>0</v>
      </c>
      <c r="H503">
        <f>F497/12</f>
        <v>0</v>
      </c>
      <c r="I503">
        <f>E503/SUM($E$499:$E$510)*L496+G503+H503</f>
        <v>293.65</v>
      </c>
      <c r="J503">
        <f>I503/H497</f>
        <v>0.0839</v>
      </c>
    </row>
    <row r="504" spans="1:16">
      <c r="A504" t="str">
        <f>DE_Base_Profile!A11</f>
        <v>6月</v>
      </c>
      <c r="B504">
        <f>DE_Base_Profile!B11</f>
        <v>0.0876</v>
      </c>
      <c r="C504">
        <f>L496*B504</f>
        <v>306.6</v>
      </c>
      <c r="D504">
        <f>1+IF(OR(D496="Air conditioning",D496="Heat pump (heating &amp; cooling)"),IF(DE_Base_Profile!D11=1,J497-1,0),0)+IF(OR(D496="Electric heating",D496="Heat pump (heating &amp; cooling)"),IF(DE_Base_Profile!E11=1,L497-1,0),0)</f>
        <v>1</v>
      </c>
      <c r="E504">
        <f t="shared" si="33"/>
        <v>306.6</v>
      </c>
      <c r="F504">
        <f>IF(D496="Electric heating",IF(DE_Base_Profile!E11=1,B504*L497,0),IF(D496="Heat pump (heating &amp; cooling)",IF(DE_Base_Profile!D11=1,B504*J497,0)+IF(DE_Base_Profile!E11=1,B504*L497,0),0))</f>
        <v>0</v>
      </c>
      <c r="G504">
        <f>IF(SUM($F$499:$F$510)=0,0,D497*F504/SUM($F$499:$F$510))</f>
        <v>0</v>
      </c>
      <c r="H504">
        <f>F497/12</f>
        <v>0</v>
      </c>
      <c r="I504">
        <f>E504/SUM($E$499:$E$510)*L496+G504+H504</f>
        <v>306.6</v>
      </c>
      <c r="J504">
        <f>I504/H497</f>
        <v>0.0876</v>
      </c>
    </row>
    <row r="505" spans="1:16">
      <c r="A505" t="str">
        <f>DE_Base_Profile!A12</f>
        <v>7月</v>
      </c>
      <c r="B505">
        <f>DE_Base_Profile!B12</f>
        <v>0.0917</v>
      </c>
      <c r="C505">
        <f>L496*B505</f>
        <v>320.95</v>
      </c>
      <c r="D505">
        <f>1+IF(OR(D496="Air conditioning",D496="Heat pump (heating &amp; cooling)"),IF(DE_Base_Profile!D12=1,J497-1,0),0)+IF(OR(D496="Electric heating",D496="Heat pump (heating &amp; cooling)"),IF(DE_Base_Profile!E12=1,L497-1,0),0)</f>
        <v>1</v>
      </c>
      <c r="E505">
        <f t="shared" si="33"/>
        <v>320.95</v>
      </c>
      <c r="F505">
        <f>IF(D496="Electric heating",IF(DE_Base_Profile!E12=1,B505*L497,0),IF(D496="Heat pump (heating &amp; cooling)",IF(DE_Base_Profile!D12=1,B505*J497,0)+IF(DE_Base_Profile!E12=1,B505*L497,0),0))</f>
        <v>0</v>
      </c>
      <c r="G505">
        <f>IF(SUM($F$499:$F$510)=0,0,D497*F505/SUM($F$499:$F$510))</f>
        <v>0</v>
      </c>
      <c r="H505">
        <f>F497/12</f>
        <v>0</v>
      </c>
      <c r="I505">
        <f>E505/SUM($E$499:$E$510)*L496+G505+H505</f>
        <v>320.95</v>
      </c>
      <c r="J505">
        <f>I505/H497</f>
        <v>0.0917</v>
      </c>
    </row>
    <row r="506" spans="1:16">
      <c r="A506" t="str">
        <f>DE_Base_Profile!A13</f>
        <v>8月</v>
      </c>
      <c r="B506">
        <f>DE_Base_Profile!B13</f>
        <v>0.0887</v>
      </c>
      <c r="C506">
        <f>L496*B506</f>
        <v>310.45</v>
      </c>
      <c r="D506">
        <f>1+IF(OR(D496="Air conditioning",D496="Heat pump (heating &amp; cooling)"),IF(DE_Base_Profile!D13=1,J497-1,0),0)+IF(OR(D496="Electric heating",D496="Heat pump (heating &amp; cooling)"),IF(DE_Base_Profile!E13=1,L497-1,0),0)</f>
        <v>1</v>
      </c>
      <c r="E506">
        <f t="shared" si="33"/>
        <v>310.45</v>
      </c>
      <c r="F506">
        <f>IF(D496="Electric heating",IF(DE_Base_Profile!E13=1,B506*L497,0),IF(D496="Heat pump (heating &amp; cooling)",IF(DE_Base_Profile!D13=1,B506*J497,0)+IF(DE_Base_Profile!E13=1,B506*L497,0),0))</f>
        <v>0</v>
      </c>
      <c r="G506">
        <f>IF(SUM($F$499:$F$510)=0,0,D497*F506/SUM($F$499:$F$510))</f>
        <v>0</v>
      </c>
      <c r="H506">
        <f>F497/12</f>
        <v>0</v>
      </c>
      <c r="I506">
        <f>E506/SUM($E$499:$E$510)*L496+G506+H506</f>
        <v>310.45</v>
      </c>
      <c r="J506">
        <f>I506/H497</f>
        <v>0.0887</v>
      </c>
    </row>
    <row r="507" spans="1:16">
      <c r="A507" t="str">
        <f>DE_Base_Profile!A14</f>
        <v>9月</v>
      </c>
      <c r="B507">
        <f>DE_Base_Profile!B14</f>
        <v>0.0853</v>
      </c>
      <c r="C507">
        <f>L496*B507</f>
        <v>298.55</v>
      </c>
      <c r="D507">
        <f>1+IF(OR(D496="Air conditioning",D496="Heat pump (heating &amp; cooling)"),IF(DE_Base_Profile!D14=1,J497-1,0),0)+IF(OR(D496="Electric heating",D496="Heat pump (heating &amp; cooling)"),IF(DE_Base_Profile!E14=1,L497-1,0),0)</f>
        <v>1</v>
      </c>
      <c r="E507">
        <f t="shared" si="33"/>
        <v>298.55</v>
      </c>
      <c r="F507">
        <f>IF(D496="Electric heating",IF(DE_Base_Profile!E14=1,B507*L497,0),IF(D496="Heat pump (heating &amp; cooling)",IF(DE_Base_Profile!D14=1,B507*J497,0)+IF(DE_Base_Profile!E14=1,B507*L497,0),0))</f>
        <v>0</v>
      </c>
      <c r="G507">
        <f>IF(SUM($F$499:$F$510)=0,0,D497*F507/SUM($F$499:$F$510))</f>
        <v>0</v>
      </c>
      <c r="H507">
        <f>F497/12</f>
        <v>0</v>
      </c>
      <c r="I507">
        <f>E507/SUM($E$499:$E$510)*L496+G507+H507</f>
        <v>298.55</v>
      </c>
      <c r="J507">
        <f>I507/H497</f>
        <v>0.0853</v>
      </c>
    </row>
    <row r="508" spans="1:16">
      <c r="A508" t="str">
        <f>DE_Base_Profile!A15</f>
        <v>10月</v>
      </c>
      <c r="B508">
        <f>DE_Base_Profile!B15</f>
        <v>0.0838</v>
      </c>
      <c r="C508">
        <f>L496*B508</f>
        <v>293.3</v>
      </c>
      <c r="D508">
        <f>1+IF(OR(D496="Air conditioning",D496="Heat pump (heating &amp; cooling)"),IF(DE_Base_Profile!D15=1,J497-1,0),0)+IF(OR(D496="Electric heating",D496="Heat pump (heating &amp; cooling)"),IF(DE_Base_Profile!E15=1,L497-1,0),0)</f>
        <v>1</v>
      </c>
      <c r="E508">
        <f t="shared" si="33"/>
        <v>293.3</v>
      </c>
      <c r="F508">
        <f>IF(D496="Electric heating",IF(DE_Base_Profile!E15=1,B508*L497,0),IF(D496="Heat pump (heating &amp; cooling)",IF(DE_Base_Profile!D15=1,B508*J497,0)+IF(DE_Base_Profile!E15=1,B508*L497,0),0))</f>
        <v>0</v>
      </c>
      <c r="G508">
        <f>IF(SUM($F$499:$F$510)=0,0,D497*F508/SUM($F$499:$F$510))</f>
        <v>0</v>
      </c>
      <c r="H508">
        <f>F497/12</f>
        <v>0</v>
      </c>
      <c r="I508">
        <f>E508/SUM($E$499:$E$510)*L496+G508+H508</f>
        <v>293.3</v>
      </c>
      <c r="J508">
        <f>I508/H497</f>
        <v>0.0838</v>
      </c>
    </row>
    <row r="509" spans="1:16">
      <c r="A509" t="str">
        <f>DE_Base_Profile!A16</f>
        <v>11月</v>
      </c>
      <c r="B509">
        <f>DE_Base_Profile!B16</f>
        <v>0.0819</v>
      </c>
      <c r="C509">
        <f>L496*B509</f>
        <v>286.65</v>
      </c>
      <c r="D509">
        <f>1+IF(OR(D496="Air conditioning",D496="Heat pump (heating &amp; cooling)"),IF(DE_Base_Profile!D16=1,J497-1,0),0)+IF(OR(D496="Electric heating",D496="Heat pump (heating &amp; cooling)"),IF(DE_Base_Profile!E16=1,L497-1,0),0)</f>
        <v>1</v>
      </c>
      <c r="E509">
        <f t="shared" si="33"/>
        <v>286.65</v>
      </c>
      <c r="F509">
        <f>IF(D496="Electric heating",IF(DE_Base_Profile!E16=1,B509*L497,0),IF(D496="Heat pump (heating &amp; cooling)",IF(DE_Base_Profile!D16=1,B509*J497,0)+IF(DE_Base_Profile!E16=1,B509*L497,0),0))</f>
        <v>0</v>
      </c>
      <c r="G509">
        <f>IF(SUM($F$499:$F$510)=0,0,D497*F509/SUM($F$499:$F$510))</f>
        <v>0</v>
      </c>
      <c r="H509">
        <f>F497/12</f>
        <v>0</v>
      </c>
      <c r="I509">
        <f>E509/SUM($E$499:$E$510)*L496+G509+H509</f>
        <v>286.65</v>
      </c>
      <c r="J509">
        <f>I509/H497</f>
        <v>0.0819</v>
      </c>
    </row>
    <row r="510" spans="1:16">
      <c r="A510" t="str">
        <f>DE_Base_Profile!A17</f>
        <v>12月</v>
      </c>
      <c r="B510">
        <f>DE_Base_Profile!B17</f>
        <v>0.0796</v>
      </c>
      <c r="C510">
        <f>L496*B510</f>
        <v>278.6</v>
      </c>
      <c r="D510">
        <f>1+IF(OR(D496="Air conditioning",D496="Heat pump (heating &amp; cooling)"),IF(DE_Base_Profile!D17=1,J497-1,0),0)+IF(OR(D496="Electric heating",D496="Heat pump (heating &amp; cooling)"),IF(DE_Base_Profile!E17=1,L497-1,0),0)</f>
        <v>1</v>
      </c>
      <c r="E510">
        <f t="shared" si="33"/>
        <v>278.6</v>
      </c>
      <c r="F510">
        <f>IF(D496="Electric heating",IF(DE_Base_Profile!E17=1,B510*L497,0),IF(D496="Heat pump (heating &amp; cooling)",IF(DE_Base_Profile!D17=1,B510*J497,0)+IF(DE_Base_Profile!E17=1,B510*L497,0),0))</f>
        <v>0</v>
      </c>
      <c r="G510">
        <f>IF(SUM($F$499:$F$510)=0,0,D497*F510/SUM($F$499:$F$510))</f>
        <v>0</v>
      </c>
      <c r="H510">
        <f>F497/12</f>
        <v>0</v>
      </c>
      <c r="I510">
        <f>E510/SUM($E$499:$E$510)*L496+G510+H510</f>
        <v>278.6</v>
      </c>
      <c r="J510">
        <f>I510/H497</f>
        <v>0.0796</v>
      </c>
    </row>
    <row r="513" spans="1:10">
      <c r="A513">
        <f>DE_Base_Profile!H6</f>
        <v>0</v>
      </c>
      <c r="B513">
        <f>DE_Base_Profile!I6</f>
        <v>0.0301</v>
      </c>
      <c r="C513">
        <f>IF(DE_Base_Profile!J6=1,INDEX(DE_Lookups!$B$2:$B$4,MATCH(B496,DE_Lookups!$A$2:$A$4,0)),1)</f>
        <v>1</v>
      </c>
      <c r="D513">
        <f>IF(OR(D496="Air conditioning",D496="Heat pump (heating &amp; cooling)"),IF(DE_Base_Profile!K6=1,N497,1),1)*IF(OR(D496="Electric heating",D496="Heat pump (heating &amp; cooling)"),IF(DE_Base_Profile!L6=1,P497,1),1)</f>
        <v>1</v>
      </c>
      <c r="E513">
        <f t="shared" ref="E513:E536" si="34">B513*C513*D513</f>
        <v>0.0301</v>
      </c>
      <c r="F513">
        <f t="shared" ref="F513:F536" si="35">E513/SUM($E$513:$E$536)</f>
        <v>0.0364495035117462</v>
      </c>
      <c r="G513">
        <f>((L496+D497)/365)*F513</f>
        <v>0.349515787098936</v>
      </c>
      <c r="H513">
        <f>INDEX(DE_Base_Profile!$N$6:$Q$29,ROW()-512,MATCH(J496,DE_Base_Profile!$N$5:$Q$5,0))</f>
        <v>0.125</v>
      </c>
      <c r="I513">
        <f>(F497/365)*H513</f>
        <v>0</v>
      </c>
      <c r="J513">
        <f>(G513+I513)/(H497/365)</f>
        <v>0.0364495035117462</v>
      </c>
    </row>
    <row r="514" spans="1:10">
      <c r="A514">
        <f>DE_Base_Profile!H7</f>
        <v>1</v>
      </c>
      <c r="B514">
        <f>DE_Base_Profile!I7</f>
        <v>0.0258</v>
      </c>
      <c r="C514">
        <f>IF(DE_Base_Profile!J7=1,INDEX(DE_Lookups!$B$2:$B$4,MATCH(B496,DE_Lookups!$A$2:$A$4,0)),1)</f>
        <v>1</v>
      </c>
      <c r="D514">
        <f>IF(OR(D496="Air conditioning",D496="Heat pump (heating &amp; cooling)"),IF(DE_Base_Profile!K7=1,N497,1),1)*IF(OR(D496="Electric heating",D496="Heat pump (heating &amp; cooling)"),IF(DE_Base_Profile!L7=1,P497,1),1)</f>
        <v>1</v>
      </c>
      <c r="E514">
        <f t="shared" si="34"/>
        <v>0.0258</v>
      </c>
      <c r="F514">
        <f t="shared" si="35"/>
        <v>0.0312424315814967</v>
      </c>
      <c r="G514">
        <f>((L496+D497)/365)*F514</f>
        <v>0.299584960370517</v>
      </c>
      <c r="H514">
        <f>INDEX(DE_Base_Profile!$N$6:$Q$29,ROW()-512,MATCH(J496,DE_Base_Profile!$N$5:$Q$5,0))</f>
        <v>0.125</v>
      </c>
      <c r="I514">
        <f>(F497/365)*H514</f>
        <v>0</v>
      </c>
      <c r="J514">
        <f>(G514+I514)/(H497/365)</f>
        <v>0.0312424315814967</v>
      </c>
    </row>
    <row r="515" spans="1:10">
      <c r="A515">
        <f>DE_Base_Profile!H8</f>
        <v>2</v>
      </c>
      <c r="B515">
        <f>DE_Base_Profile!I8</f>
        <v>0.0239</v>
      </c>
      <c r="C515">
        <f>IF(DE_Base_Profile!J8=1,INDEX(DE_Lookups!$B$2:$B$4,MATCH(B496,DE_Lookups!$A$2:$A$4,0)),1)</f>
        <v>1</v>
      </c>
      <c r="D515">
        <f>IF(OR(D496="Air conditioning",D496="Heat pump (heating &amp; cooling)"),IF(DE_Base_Profile!K8=1,N497,1),1)*IF(OR(D496="Electric heating",D496="Heat pump (heating &amp; cooling)"),IF(DE_Base_Profile!L8=1,P497,1),1)</f>
        <v>1</v>
      </c>
      <c r="E515">
        <f t="shared" si="34"/>
        <v>0.0239</v>
      </c>
      <c r="F515">
        <f t="shared" si="35"/>
        <v>0.0289416323565028</v>
      </c>
      <c r="G515">
        <f>((L496+D497)/365)*F515</f>
        <v>0.277522502048657</v>
      </c>
      <c r="H515">
        <f>INDEX(DE_Base_Profile!$N$6:$Q$29,ROW()-512,MATCH(J496,DE_Base_Profile!$N$5:$Q$5,0))</f>
        <v>0.125</v>
      </c>
      <c r="I515">
        <f>(F497/365)*H515</f>
        <v>0</v>
      </c>
      <c r="J515">
        <f>(G515+I515)/(H497/365)</f>
        <v>0.0289416323565028</v>
      </c>
    </row>
    <row r="516" spans="1:10">
      <c r="A516">
        <f>DE_Base_Profile!H9</f>
        <v>3</v>
      </c>
      <c r="B516">
        <f>DE_Base_Profile!I9</f>
        <v>0.0232</v>
      </c>
      <c r="C516">
        <f>IF(DE_Base_Profile!J9=1,INDEX(DE_Lookups!$B$2:$B$4,MATCH(B496,DE_Lookups!$A$2:$A$4,0)),1)</f>
        <v>1</v>
      </c>
      <c r="D516">
        <f>IF(OR(D496="Air conditioning",D496="Heat pump (heating &amp; cooling)"),IF(DE_Base_Profile!K9=1,N497,1),1)*IF(OR(D496="Electric heating",D496="Heat pump (heating &amp; cooling)"),IF(DE_Base_Profile!L9=1,P497,1),1)</f>
        <v>1</v>
      </c>
      <c r="E516">
        <f t="shared" si="34"/>
        <v>0.0232</v>
      </c>
      <c r="F516">
        <f t="shared" si="35"/>
        <v>0.0280939694841366</v>
      </c>
      <c r="G516">
        <f>((L496+D497)/365)*F516</f>
        <v>0.269394227930077</v>
      </c>
      <c r="H516">
        <f>INDEX(DE_Base_Profile!$N$6:$Q$29,ROW()-512,MATCH(J496,DE_Base_Profile!$N$5:$Q$5,0))</f>
        <v>0.125</v>
      </c>
      <c r="I516">
        <f>(F497/365)*H516</f>
        <v>0</v>
      </c>
      <c r="J516">
        <f>(G516+I516)/(H497/365)</f>
        <v>0.0280939694841366</v>
      </c>
    </row>
    <row r="517" spans="1:10">
      <c r="A517">
        <f>DE_Base_Profile!H10</f>
        <v>4</v>
      </c>
      <c r="B517">
        <f>DE_Base_Profile!I10</f>
        <v>0.0236</v>
      </c>
      <c r="C517">
        <f>IF(DE_Base_Profile!J10=1,INDEX(DE_Lookups!$B$2:$B$4,MATCH(B496,DE_Lookups!$A$2:$A$4,0)),1)</f>
        <v>1</v>
      </c>
      <c r="D517">
        <f>IF(OR(D496="Air conditioning",D496="Heat pump (heating &amp; cooling)"),IF(DE_Base_Profile!K10=1,N497,1),1)*IF(OR(D496="Electric heating",D496="Heat pump (heating &amp; cooling)"),IF(DE_Base_Profile!L10=1,P497,1),1)</f>
        <v>1</v>
      </c>
      <c r="E517">
        <f t="shared" si="34"/>
        <v>0.0236</v>
      </c>
      <c r="F517">
        <f t="shared" si="35"/>
        <v>0.0285783482683458</v>
      </c>
      <c r="G517">
        <f>((L496+D497)/365)*F517</f>
        <v>0.274038955997837</v>
      </c>
      <c r="H517">
        <f>INDEX(DE_Base_Profile!$N$6:$Q$29,ROW()-512,MATCH(J496,DE_Base_Profile!$N$5:$Q$5,0))</f>
        <v>0.125</v>
      </c>
      <c r="I517">
        <f>(F497/365)*H517</f>
        <v>0</v>
      </c>
      <c r="J517">
        <f>(G517+I517)/(H497/365)</f>
        <v>0.0285783482683458</v>
      </c>
    </row>
    <row r="518" spans="1:10">
      <c r="A518">
        <f>DE_Base_Profile!H11</f>
        <v>5</v>
      </c>
      <c r="B518">
        <f>DE_Base_Profile!I11</f>
        <v>0.0252</v>
      </c>
      <c r="C518">
        <f>IF(DE_Base_Profile!J11=1,INDEX(DE_Lookups!$B$2:$B$4,MATCH(B496,DE_Lookups!$A$2:$A$4,0)),1)</f>
        <v>1</v>
      </c>
      <c r="D518">
        <f>IF(OR(D496="Air conditioning",D496="Heat pump (heating &amp; cooling)"),IF(DE_Base_Profile!K11=1,N497,1),1)*IF(OR(D496="Electric heating",D496="Heat pump (heating &amp; cooling)"),IF(DE_Base_Profile!L11=1,P497,1),1)</f>
        <v>1</v>
      </c>
      <c r="E518">
        <f t="shared" si="34"/>
        <v>0.0252</v>
      </c>
      <c r="F518">
        <f t="shared" si="35"/>
        <v>0.0305158634051829</v>
      </c>
      <c r="G518">
        <f>((L496+D497)/365)*F518</f>
        <v>0.292617868268877</v>
      </c>
      <c r="H518">
        <f>INDEX(DE_Base_Profile!$N$6:$Q$29,ROW()-512,MATCH(J496,DE_Base_Profile!$N$5:$Q$5,0))</f>
        <v>0.125</v>
      </c>
      <c r="I518">
        <f>(F497/365)*H518</f>
        <v>0</v>
      </c>
      <c r="J518">
        <f>(G518+I518)/(H497/365)</f>
        <v>0.0305158634051829</v>
      </c>
    </row>
    <row r="519" spans="1:10">
      <c r="A519">
        <f>DE_Base_Profile!H12</f>
        <v>6</v>
      </c>
      <c r="B519">
        <f>DE_Base_Profile!I12</f>
        <v>0.03</v>
      </c>
      <c r="C519">
        <f>IF(DE_Base_Profile!J12=1,INDEX(DE_Lookups!$B$2:$B$4,MATCH(B496,DE_Lookups!$A$2:$A$4,0)),1)</f>
        <v>1</v>
      </c>
      <c r="D519">
        <f>IF(OR(D496="Air conditioning",D496="Heat pump (heating &amp; cooling)"),IF(DE_Base_Profile!K12=1,N497,1),1)*IF(OR(D496="Electric heating",D496="Heat pump (heating &amp; cooling)"),IF(DE_Base_Profile!L12=1,P497,1),1)</f>
        <v>1</v>
      </c>
      <c r="E519">
        <f t="shared" si="34"/>
        <v>0.03</v>
      </c>
      <c r="F519">
        <f t="shared" si="35"/>
        <v>0.0363284088156939</v>
      </c>
      <c r="G519">
        <f>((L496+D497)/365)*F519</f>
        <v>0.348354605081996</v>
      </c>
      <c r="H519">
        <f>INDEX(DE_Base_Profile!$N$6:$Q$29,ROW()-512,MATCH(J496,DE_Base_Profile!$N$5:$Q$5,0))</f>
        <v>0</v>
      </c>
      <c r="I519">
        <f>(F497/365)*H519</f>
        <v>0</v>
      </c>
      <c r="J519">
        <f>(G519+I519)/(H497/365)</f>
        <v>0.0363284088156939</v>
      </c>
    </row>
    <row r="520" spans="1:10">
      <c r="A520">
        <f>DE_Base_Profile!H13</f>
        <v>7</v>
      </c>
      <c r="B520">
        <f>DE_Base_Profile!I13</f>
        <v>0.0358</v>
      </c>
      <c r="C520">
        <f>IF(DE_Base_Profile!J13=1,INDEX(DE_Lookups!$B$2:$B$4,MATCH(B496,DE_Lookups!$A$2:$A$4,0)),1)</f>
        <v>1</v>
      </c>
      <c r="D520">
        <f>IF(OR(D496="Air conditioning",D496="Heat pump (heating &amp; cooling)"),IF(DE_Base_Profile!K13=1,N497,1),1)*IF(OR(D496="Electric heating",D496="Heat pump (heating &amp; cooling)"),IF(DE_Base_Profile!L13=1,P497,1),1)</f>
        <v>1</v>
      </c>
      <c r="E520">
        <f t="shared" si="34"/>
        <v>0.0358</v>
      </c>
      <c r="F520">
        <f t="shared" si="35"/>
        <v>0.043351901186728</v>
      </c>
      <c r="G520">
        <f>((L496+D497)/365)*F520</f>
        <v>0.415703162064515</v>
      </c>
      <c r="H520">
        <f>INDEX(DE_Base_Profile!$N$6:$Q$29,ROW()-512,MATCH(J496,DE_Base_Profile!$N$5:$Q$5,0))</f>
        <v>0</v>
      </c>
      <c r="I520">
        <f>(F497/365)*H520</f>
        <v>0</v>
      </c>
      <c r="J520">
        <f>(G520+I520)/(H497/365)</f>
        <v>0.043351901186728</v>
      </c>
    </row>
    <row r="521" spans="1:10">
      <c r="A521">
        <f>DE_Base_Profile!H14</f>
        <v>8</v>
      </c>
      <c r="B521">
        <f>DE_Base_Profile!I14</f>
        <v>0.041</v>
      </c>
      <c r="C521">
        <f>IF(DE_Base_Profile!J14=1,INDEX(DE_Lookups!$B$2:$B$4,MATCH(B496,DE_Lookups!$A$2:$A$4,0)),1)</f>
        <v>1</v>
      </c>
      <c r="D521">
        <f>IF(OR(D496="Air conditioning",D496="Heat pump (heating &amp; cooling)"),IF(DE_Base_Profile!K14=1,N497,1),1)*IF(OR(D496="Electric heating",D496="Heat pump (heating &amp; cooling)"),IF(DE_Base_Profile!L14=1,P497,1),1)</f>
        <v>1</v>
      </c>
      <c r="E521">
        <f t="shared" si="34"/>
        <v>0.041</v>
      </c>
      <c r="F521">
        <f t="shared" si="35"/>
        <v>0.0496488253814483</v>
      </c>
      <c r="G521">
        <f>((L496+D497)/365)*F521</f>
        <v>0.476084626945395</v>
      </c>
      <c r="H521">
        <f>INDEX(DE_Base_Profile!$N$6:$Q$29,ROW()-512,MATCH(J496,DE_Base_Profile!$N$5:$Q$5,0))</f>
        <v>0</v>
      </c>
      <c r="I521">
        <f>(F497/365)*H521</f>
        <v>0</v>
      </c>
      <c r="J521">
        <f>(G521+I521)/(H497/365)</f>
        <v>0.0496488253814483</v>
      </c>
    </row>
    <row r="522" spans="1:10">
      <c r="A522">
        <f>DE_Base_Profile!H15</f>
        <v>9</v>
      </c>
      <c r="B522">
        <f>DE_Base_Profile!I15</f>
        <v>0.0446</v>
      </c>
      <c r="C522">
        <f>IF(DE_Base_Profile!J15=1,INDEX(DE_Lookups!$B$2:$B$4,MATCH(B496,DE_Lookups!$A$2:$A$4,0)),1)</f>
        <v>0.6</v>
      </c>
      <c r="D522">
        <f>IF(OR(D496="Air conditioning",D496="Heat pump (heating &amp; cooling)"),IF(DE_Base_Profile!K15=1,N497,1),1)*IF(OR(D496="Electric heating",D496="Heat pump (heating &amp; cooling)"),IF(DE_Base_Profile!L15=1,P497,1),1)</f>
        <v>1</v>
      </c>
      <c r="E522">
        <f t="shared" si="34"/>
        <v>0.02676</v>
      </c>
      <c r="F522">
        <f t="shared" si="35"/>
        <v>0.0324049406635989</v>
      </c>
      <c r="G522">
        <f>((L496+D497)/365)*F522</f>
        <v>0.31073230773314</v>
      </c>
      <c r="H522">
        <f>INDEX(DE_Base_Profile!$N$6:$Q$29,ROW()-512,MATCH(J496,DE_Base_Profile!$N$5:$Q$5,0))</f>
        <v>0</v>
      </c>
      <c r="I522">
        <f>(F497/365)*H522</f>
        <v>0</v>
      </c>
      <c r="J522">
        <f>(G522+I522)/(H497/365)</f>
        <v>0.0324049406635989</v>
      </c>
    </row>
    <row r="523" spans="1:10">
      <c r="A523">
        <f>DE_Base_Profile!H16</f>
        <v>10</v>
      </c>
      <c r="B523">
        <f>DE_Base_Profile!I16</f>
        <v>0.0474</v>
      </c>
      <c r="C523">
        <f>IF(DE_Base_Profile!J16=1,INDEX(DE_Lookups!$B$2:$B$4,MATCH(B496,DE_Lookups!$A$2:$A$4,0)),1)</f>
        <v>0.6</v>
      </c>
      <c r="D523">
        <f>IF(OR(D496="Air conditioning",D496="Heat pump (heating &amp; cooling)"),IF(DE_Base_Profile!K16=1,N497,1),1)*IF(OR(D496="Electric heating",D496="Heat pump (heating &amp; cooling)"),IF(DE_Base_Profile!L16=1,P497,1),1)</f>
        <v>1</v>
      </c>
      <c r="E523">
        <f t="shared" si="34"/>
        <v>0.02844</v>
      </c>
      <c r="F523">
        <f t="shared" si="35"/>
        <v>0.0344393315572778</v>
      </c>
      <c r="G523">
        <f>((L496+D497)/365)*F523</f>
        <v>0.330240165617732</v>
      </c>
      <c r="H523">
        <f>INDEX(DE_Base_Profile!$N$6:$Q$29,ROW()-512,MATCH(J496,DE_Base_Profile!$N$5:$Q$5,0))</f>
        <v>0</v>
      </c>
      <c r="I523">
        <f>(F497/365)*H523</f>
        <v>0</v>
      </c>
      <c r="J523">
        <f>(G523+I523)/(H497/365)</f>
        <v>0.0344393315572778</v>
      </c>
    </row>
    <row r="524" spans="1:10">
      <c r="A524">
        <f>DE_Base_Profile!H17</f>
        <v>11</v>
      </c>
      <c r="B524">
        <f>DE_Base_Profile!I17</f>
        <v>0.0518</v>
      </c>
      <c r="C524">
        <f>IF(DE_Base_Profile!J17=1,INDEX(DE_Lookups!$B$2:$B$4,MATCH(B496,DE_Lookups!$A$2:$A$4,0)),1)</f>
        <v>0.6</v>
      </c>
      <c r="D524">
        <f>IF(OR(D496="Air conditioning",D496="Heat pump (heating &amp; cooling)"),IF(DE_Base_Profile!K17=1,N497,1),1)*IF(OR(D496="Electric heating",D496="Heat pump (heating &amp; cooling)"),IF(DE_Base_Profile!L17=1,P497,1),1)</f>
        <v>1</v>
      </c>
      <c r="E524">
        <f t="shared" si="34"/>
        <v>0.03108</v>
      </c>
      <c r="F524">
        <f t="shared" si="35"/>
        <v>0.0376362315330588</v>
      </c>
      <c r="G524">
        <f>((L496+D497)/365)*F524</f>
        <v>0.360895370864948</v>
      </c>
      <c r="H524">
        <f>INDEX(DE_Base_Profile!$N$6:$Q$29,ROW()-512,MATCH(J496,DE_Base_Profile!$N$5:$Q$5,0))</f>
        <v>0</v>
      </c>
      <c r="I524">
        <f>(F497/365)*H524</f>
        <v>0</v>
      </c>
      <c r="J524">
        <f>(G524+I524)/(H497/365)</f>
        <v>0.0376362315330588</v>
      </c>
    </row>
    <row r="525" spans="1:10">
      <c r="A525">
        <f>DE_Base_Profile!H18</f>
        <v>12</v>
      </c>
      <c r="B525">
        <f>DE_Base_Profile!I18</f>
        <v>0.0513</v>
      </c>
      <c r="C525">
        <f>IF(DE_Base_Profile!J18=1,INDEX(DE_Lookups!$B$2:$B$4,MATCH(B496,DE_Lookups!$A$2:$A$4,0)),1)</f>
        <v>0.6</v>
      </c>
      <c r="D525">
        <f>IF(OR(D496="Air conditioning",D496="Heat pump (heating &amp; cooling)"),IF(DE_Base_Profile!K18=1,N497,1),1)*IF(OR(D496="Electric heating",D496="Heat pump (heating &amp; cooling)"),IF(DE_Base_Profile!L18=1,P497,1),1)</f>
        <v>1</v>
      </c>
      <c r="E525">
        <f t="shared" si="34"/>
        <v>0.03078</v>
      </c>
      <c r="F525">
        <f t="shared" si="35"/>
        <v>0.0372729474449019</v>
      </c>
      <c r="G525">
        <f>((L496+D497)/365)*F525</f>
        <v>0.357411824814128</v>
      </c>
      <c r="H525">
        <f>INDEX(DE_Base_Profile!$N$6:$Q$29,ROW()-512,MATCH(J496,DE_Base_Profile!$N$5:$Q$5,0))</f>
        <v>0</v>
      </c>
      <c r="I525">
        <f>(F497/365)*H525</f>
        <v>0</v>
      </c>
      <c r="J525">
        <f>(G525+I525)/(H497/365)</f>
        <v>0.0372729474449019</v>
      </c>
    </row>
    <row r="526" spans="1:10">
      <c r="A526">
        <f>DE_Base_Profile!H19</f>
        <v>13</v>
      </c>
      <c r="B526">
        <f>DE_Base_Profile!I19</f>
        <v>0.0481</v>
      </c>
      <c r="C526">
        <f>IF(DE_Base_Profile!J19=1,INDEX(DE_Lookups!$B$2:$B$4,MATCH(B496,DE_Lookups!$A$2:$A$4,0)),1)</f>
        <v>0.6</v>
      </c>
      <c r="D526">
        <f>IF(OR(D496="Air conditioning",D496="Heat pump (heating &amp; cooling)"),IF(DE_Base_Profile!K19=1,N497,1),1)*IF(OR(D496="Electric heating",D496="Heat pump (heating &amp; cooling)"),IF(DE_Base_Profile!L19=1,P497,1),1)</f>
        <v>1</v>
      </c>
      <c r="E526">
        <f t="shared" si="34"/>
        <v>0.02886</v>
      </c>
      <c r="F526">
        <f t="shared" si="35"/>
        <v>0.0349479292806975</v>
      </c>
      <c r="G526">
        <f>((L496+D497)/365)*F526</f>
        <v>0.33511713008888</v>
      </c>
      <c r="H526">
        <f>INDEX(DE_Base_Profile!$N$6:$Q$29,ROW()-512,MATCH(J496,DE_Base_Profile!$N$5:$Q$5,0))</f>
        <v>0</v>
      </c>
      <c r="I526">
        <f>(F497/365)*H526</f>
        <v>0</v>
      </c>
      <c r="J526">
        <f>(G526+I526)/(H497/365)</f>
        <v>0.0349479292806975</v>
      </c>
    </row>
    <row r="527" spans="1:10">
      <c r="A527">
        <f>DE_Base_Profile!H20</f>
        <v>14</v>
      </c>
      <c r="B527">
        <f>DE_Base_Profile!I20</f>
        <v>0.0459</v>
      </c>
      <c r="C527">
        <f>IF(DE_Base_Profile!J20=1,INDEX(DE_Lookups!$B$2:$B$4,MATCH(B496,DE_Lookups!$A$2:$A$4,0)),1)</f>
        <v>0.6</v>
      </c>
      <c r="D527">
        <f>IF(OR(D496="Air conditioning",D496="Heat pump (heating &amp; cooling)"),IF(DE_Base_Profile!K20=1,N497,1),1)*IF(OR(D496="Electric heating",D496="Heat pump (heating &amp; cooling)"),IF(DE_Base_Profile!L20=1,P497,1),1)</f>
        <v>1</v>
      </c>
      <c r="E527">
        <f t="shared" si="34"/>
        <v>0.02754</v>
      </c>
      <c r="F527">
        <f t="shared" si="35"/>
        <v>0.033349479292807</v>
      </c>
      <c r="G527">
        <f>((L496+D497)/365)*F527</f>
        <v>0.319789527465272</v>
      </c>
      <c r="H527">
        <f>INDEX(DE_Base_Profile!$N$6:$Q$29,ROW()-512,MATCH(J496,DE_Base_Profile!$N$5:$Q$5,0))</f>
        <v>0</v>
      </c>
      <c r="I527">
        <f>(F497/365)*H527</f>
        <v>0</v>
      </c>
      <c r="J527">
        <f>(G527+I527)/(H497/365)</f>
        <v>0.033349479292807</v>
      </c>
    </row>
    <row r="528" spans="1:10">
      <c r="A528">
        <f>DE_Base_Profile!H21</f>
        <v>15</v>
      </c>
      <c r="B528">
        <f>DE_Base_Profile!I21</f>
        <v>0.0454</v>
      </c>
      <c r="C528">
        <f>IF(DE_Base_Profile!J21=1,INDEX(DE_Lookups!$B$2:$B$4,MATCH(B496,DE_Lookups!$A$2:$A$4,0)),1)</f>
        <v>0.6</v>
      </c>
      <c r="D528">
        <f>IF(OR(D496="Air conditioning",D496="Heat pump (heating &amp; cooling)"),IF(DE_Base_Profile!K21=1,N497,1),1)*IF(OR(D496="Electric heating",D496="Heat pump (heating &amp; cooling)"),IF(DE_Base_Profile!L21=1,P497,1),1)</f>
        <v>1</v>
      </c>
      <c r="E528">
        <f t="shared" si="34"/>
        <v>0.02724</v>
      </c>
      <c r="F528">
        <f t="shared" si="35"/>
        <v>0.03298619520465</v>
      </c>
      <c r="G528">
        <f>((L496+D497)/365)*F528</f>
        <v>0.316305981414452</v>
      </c>
      <c r="H528">
        <f>INDEX(DE_Base_Profile!$N$6:$Q$29,ROW()-512,MATCH(J496,DE_Base_Profile!$N$5:$Q$5,0))</f>
        <v>0</v>
      </c>
      <c r="I528">
        <f>(F497/365)*H528</f>
        <v>0</v>
      </c>
      <c r="J528">
        <f>(G528+I528)/(H497/365)</f>
        <v>0.03298619520465</v>
      </c>
    </row>
    <row r="529" spans="1:16">
      <c r="A529">
        <f>DE_Base_Profile!H22</f>
        <v>16</v>
      </c>
      <c r="B529">
        <f>DE_Base_Profile!I22</f>
        <v>0.0475</v>
      </c>
      <c r="C529">
        <f>IF(DE_Base_Profile!J22=1,INDEX(DE_Lookups!$B$2:$B$4,MATCH(B496,DE_Lookups!$A$2:$A$4,0)),1)</f>
        <v>0.6</v>
      </c>
      <c r="D529">
        <f>IF(OR(D496="Air conditioning",D496="Heat pump (heating &amp; cooling)"),IF(DE_Base_Profile!K22=1,N497,1),1)*IF(OR(D496="Electric heating",D496="Heat pump (heating &amp; cooling)"),IF(DE_Base_Profile!L22=1,P497,1),1)</f>
        <v>1</v>
      </c>
      <c r="E529">
        <f t="shared" si="34"/>
        <v>0.0285</v>
      </c>
      <c r="F529">
        <f t="shared" si="35"/>
        <v>0.0345119883749092</v>
      </c>
      <c r="G529">
        <f>((L496+D497)/365)*F529</f>
        <v>0.330936874827896</v>
      </c>
      <c r="H529">
        <f>INDEX(DE_Base_Profile!$N$6:$Q$29,ROW()-512,MATCH(J496,DE_Base_Profile!$N$5:$Q$5,0))</f>
        <v>0</v>
      </c>
      <c r="I529">
        <f>(F497/365)*H529</f>
        <v>0</v>
      </c>
      <c r="J529">
        <f>(G529+I529)/(H497/365)</f>
        <v>0.0345119883749092</v>
      </c>
    </row>
    <row r="530" spans="1:16">
      <c r="A530">
        <f>DE_Base_Profile!H23</f>
        <v>17</v>
      </c>
      <c r="B530">
        <f>DE_Base_Profile!I23</f>
        <v>0.0535</v>
      </c>
      <c r="C530">
        <f>IF(DE_Base_Profile!J23=1,INDEX(DE_Lookups!$B$2:$B$4,MATCH(B496,DE_Lookups!$A$2:$A$4,0)),1)</f>
        <v>0.6</v>
      </c>
      <c r="D530">
        <f>IF(OR(D496="Air conditioning",D496="Heat pump (heating &amp; cooling)"),IF(DE_Base_Profile!K23=1,N497,1),1)*IF(OR(D496="Electric heating",D496="Heat pump (heating &amp; cooling)"),IF(DE_Base_Profile!L23=1,P497,1),1)</f>
        <v>1</v>
      </c>
      <c r="E530">
        <f t="shared" si="34"/>
        <v>0.0321</v>
      </c>
      <c r="F530">
        <f t="shared" si="35"/>
        <v>0.0388713974327924</v>
      </c>
      <c r="G530">
        <f>((L496+D497)/365)*F530</f>
        <v>0.372739427437736</v>
      </c>
      <c r="H530">
        <f>INDEX(DE_Base_Profile!$N$6:$Q$29,ROW()-512,MATCH(J496,DE_Base_Profile!$N$5:$Q$5,0))</f>
        <v>0</v>
      </c>
      <c r="I530">
        <f>(F497/365)*H530</f>
        <v>0</v>
      </c>
      <c r="J530">
        <f>(G530+I530)/(H497/365)</f>
        <v>0.0388713974327924</v>
      </c>
    </row>
    <row r="531" spans="1:16">
      <c r="A531">
        <f>DE_Base_Profile!H24</f>
        <v>18</v>
      </c>
      <c r="B531">
        <f>DE_Base_Profile!I24</f>
        <v>0.0587</v>
      </c>
      <c r="C531">
        <f>IF(DE_Base_Profile!J24=1,INDEX(DE_Lookups!$B$2:$B$4,MATCH(B496,DE_Lookups!$A$2:$A$4,0)),1)</f>
        <v>1</v>
      </c>
      <c r="D531">
        <f>IF(OR(D496="Air conditioning",D496="Heat pump (heating &amp; cooling)"),IF(DE_Base_Profile!K24=1,N497,1),1)*IF(OR(D496="Electric heating",D496="Heat pump (heating &amp; cooling)"),IF(DE_Base_Profile!L24=1,P497,1),1)</f>
        <v>1</v>
      </c>
      <c r="E531">
        <f t="shared" si="34"/>
        <v>0.0587</v>
      </c>
      <c r="F531">
        <f t="shared" si="35"/>
        <v>0.0710825865827077</v>
      </c>
      <c r="G531">
        <f>((L496+D497)/365)*F531</f>
        <v>0.681613843943772</v>
      </c>
      <c r="H531">
        <f>INDEX(DE_Base_Profile!$N$6:$Q$29,ROW()-512,MATCH(J496,DE_Base_Profile!$N$5:$Q$5,0))</f>
        <v>0</v>
      </c>
      <c r="I531">
        <f>(F497/365)*H531</f>
        <v>0</v>
      </c>
      <c r="J531">
        <f>(G531+I531)/(H497/365)</f>
        <v>0.0710825865827077</v>
      </c>
    </row>
    <row r="532" spans="1:16">
      <c r="A532">
        <f>DE_Base_Profile!H25</f>
        <v>19</v>
      </c>
      <c r="B532">
        <f>DE_Base_Profile!I25</f>
        <v>0.0591</v>
      </c>
      <c r="C532">
        <f>IF(DE_Base_Profile!J25=1,INDEX(DE_Lookups!$B$2:$B$4,MATCH(B496,DE_Lookups!$A$2:$A$4,0)),1)</f>
        <v>1</v>
      </c>
      <c r="D532">
        <f>IF(OR(D496="Air conditioning",D496="Heat pump (heating &amp; cooling)"),IF(DE_Base_Profile!K25=1,N497,1),1)*IF(OR(D496="Electric heating",D496="Heat pump (heating &amp; cooling)"),IF(DE_Base_Profile!L25=1,P497,1),1)</f>
        <v>1</v>
      </c>
      <c r="E532">
        <f t="shared" si="34"/>
        <v>0.0591</v>
      </c>
      <c r="F532">
        <f t="shared" si="35"/>
        <v>0.0715669653669169</v>
      </c>
      <c r="G532">
        <f>((L496+D497)/365)*F532</f>
        <v>0.686258572011532</v>
      </c>
      <c r="H532">
        <f>INDEX(DE_Base_Profile!$N$6:$Q$29,ROW()-512,MATCH(J496,DE_Base_Profile!$N$5:$Q$5,0))</f>
        <v>0</v>
      </c>
      <c r="I532">
        <f>(F497/365)*H532</f>
        <v>0</v>
      </c>
      <c r="J532">
        <f>(G532+I532)/(H497/365)</f>
        <v>0.0715669653669169</v>
      </c>
    </row>
    <row r="533" spans="1:16">
      <c r="A533">
        <f>DE_Base_Profile!H26</f>
        <v>20</v>
      </c>
      <c r="B533">
        <f>DE_Base_Profile!I26</f>
        <v>0.0556</v>
      </c>
      <c r="C533">
        <f>IF(DE_Base_Profile!J26=1,INDEX(DE_Lookups!$B$2:$B$4,MATCH(B496,DE_Lookups!$A$2:$A$4,0)),1)</f>
        <v>1</v>
      </c>
      <c r="D533">
        <f>IF(OR(D496="Air conditioning",D496="Heat pump (heating &amp; cooling)"),IF(DE_Base_Profile!K26=1,N497,1),1)*IF(OR(D496="Electric heating",D496="Heat pump (heating &amp; cooling)"),IF(DE_Base_Profile!L26=1,P497,1),1)</f>
        <v>1</v>
      </c>
      <c r="E533">
        <f t="shared" si="34"/>
        <v>0.0556</v>
      </c>
      <c r="F533">
        <f t="shared" si="35"/>
        <v>0.067328651005086</v>
      </c>
      <c r="G533">
        <f>((L496+D497)/365)*F533</f>
        <v>0.645617201418633</v>
      </c>
      <c r="H533">
        <f>INDEX(DE_Base_Profile!$N$6:$Q$29,ROW()-512,MATCH(J496,DE_Base_Profile!$N$5:$Q$5,0))</f>
        <v>0</v>
      </c>
      <c r="I533">
        <f>(F497/365)*H533</f>
        <v>0</v>
      </c>
      <c r="J533">
        <f>(G533+I533)/(H497/365)</f>
        <v>0.067328651005086</v>
      </c>
    </row>
    <row r="534" spans="1:16">
      <c r="A534">
        <f>DE_Base_Profile!H27</f>
        <v>21</v>
      </c>
      <c r="B534">
        <f>DE_Base_Profile!I27</f>
        <v>0.0508</v>
      </c>
      <c r="C534">
        <f>IF(DE_Base_Profile!J27=1,INDEX(DE_Lookups!$B$2:$B$4,MATCH(B496,DE_Lookups!$A$2:$A$4,0)),1)</f>
        <v>1</v>
      </c>
      <c r="D534">
        <f>IF(OR(D496="Air conditioning",D496="Heat pump (heating &amp; cooling)"),IF(DE_Base_Profile!K27=1,N497,1),1)*IF(OR(D496="Electric heating",D496="Heat pump (heating &amp; cooling)"),IF(DE_Base_Profile!L27=1,P497,1),1)</f>
        <v>1</v>
      </c>
      <c r="E534">
        <f t="shared" si="34"/>
        <v>0.0508</v>
      </c>
      <c r="F534">
        <f t="shared" si="35"/>
        <v>0.061516105594575</v>
      </c>
      <c r="G534">
        <f>((L496+D497)/365)*F534</f>
        <v>0.589880464605513</v>
      </c>
      <c r="H534">
        <f>INDEX(DE_Base_Profile!$N$6:$Q$29,ROW()-512,MATCH(J496,DE_Base_Profile!$N$5:$Q$5,0))</f>
        <v>0</v>
      </c>
      <c r="I534">
        <f>(F497/365)*H534</f>
        <v>0</v>
      </c>
      <c r="J534">
        <f>(G534+I534)/(H497/365)</f>
        <v>0.061516105594575</v>
      </c>
    </row>
    <row r="535" spans="1:16">
      <c r="A535">
        <f>DE_Base_Profile!H28</f>
        <v>22</v>
      </c>
      <c r="B535">
        <f>DE_Base_Profile!I28</f>
        <v>0.0451</v>
      </c>
      <c r="C535">
        <f>IF(DE_Base_Profile!J28=1,INDEX(DE_Lookups!$B$2:$B$4,MATCH(B496,DE_Lookups!$A$2:$A$4,0)),1)</f>
        <v>1</v>
      </c>
      <c r="D535">
        <f>IF(OR(D496="Air conditioning",D496="Heat pump (heating &amp; cooling)"),IF(DE_Base_Profile!K28=1,N497,1),1)*IF(OR(D496="Electric heating",D496="Heat pump (heating &amp; cooling)"),IF(DE_Base_Profile!L28=1,P497,1),1)</f>
        <v>1</v>
      </c>
      <c r="E535">
        <f t="shared" si="34"/>
        <v>0.0451</v>
      </c>
      <c r="F535">
        <f t="shared" si="35"/>
        <v>0.0546137079195931</v>
      </c>
      <c r="G535">
        <f>((L496+D497)/365)*F535</f>
        <v>0.523693089639934</v>
      </c>
      <c r="H535">
        <f>INDEX(DE_Base_Profile!$N$6:$Q$29,ROW()-512,MATCH(J496,DE_Base_Profile!$N$5:$Q$5,0))</f>
        <v>0.125</v>
      </c>
      <c r="I535">
        <f>(F497/365)*H535</f>
        <v>0</v>
      </c>
      <c r="J535">
        <f>(G535+I535)/(H497/365)</f>
        <v>0.0546137079195931</v>
      </c>
    </row>
    <row r="536" spans="1:16">
      <c r="A536">
        <f>DE_Base_Profile!H29</f>
        <v>23</v>
      </c>
      <c r="B536">
        <f>DE_Base_Profile!I29</f>
        <v>0.0366</v>
      </c>
      <c r="C536">
        <f>IF(DE_Base_Profile!J29=1,INDEX(DE_Lookups!$B$2:$B$4,MATCH(B496,DE_Lookups!$A$2:$A$4,0)),1)</f>
        <v>1</v>
      </c>
      <c r="D536">
        <f>IF(OR(D496="Air conditioning",D496="Heat pump (heating &amp; cooling)"),IF(DE_Base_Profile!K29=1,N497,1),1)*IF(OR(D496="Electric heating",D496="Heat pump (heating &amp; cooling)"),IF(DE_Base_Profile!L29=1,P497,1),1)</f>
        <v>1</v>
      </c>
      <c r="E536">
        <f t="shared" si="34"/>
        <v>0.0366</v>
      </c>
      <c r="F536">
        <f t="shared" si="35"/>
        <v>0.0443206587551465</v>
      </c>
      <c r="G536">
        <f>((L496+D497)/365)*F536</f>
        <v>0.424992618200035</v>
      </c>
      <c r="H536">
        <f>INDEX(DE_Base_Profile!$N$6:$Q$29,ROW()-512,MATCH(J496,DE_Base_Profile!$N$5:$Q$5,0))</f>
        <v>0.125</v>
      </c>
      <c r="I536">
        <f>(F497/365)*H536</f>
        <v>0</v>
      </c>
      <c r="J536">
        <f>(G536+I536)/(H497/365)</f>
        <v>0.0443206587551465</v>
      </c>
    </row>
    <row r="541" spans="1:16">
      <c r="A541" t="s">
        <v>51</v>
      </c>
      <c r="B541" t="str">
        <f>DE_Option_Monthly!C16</f>
        <v>Mostly away during the day</v>
      </c>
      <c r="C541" t="s">
        <v>188</v>
      </c>
      <c r="D541" t="str">
        <f>DE_Option_Monthly!D16</f>
        <v>No heating or cooling system</v>
      </c>
      <c r="E541" t="s">
        <v>68</v>
      </c>
      <c r="F541" t="str">
        <f>DE_Option_Monthly!E16</f>
        <v>Medium</v>
      </c>
      <c r="G541" t="s">
        <v>98</v>
      </c>
      <c r="H541" t="str">
        <f>DE_Option_Monthly!F16</f>
        <v>5,000 km</v>
      </c>
      <c r="I541" t="s">
        <v>289</v>
      </c>
      <c r="J541" t="str">
        <f>DE_Option_Monthly!G16</f>
        <v>Mostly overnight</v>
      </c>
      <c r="K541" t="s">
        <v>290</v>
      </c>
      <c r="L541">
        <f>DE_Option_Monthly!$B$1</f>
        <v>3500</v>
      </c>
    </row>
    <row r="542" spans="1:16">
      <c r="A542" t="s">
        <v>291</v>
      </c>
      <c r="B542">
        <f>INDEX(DE_Lookups!$E$2:$E$5,MATCH(F541,DE_Lookups!$D$2:$D$5,0))</f>
        <v>1</v>
      </c>
      <c r="C542" t="s">
        <v>292</v>
      </c>
      <c r="D542">
        <f>IF(OR(D541="Electric heating",D541="Heat pump (heating &amp; cooling)"),INDEX(DE_Lookups!$L$2:$L$5,MATCH(D541,DE_Lookups!$K$2:$K$5,0))*B542,0)</f>
        <v>0</v>
      </c>
      <c r="E542" t="s">
        <v>293</v>
      </c>
      <c r="F542">
        <f>INDEX(DE_Lookups!$O$2:$O$7,MATCH(H541,DE_Lookups!$N$2:$N$7,0))*0.18</f>
        <v>900</v>
      </c>
      <c r="G542" t="s">
        <v>294</v>
      </c>
      <c r="H542">
        <f>L541+D542+F542</f>
        <v>4400</v>
      </c>
      <c r="I542" t="s">
        <v>295</v>
      </c>
      <c r="J542">
        <f>INDEX(DE_Lookups!$F$2:$F$5,MATCH(F541,DE_Lookups!$D$2:$D$5,0))</f>
        <v>1.1</v>
      </c>
      <c r="K542" t="s">
        <v>296</v>
      </c>
      <c r="L542">
        <f>INDEX(DE_Lookups!$G$2:$G$5,MATCH(F541,DE_Lookups!$D$2:$D$5,0))</f>
        <v>1.15</v>
      </c>
      <c r="M542" t="s">
        <v>297</v>
      </c>
      <c r="N542">
        <f>INDEX(DE_Lookups!$H$2:$H$5,MATCH(F541,DE_Lookups!$D$2:$D$5,0))</f>
        <v>1.2</v>
      </c>
      <c r="O542" t="s">
        <v>298</v>
      </c>
      <c r="P542">
        <f>INDEX(DE_Lookups!$I$2:$I$5,MATCH(F541,DE_Lookups!$D$2:$D$5,0))</f>
        <v>1.15</v>
      </c>
    </row>
    <row r="544" spans="1:16">
      <c r="A544" t="str">
        <f>DE_Base_Profile!A6</f>
        <v>1月</v>
      </c>
      <c r="B544">
        <f>DE_Base_Profile!B6</f>
        <v>0.0789</v>
      </c>
      <c r="C544">
        <f>L541*B544</f>
        <v>276.15</v>
      </c>
      <c r="D544">
        <f>1+IF(OR(D541="Air conditioning",D541="Heat pump (heating &amp; cooling)"),IF(DE_Base_Profile!D6=1,J542-1,0),0)+IF(OR(D541="Electric heating",D541="Heat pump (heating &amp; cooling)"),IF(DE_Base_Profile!E6=1,L542-1,0),0)</f>
        <v>1</v>
      </c>
      <c r="E544">
        <f t="shared" ref="E544:E555" si="36">C544*D544</f>
        <v>276.15</v>
      </c>
      <c r="F544">
        <f>IF(D541="Electric heating",IF(DE_Base_Profile!E6=1,B544*L542,0),IF(D541="Heat pump (heating &amp; cooling)",IF(DE_Base_Profile!D6=1,B544*J542,0)+IF(DE_Base_Profile!E6=1,B544*L542,0),0))</f>
        <v>0</v>
      </c>
      <c r="G544">
        <f>IF(SUM($F$544:$F$555)=0,0,D542*F544/SUM($F$544:$F$555))</f>
        <v>0</v>
      </c>
      <c r="H544">
        <f>F542/12</f>
        <v>75</v>
      </c>
      <c r="I544">
        <f>E544/SUM($E$544:$E$555)*L541+G544+H544</f>
        <v>351.15</v>
      </c>
      <c r="J544">
        <f>I544/H542</f>
        <v>0.0798068181818182</v>
      </c>
    </row>
    <row r="545" spans="1:10">
      <c r="A545" t="str">
        <f>DE_Base_Profile!A7</f>
        <v>2月</v>
      </c>
      <c r="B545">
        <f>DE_Base_Profile!B7</f>
        <v>0.0791</v>
      </c>
      <c r="C545">
        <f>L541*B545</f>
        <v>276.85</v>
      </c>
      <c r="D545">
        <f>1+IF(OR(D541="Air conditioning",D541="Heat pump (heating &amp; cooling)"),IF(DE_Base_Profile!D7=1,J542-1,0),0)+IF(OR(D541="Electric heating",D541="Heat pump (heating &amp; cooling)"),IF(DE_Base_Profile!E7=1,L542-1,0),0)</f>
        <v>1</v>
      </c>
      <c r="E545">
        <f t="shared" si="36"/>
        <v>276.85</v>
      </c>
      <c r="F545">
        <f>IF(D541="Electric heating",IF(DE_Base_Profile!E7=1,B545*L542,0),IF(D541="Heat pump (heating &amp; cooling)",IF(DE_Base_Profile!D7=1,B545*J542,0)+IF(DE_Base_Profile!E7=1,B545*L542,0),0))</f>
        <v>0</v>
      </c>
      <c r="G545">
        <f>IF(SUM($F$544:$F$555)=0,0,D542*F545/SUM($F$544:$F$555))</f>
        <v>0</v>
      </c>
      <c r="H545">
        <f>F542/12</f>
        <v>75</v>
      </c>
      <c r="I545">
        <f>E545/SUM($E$544:$E$555)*L541+G545+H545</f>
        <v>351.85</v>
      </c>
      <c r="J545">
        <f>I545/H542</f>
        <v>0.0799659090909091</v>
      </c>
    </row>
    <row r="546" spans="1:10">
      <c r="A546" t="str">
        <f>DE_Base_Profile!A8</f>
        <v>3月</v>
      </c>
      <c r="B546">
        <f>DE_Base_Profile!B8</f>
        <v>0.0773</v>
      </c>
      <c r="C546">
        <f>L541*B546</f>
        <v>270.55</v>
      </c>
      <c r="D546">
        <f>1+IF(OR(D541="Air conditioning",D541="Heat pump (heating &amp; cooling)"),IF(DE_Base_Profile!D8=1,J542-1,0),0)+IF(OR(D541="Electric heating",D541="Heat pump (heating &amp; cooling)"),IF(DE_Base_Profile!E8=1,L542-1,0),0)</f>
        <v>1</v>
      </c>
      <c r="E546">
        <f t="shared" si="36"/>
        <v>270.55</v>
      </c>
      <c r="F546">
        <f>IF(D541="Electric heating",IF(DE_Base_Profile!E8=1,B546*L542,0),IF(D541="Heat pump (heating &amp; cooling)",IF(DE_Base_Profile!D8=1,B546*J542,0)+IF(DE_Base_Profile!E8=1,B546*L542,0),0))</f>
        <v>0</v>
      </c>
      <c r="G546">
        <f>IF(SUM($F$544:$F$555)=0,0,D542*F546/SUM($F$544:$F$555))</f>
        <v>0</v>
      </c>
      <c r="H546">
        <f>F542/12</f>
        <v>75</v>
      </c>
      <c r="I546">
        <f>E546/SUM($E$544:$E$555)*L541+G546+H546</f>
        <v>345.55</v>
      </c>
      <c r="J546">
        <f>I546/H542</f>
        <v>0.0785340909090909</v>
      </c>
    </row>
    <row r="547" spans="1:10">
      <c r="A547" t="str">
        <f>DE_Base_Profile!A9</f>
        <v>4月</v>
      </c>
      <c r="B547">
        <f>DE_Base_Profile!B9</f>
        <v>0.0822</v>
      </c>
      <c r="C547">
        <f>L541*B547</f>
        <v>287.7</v>
      </c>
      <c r="D547">
        <f>1+IF(OR(D541="Air conditioning",D541="Heat pump (heating &amp; cooling)"),IF(DE_Base_Profile!D9=1,J542-1,0),0)+IF(OR(D541="Electric heating",D541="Heat pump (heating &amp; cooling)"),IF(DE_Base_Profile!E9=1,L542-1,0),0)</f>
        <v>1</v>
      </c>
      <c r="E547">
        <f t="shared" si="36"/>
        <v>287.7</v>
      </c>
      <c r="F547">
        <f>IF(D541="Electric heating",IF(DE_Base_Profile!E9=1,B547*L542,0),IF(D541="Heat pump (heating &amp; cooling)",IF(DE_Base_Profile!D9=1,B547*J542,0)+IF(DE_Base_Profile!E9=1,B547*L542,0),0))</f>
        <v>0</v>
      </c>
      <c r="G547">
        <f>IF(SUM($F$544:$F$555)=0,0,D542*F547/SUM($F$544:$F$555))</f>
        <v>0</v>
      </c>
      <c r="H547">
        <f>F542/12</f>
        <v>75</v>
      </c>
      <c r="I547">
        <f>E547/SUM($E$544:$E$555)*L541+G547+H547</f>
        <v>362.7</v>
      </c>
      <c r="J547">
        <f>I547/H542</f>
        <v>0.0824318181818182</v>
      </c>
    </row>
    <row r="548" spans="1:10">
      <c r="A548" t="str">
        <f>DE_Base_Profile!A10</f>
        <v>5月</v>
      </c>
      <c r="B548">
        <f>DE_Base_Profile!B10</f>
        <v>0.0839</v>
      </c>
      <c r="C548">
        <f>L541*B548</f>
        <v>293.65</v>
      </c>
      <c r="D548">
        <f>1+IF(OR(D541="Air conditioning",D541="Heat pump (heating &amp; cooling)"),IF(DE_Base_Profile!D10=1,J542-1,0),0)+IF(OR(D541="Electric heating",D541="Heat pump (heating &amp; cooling)"),IF(DE_Base_Profile!E10=1,L542-1,0),0)</f>
        <v>1</v>
      </c>
      <c r="E548">
        <f t="shared" si="36"/>
        <v>293.65</v>
      </c>
      <c r="F548">
        <f>IF(D541="Electric heating",IF(DE_Base_Profile!E10=1,B548*L542,0),IF(D541="Heat pump (heating &amp; cooling)",IF(DE_Base_Profile!D10=1,B548*J542,0)+IF(DE_Base_Profile!E10=1,B548*L542,0),0))</f>
        <v>0</v>
      </c>
      <c r="G548">
        <f>IF(SUM($F$544:$F$555)=0,0,D542*F548/SUM($F$544:$F$555))</f>
        <v>0</v>
      </c>
      <c r="H548">
        <f>F542/12</f>
        <v>75</v>
      </c>
      <c r="I548">
        <f>E548/SUM($E$544:$E$555)*L541+G548+H548</f>
        <v>368.65</v>
      </c>
      <c r="J548">
        <f>I548/H542</f>
        <v>0.0837840909090909</v>
      </c>
    </row>
    <row r="549" spans="1:10">
      <c r="A549" t="str">
        <f>DE_Base_Profile!A11</f>
        <v>6月</v>
      </c>
      <c r="B549">
        <f>DE_Base_Profile!B11</f>
        <v>0.0876</v>
      </c>
      <c r="C549">
        <f>L541*B549</f>
        <v>306.6</v>
      </c>
      <c r="D549">
        <f>1+IF(OR(D541="Air conditioning",D541="Heat pump (heating &amp; cooling)"),IF(DE_Base_Profile!D11=1,J542-1,0),0)+IF(OR(D541="Electric heating",D541="Heat pump (heating &amp; cooling)"),IF(DE_Base_Profile!E11=1,L542-1,0),0)</f>
        <v>1</v>
      </c>
      <c r="E549">
        <f t="shared" si="36"/>
        <v>306.6</v>
      </c>
      <c r="F549">
        <f>IF(D541="Electric heating",IF(DE_Base_Profile!E11=1,B549*L542,0),IF(D541="Heat pump (heating &amp; cooling)",IF(DE_Base_Profile!D11=1,B549*J542,0)+IF(DE_Base_Profile!E11=1,B549*L542,0),0))</f>
        <v>0</v>
      </c>
      <c r="G549">
        <f>IF(SUM($F$544:$F$555)=0,0,D542*F549/SUM($F$544:$F$555))</f>
        <v>0</v>
      </c>
      <c r="H549">
        <f>F542/12</f>
        <v>75</v>
      </c>
      <c r="I549">
        <f>E549/SUM($E$544:$E$555)*L541+G549+H549</f>
        <v>381.6</v>
      </c>
      <c r="J549">
        <f>I549/H542</f>
        <v>0.0867272727272727</v>
      </c>
    </row>
    <row r="550" spans="1:10">
      <c r="A550" t="str">
        <f>DE_Base_Profile!A12</f>
        <v>7月</v>
      </c>
      <c r="B550">
        <f>DE_Base_Profile!B12</f>
        <v>0.0917</v>
      </c>
      <c r="C550">
        <f>L541*B550</f>
        <v>320.95</v>
      </c>
      <c r="D550">
        <f>1+IF(OR(D541="Air conditioning",D541="Heat pump (heating &amp; cooling)"),IF(DE_Base_Profile!D12=1,J542-1,0),0)+IF(OR(D541="Electric heating",D541="Heat pump (heating &amp; cooling)"),IF(DE_Base_Profile!E12=1,L542-1,0),0)</f>
        <v>1</v>
      </c>
      <c r="E550">
        <f t="shared" si="36"/>
        <v>320.95</v>
      </c>
      <c r="F550">
        <f>IF(D541="Electric heating",IF(DE_Base_Profile!E12=1,B550*L542,0),IF(D541="Heat pump (heating &amp; cooling)",IF(DE_Base_Profile!D12=1,B550*J542,0)+IF(DE_Base_Profile!E12=1,B550*L542,0),0))</f>
        <v>0</v>
      </c>
      <c r="G550">
        <f>IF(SUM($F$544:$F$555)=0,0,D542*F550/SUM($F$544:$F$555))</f>
        <v>0</v>
      </c>
      <c r="H550">
        <f>F542/12</f>
        <v>75</v>
      </c>
      <c r="I550">
        <f>E550/SUM($E$544:$E$555)*L541+G550+H550</f>
        <v>395.95</v>
      </c>
      <c r="J550">
        <f>I550/H542</f>
        <v>0.0899886363636364</v>
      </c>
    </row>
    <row r="551" spans="1:10">
      <c r="A551" t="str">
        <f>DE_Base_Profile!A13</f>
        <v>8月</v>
      </c>
      <c r="B551">
        <f>DE_Base_Profile!B13</f>
        <v>0.0887</v>
      </c>
      <c r="C551">
        <f>L541*B551</f>
        <v>310.45</v>
      </c>
      <c r="D551">
        <f>1+IF(OR(D541="Air conditioning",D541="Heat pump (heating &amp; cooling)"),IF(DE_Base_Profile!D13=1,J542-1,0),0)+IF(OR(D541="Electric heating",D541="Heat pump (heating &amp; cooling)"),IF(DE_Base_Profile!E13=1,L542-1,0),0)</f>
        <v>1</v>
      </c>
      <c r="E551">
        <f t="shared" si="36"/>
        <v>310.45</v>
      </c>
      <c r="F551">
        <f>IF(D541="Electric heating",IF(DE_Base_Profile!E13=1,B551*L542,0),IF(D541="Heat pump (heating &amp; cooling)",IF(DE_Base_Profile!D13=1,B551*J542,0)+IF(DE_Base_Profile!E13=1,B551*L542,0),0))</f>
        <v>0</v>
      </c>
      <c r="G551">
        <f>IF(SUM($F$544:$F$555)=0,0,D542*F551/SUM($F$544:$F$555))</f>
        <v>0</v>
      </c>
      <c r="H551">
        <f>F542/12</f>
        <v>75</v>
      </c>
      <c r="I551">
        <f>E551/SUM($E$544:$E$555)*L541+G551+H551</f>
        <v>385.45</v>
      </c>
      <c r="J551">
        <f>I551/H542</f>
        <v>0.0876022727272727</v>
      </c>
    </row>
    <row r="552" spans="1:10">
      <c r="A552" t="str">
        <f>DE_Base_Profile!A14</f>
        <v>9月</v>
      </c>
      <c r="B552">
        <f>DE_Base_Profile!B14</f>
        <v>0.0853</v>
      </c>
      <c r="C552">
        <f>L541*B552</f>
        <v>298.55</v>
      </c>
      <c r="D552">
        <f>1+IF(OR(D541="Air conditioning",D541="Heat pump (heating &amp; cooling)"),IF(DE_Base_Profile!D14=1,J542-1,0),0)+IF(OR(D541="Electric heating",D541="Heat pump (heating &amp; cooling)"),IF(DE_Base_Profile!E14=1,L542-1,0),0)</f>
        <v>1</v>
      </c>
      <c r="E552">
        <f t="shared" si="36"/>
        <v>298.55</v>
      </c>
      <c r="F552">
        <f>IF(D541="Electric heating",IF(DE_Base_Profile!E14=1,B552*L542,0),IF(D541="Heat pump (heating &amp; cooling)",IF(DE_Base_Profile!D14=1,B552*J542,0)+IF(DE_Base_Profile!E14=1,B552*L542,0),0))</f>
        <v>0</v>
      </c>
      <c r="G552">
        <f>IF(SUM($F$544:$F$555)=0,0,D542*F552/SUM($F$544:$F$555))</f>
        <v>0</v>
      </c>
      <c r="H552">
        <f>F542/12</f>
        <v>75</v>
      </c>
      <c r="I552">
        <f>E552/SUM($E$544:$E$555)*L541+G552+H552</f>
        <v>373.55</v>
      </c>
      <c r="J552">
        <f>I552/H542</f>
        <v>0.0848977272727273</v>
      </c>
    </row>
    <row r="553" spans="1:10">
      <c r="A553" t="str">
        <f>DE_Base_Profile!A15</f>
        <v>10月</v>
      </c>
      <c r="B553">
        <f>DE_Base_Profile!B15</f>
        <v>0.0838</v>
      </c>
      <c r="C553">
        <f>L541*B553</f>
        <v>293.3</v>
      </c>
      <c r="D553">
        <f>1+IF(OR(D541="Air conditioning",D541="Heat pump (heating &amp; cooling)"),IF(DE_Base_Profile!D15=1,J542-1,0),0)+IF(OR(D541="Electric heating",D541="Heat pump (heating &amp; cooling)"),IF(DE_Base_Profile!E15=1,L542-1,0),0)</f>
        <v>1</v>
      </c>
      <c r="E553">
        <f t="shared" si="36"/>
        <v>293.3</v>
      </c>
      <c r="F553">
        <f>IF(D541="Electric heating",IF(DE_Base_Profile!E15=1,B553*L542,0),IF(D541="Heat pump (heating &amp; cooling)",IF(DE_Base_Profile!D15=1,B553*J542,0)+IF(DE_Base_Profile!E15=1,B553*L542,0),0))</f>
        <v>0</v>
      </c>
      <c r="G553">
        <f>IF(SUM($F$544:$F$555)=0,0,D542*F553/SUM($F$544:$F$555))</f>
        <v>0</v>
      </c>
      <c r="H553">
        <f>F542/12</f>
        <v>75</v>
      </c>
      <c r="I553">
        <f>E553/SUM($E$544:$E$555)*L541+G553+H553</f>
        <v>368.3</v>
      </c>
      <c r="J553">
        <f>I553/H542</f>
        <v>0.0837045454545454</v>
      </c>
    </row>
    <row r="554" spans="1:10">
      <c r="A554" t="str">
        <f>DE_Base_Profile!A16</f>
        <v>11月</v>
      </c>
      <c r="B554">
        <f>DE_Base_Profile!B16</f>
        <v>0.0819</v>
      </c>
      <c r="C554">
        <f>L541*B554</f>
        <v>286.65</v>
      </c>
      <c r="D554">
        <f>1+IF(OR(D541="Air conditioning",D541="Heat pump (heating &amp; cooling)"),IF(DE_Base_Profile!D16=1,J542-1,0),0)+IF(OR(D541="Electric heating",D541="Heat pump (heating &amp; cooling)"),IF(DE_Base_Profile!E16=1,L542-1,0),0)</f>
        <v>1</v>
      </c>
      <c r="E554">
        <f t="shared" si="36"/>
        <v>286.65</v>
      </c>
      <c r="F554">
        <f>IF(D541="Electric heating",IF(DE_Base_Profile!E16=1,B554*L542,0),IF(D541="Heat pump (heating &amp; cooling)",IF(DE_Base_Profile!D16=1,B554*J542,0)+IF(DE_Base_Profile!E16=1,B554*L542,0),0))</f>
        <v>0</v>
      </c>
      <c r="G554">
        <f>IF(SUM($F$544:$F$555)=0,0,D542*F554/SUM($F$544:$F$555))</f>
        <v>0</v>
      </c>
      <c r="H554">
        <f>F542/12</f>
        <v>75</v>
      </c>
      <c r="I554">
        <f>E554/SUM($E$544:$E$555)*L541+G554+H554</f>
        <v>361.65</v>
      </c>
      <c r="J554">
        <f>I554/H542</f>
        <v>0.0821931818181818</v>
      </c>
    </row>
    <row r="555" spans="1:10">
      <c r="A555" t="str">
        <f>DE_Base_Profile!A17</f>
        <v>12月</v>
      </c>
      <c r="B555">
        <f>DE_Base_Profile!B17</f>
        <v>0.0796</v>
      </c>
      <c r="C555">
        <f>L541*B555</f>
        <v>278.6</v>
      </c>
      <c r="D555">
        <f>1+IF(OR(D541="Air conditioning",D541="Heat pump (heating &amp; cooling)"),IF(DE_Base_Profile!D17=1,J542-1,0),0)+IF(OR(D541="Electric heating",D541="Heat pump (heating &amp; cooling)"),IF(DE_Base_Profile!E17=1,L542-1,0),0)</f>
        <v>1</v>
      </c>
      <c r="E555">
        <f t="shared" si="36"/>
        <v>278.6</v>
      </c>
      <c r="F555">
        <f>IF(D541="Electric heating",IF(DE_Base_Profile!E17=1,B555*L542,0),IF(D541="Heat pump (heating &amp; cooling)",IF(DE_Base_Profile!D17=1,B555*J542,0)+IF(DE_Base_Profile!E17=1,B555*L542,0),0))</f>
        <v>0</v>
      </c>
      <c r="G555">
        <f>IF(SUM($F$544:$F$555)=0,0,D542*F555/SUM($F$544:$F$555))</f>
        <v>0</v>
      </c>
      <c r="H555">
        <f>F542/12</f>
        <v>75</v>
      </c>
      <c r="I555">
        <f>E555/SUM($E$544:$E$555)*L541+G555+H555</f>
        <v>353.6</v>
      </c>
      <c r="J555">
        <f>I555/H542</f>
        <v>0.0803636363636364</v>
      </c>
    </row>
    <row r="558" spans="1:10">
      <c r="A558">
        <f>DE_Base_Profile!H6</f>
        <v>0</v>
      </c>
      <c r="B558">
        <f>DE_Base_Profile!I6</f>
        <v>0.0301</v>
      </c>
      <c r="C558">
        <f>IF(DE_Base_Profile!J6=1,INDEX(DE_Lookups!$B$2:$B$4,MATCH(B541,DE_Lookups!$A$2:$A$4,0)),1)</f>
        <v>1</v>
      </c>
      <c r="D558">
        <f>IF(OR(D541="Air conditioning",D541="Heat pump (heating &amp; cooling)"),IF(DE_Base_Profile!K6=1,N542,1),1)*IF(OR(D541="Electric heating",D541="Heat pump (heating &amp; cooling)"),IF(DE_Base_Profile!L6=1,P542,1),1)</f>
        <v>1</v>
      </c>
      <c r="E558">
        <f t="shared" ref="E558:E581" si="37">B558*C558*D558</f>
        <v>0.0301</v>
      </c>
      <c r="F558">
        <f t="shared" ref="F558:F581" si="38">E558/SUM($E$558:$E$581)</f>
        <v>0.0364495035117462</v>
      </c>
      <c r="G558">
        <f>((L541+D542)/365)*F558</f>
        <v>0.349515787098936</v>
      </c>
      <c r="H558">
        <f>INDEX(DE_Base_Profile!$N$6:$Q$29,ROW()-557,MATCH(J541,DE_Base_Profile!$N$5:$Q$5,0))</f>
        <v>0.125</v>
      </c>
      <c r="I558">
        <f>(F542/365)*H558</f>
        <v>0.308219178082192</v>
      </c>
      <c r="J558">
        <f>(G558+I558)/(H542/365)</f>
        <v>0.0545621050661617</v>
      </c>
    </row>
    <row r="559" spans="1:10">
      <c r="A559">
        <f>DE_Base_Profile!H7</f>
        <v>1</v>
      </c>
      <c r="B559">
        <f>DE_Base_Profile!I7</f>
        <v>0.0258</v>
      </c>
      <c r="C559">
        <f>IF(DE_Base_Profile!J7=1,INDEX(DE_Lookups!$B$2:$B$4,MATCH(B541,DE_Lookups!$A$2:$A$4,0)),1)</f>
        <v>1</v>
      </c>
      <c r="D559">
        <f>IF(OR(D541="Air conditioning",D541="Heat pump (heating &amp; cooling)"),IF(DE_Base_Profile!K7=1,N542,1),1)*IF(OR(D541="Electric heating",D541="Heat pump (heating &amp; cooling)"),IF(DE_Base_Profile!L7=1,P542,1),1)</f>
        <v>1</v>
      </c>
      <c r="E559">
        <f t="shared" si="37"/>
        <v>0.0258</v>
      </c>
      <c r="F559">
        <f t="shared" si="38"/>
        <v>0.0312424315814967</v>
      </c>
      <c r="G559">
        <f>((L541+D542)/365)*F559</f>
        <v>0.299584960370517</v>
      </c>
      <c r="H559">
        <f>INDEX(DE_Base_Profile!$N$6:$Q$29,ROW()-557,MATCH(J541,DE_Base_Profile!$N$5:$Q$5,0))</f>
        <v>0.125</v>
      </c>
      <c r="I559">
        <f>(F542/365)*H559</f>
        <v>0.308219178082192</v>
      </c>
      <c r="J559">
        <f>(G559+I559)/(H542/365)</f>
        <v>0.050420116030736</v>
      </c>
    </row>
    <row r="560" spans="1:10">
      <c r="A560">
        <f>DE_Base_Profile!H8</f>
        <v>2</v>
      </c>
      <c r="B560">
        <f>DE_Base_Profile!I8</f>
        <v>0.0239</v>
      </c>
      <c r="C560">
        <f>IF(DE_Base_Profile!J8=1,INDEX(DE_Lookups!$B$2:$B$4,MATCH(B541,DE_Lookups!$A$2:$A$4,0)),1)</f>
        <v>1</v>
      </c>
      <c r="D560">
        <f>IF(OR(D541="Air conditioning",D541="Heat pump (heating &amp; cooling)"),IF(DE_Base_Profile!K8=1,N542,1),1)*IF(OR(D541="Electric heating",D541="Heat pump (heating &amp; cooling)"),IF(DE_Base_Profile!L8=1,P542,1),1)</f>
        <v>1</v>
      </c>
      <c r="E560">
        <f t="shared" si="37"/>
        <v>0.0239</v>
      </c>
      <c r="F560">
        <f t="shared" si="38"/>
        <v>0.0289416323565028</v>
      </c>
      <c r="G560">
        <f>((L541+D542)/365)*F560</f>
        <v>0.277522502048657</v>
      </c>
      <c r="H560">
        <f>INDEX(DE_Base_Profile!$N$6:$Q$29,ROW()-557,MATCH(J541,DE_Base_Profile!$N$5:$Q$5,0))</f>
        <v>0.125</v>
      </c>
      <c r="I560">
        <f>(F542/365)*H560</f>
        <v>0.308219178082192</v>
      </c>
      <c r="J560">
        <f>(G560+I560)/(H542/365)</f>
        <v>0.0485899348290363</v>
      </c>
    </row>
    <row r="561" spans="1:10">
      <c r="A561">
        <f>DE_Base_Profile!H9</f>
        <v>3</v>
      </c>
      <c r="B561">
        <f>DE_Base_Profile!I9</f>
        <v>0.0232</v>
      </c>
      <c r="C561">
        <f>IF(DE_Base_Profile!J9=1,INDEX(DE_Lookups!$B$2:$B$4,MATCH(B541,DE_Lookups!$A$2:$A$4,0)),1)</f>
        <v>1</v>
      </c>
      <c r="D561">
        <f>IF(OR(D541="Air conditioning",D541="Heat pump (heating &amp; cooling)"),IF(DE_Base_Profile!K9=1,N542,1),1)*IF(OR(D541="Electric heating",D541="Heat pump (heating &amp; cooling)"),IF(DE_Base_Profile!L9=1,P542,1),1)</f>
        <v>1</v>
      </c>
      <c r="E561">
        <f t="shared" si="37"/>
        <v>0.0232</v>
      </c>
      <c r="F561">
        <f t="shared" si="38"/>
        <v>0.0280939694841366</v>
      </c>
      <c r="G561">
        <f>((L541+D542)/365)*F561</f>
        <v>0.269394227930077</v>
      </c>
      <c r="H561">
        <f>INDEX(DE_Base_Profile!$N$6:$Q$29,ROW()-557,MATCH(J541,DE_Base_Profile!$N$5:$Q$5,0))</f>
        <v>0.125</v>
      </c>
      <c r="I561">
        <f>(F542/365)*H561</f>
        <v>0.308219178082192</v>
      </c>
      <c r="J561">
        <f>(G561+I561)/(H542/365)</f>
        <v>0.0479156575441996</v>
      </c>
    </row>
    <row r="562" spans="1:10">
      <c r="A562">
        <f>DE_Base_Profile!H10</f>
        <v>4</v>
      </c>
      <c r="B562">
        <f>DE_Base_Profile!I10</f>
        <v>0.0236</v>
      </c>
      <c r="C562">
        <f>IF(DE_Base_Profile!J10=1,INDEX(DE_Lookups!$B$2:$B$4,MATCH(B541,DE_Lookups!$A$2:$A$4,0)),1)</f>
        <v>1</v>
      </c>
      <c r="D562">
        <f>IF(OR(D541="Air conditioning",D541="Heat pump (heating &amp; cooling)"),IF(DE_Base_Profile!K10=1,N542,1),1)*IF(OR(D541="Electric heating",D541="Heat pump (heating &amp; cooling)"),IF(DE_Base_Profile!L10=1,P542,1),1)</f>
        <v>1</v>
      </c>
      <c r="E562">
        <f t="shared" si="37"/>
        <v>0.0236</v>
      </c>
      <c r="F562">
        <f t="shared" si="38"/>
        <v>0.0285783482683458</v>
      </c>
      <c r="G562">
        <f>((L541+D542)/365)*F562</f>
        <v>0.274038955997837</v>
      </c>
      <c r="H562">
        <f>INDEX(DE_Base_Profile!$N$6:$Q$29,ROW()-557,MATCH(J541,DE_Base_Profile!$N$5:$Q$5,0))</f>
        <v>0.125</v>
      </c>
      <c r="I562">
        <f>(F542/365)*H562</f>
        <v>0.308219178082192</v>
      </c>
      <c r="J562">
        <f>(G562+I562)/(H542/365)</f>
        <v>0.0483009588498206</v>
      </c>
    </row>
    <row r="563" spans="1:10">
      <c r="A563">
        <f>DE_Base_Profile!H11</f>
        <v>5</v>
      </c>
      <c r="B563">
        <f>DE_Base_Profile!I11</f>
        <v>0.0252</v>
      </c>
      <c r="C563">
        <f>IF(DE_Base_Profile!J11=1,INDEX(DE_Lookups!$B$2:$B$4,MATCH(B541,DE_Lookups!$A$2:$A$4,0)),1)</f>
        <v>1</v>
      </c>
      <c r="D563">
        <f>IF(OR(D541="Air conditioning",D541="Heat pump (heating &amp; cooling)"),IF(DE_Base_Profile!K11=1,N542,1),1)*IF(OR(D541="Electric heating",D541="Heat pump (heating &amp; cooling)"),IF(DE_Base_Profile!L11=1,P542,1),1)</f>
        <v>1</v>
      </c>
      <c r="E563">
        <f t="shared" si="37"/>
        <v>0.0252</v>
      </c>
      <c r="F563">
        <f t="shared" si="38"/>
        <v>0.0305158634051829</v>
      </c>
      <c r="G563">
        <f>((L541+D542)/365)*F563</f>
        <v>0.292617868268877</v>
      </c>
      <c r="H563">
        <f>INDEX(DE_Base_Profile!$N$6:$Q$29,ROW()-557,MATCH(J541,DE_Base_Profile!$N$5:$Q$5,0))</f>
        <v>0.125</v>
      </c>
      <c r="I563">
        <f>(F542/365)*H563</f>
        <v>0.308219178082192</v>
      </c>
      <c r="J563">
        <f>(G563+I563)/(H542/365)</f>
        <v>0.0498421640723045</v>
      </c>
    </row>
    <row r="564" spans="1:10">
      <c r="A564">
        <f>DE_Base_Profile!H12</f>
        <v>6</v>
      </c>
      <c r="B564">
        <f>DE_Base_Profile!I12</f>
        <v>0.03</v>
      </c>
      <c r="C564">
        <f>IF(DE_Base_Profile!J12=1,INDEX(DE_Lookups!$B$2:$B$4,MATCH(B541,DE_Lookups!$A$2:$A$4,0)),1)</f>
        <v>1</v>
      </c>
      <c r="D564">
        <f>IF(OR(D541="Air conditioning",D541="Heat pump (heating &amp; cooling)"),IF(DE_Base_Profile!K12=1,N542,1),1)*IF(OR(D541="Electric heating",D541="Heat pump (heating &amp; cooling)"),IF(DE_Base_Profile!L12=1,P542,1),1)</f>
        <v>1</v>
      </c>
      <c r="E564">
        <f t="shared" si="37"/>
        <v>0.03</v>
      </c>
      <c r="F564">
        <f t="shared" si="38"/>
        <v>0.0363284088156939</v>
      </c>
      <c r="G564">
        <f>((L541+D542)/365)*F564</f>
        <v>0.348354605081996</v>
      </c>
      <c r="H564">
        <f>INDEX(DE_Base_Profile!$N$6:$Q$29,ROW()-557,MATCH(J541,DE_Base_Profile!$N$5:$Q$5,0))</f>
        <v>0</v>
      </c>
      <c r="I564">
        <f>(F542/365)*H564</f>
        <v>0</v>
      </c>
      <c r="J564">
        <f>(G564+I564)/(H542/365)</f>
        <v>0.0288975979215747</v>
      </c>
    </row>
    <row r="565" spans="1:10">
      <c r="A565">
        <f>DE_Base_Profile!H13</f>
        <v>7</v>
      </c>
      <c r="B565">
        <f>DE_Base_Profile!I13</f>
        <v>0.0358</v>
      </c>
      <c r="C565">
        <f>IF(DE_Base_Profile!J13=1,INDEX(DE_Lookups!$B$2:$B$4,MATCH(B541,DE_Lookups!$A$2:$A$4,0)),1)</f>
        <v>1</v>
      </c>
      <c r="D565">
        <f>IF(OR(D541="Air conditioning",D541="Heat pump (heating &amp; cooling)"),IF(DE_Base_Profile!K13=1,N542,1),1)*IF(OR(D541="Electric heating",D541="Heat pump (heating &amp; cooling)"),IF(DE_Base_Profile!L13=1,P542,1),1)</f>
        <v>1</v>
      </c>
      <c r="E565">
        <f t="shared" si="37"/>
        <v>0.0358</v>
      </c>
      <c r="F565">
        <f t="shared" si="38"/>
        <v>0.043351901186728</v>
      </c>
      <c r="G565">
        <f>((L541+D542)/365)*F565</f>
        <v>0.415703162064515</v>
      </c>
      <c r="H565">
        <f>INDEX(DE_Base_Profile!$N$6:$Q$29,ROW()-557,MATCH(J541,DE_Base_Profile!$N$5:$Q$5,0))</f>
        <v>0</v>
      </c>
      <c r="I565">
        <f>(F542/365)*H565</f>
        <v>0</v>
      </c>
      <c r="J565">
        <f>(G565+I565)/(H542/365)</f>
        <v>0.0344844668530791</v>
      </c>
    </row>
    <row r="566" spans="1:10">
      <c r="A566">
        <f>DE_Base_Profile!H14</f>
        <v>8</v>
      </c>
      <c r="B566">
        <f>DE_Base_Profile!I14</f>
        <v>0.041</v>
      </c>
      <c r="C566">
        <f>IF(DE_Base_Profile!J14=1,INDEX(DE_Lookups!$B$2:$B$4,MATCH(B541,DE_Lookups!$A$2:$A$4,0)),1)</f>
        <v>1</v>
      </c>
      <c r="D566">
        <f>IF(OR(D541="Air conditioning",D541="Heat pump (heating &amp; cooling)"),IF(DE_Base_Profile!K14=1,N542,1),1)*IF(OR(D541="Electric heating",D541="Heat pump (heating &amp; cooling)"),IF(DE_Base_Profile!L14=1,P542,1),1)</f>
        <v>1</v>
      </c>
      <c r="E566">
        <f t="shared" si="37"/>
        <v>0.041</v>
      </c>
      <c r="F566">
        <f t="shared" si="38"/>
        <v>0.0496488253814483</v>
      </c>
      <c r="G566">
        <f>((L541+D542)/365)*F566</f>
        <v>0.476084626945395</v>
      </c>
      <c r="H566">
        <f>INDEX(DE_Base_Profile!$N$6:$Q$29,ROW()-557,MATCH(J541,DE_Base_Profile!$N$5:$Q$5,0))</f>
        <v>0</v>
      </c>
      <c r="I566">
        <f>(F542/365)*H566</f>
        <v>0</v>
      </c>
      <c r="J566">
        <f>(G566+I566)/(H542/365)</f>
        <v>0.039493383826152</v>
      </c>
    </row>
    <row r="567" spans="1:10">
      <c r="A567">
        <f>DE_Base_Profile!H15</f>
        <v>9</v>
      </c>
      <c r="B567">
        <f>DE_Base_Profile!I15</f>
        <v>0.0446</v>
      </c>
      <c r="C567">
        <f>IF(DE_Base_Profile!J15=1,INDEX(DE_Lookups!$B$2:$B$4,MATCH(B541,DE_Lookups!$A$2:$A$4,0)),1)</f>
        <v>0.6</v>
      </c>
      <c r="D567">
        <f>IF(OR(D541="Air conditioning",D541="Heat pump (heating &amp; cooling)"),IF(DE_Base_Profile!K15=1,N542,1),1)*IF(OR(D541="Electric heating",D541="Heat pump (heating &amp; cooling)"),IF(DE_Base_Profile!L15=1,P542,1),1)</f>
        <v>1</v>
      </c>
      <c r="E567">
        <f t="shared" si="37"/>
        <v>0.02676</v>
      </c>
      <c r="F567">
        <f t="shared" si="38"/>
        <v>0.0324049406635989</v>
      </c>
      <c r="G567">
        <f>((L541+D542)/365)*F567</f>
        <v>0.31073230773314</v>
      </c>
      <c r="H567">
        <f>INDEX(DE_Base_Profile!$N$6:$Q$29,ROW()-557,MATCH(J541,DE_Base_Profile!$N$5:$Q$5,0))</f>
        <v>0</v>
      </c>
      <c r="I567">
        <f>(F542/365)*H567</f>
        <v>0</v>
      </c>
      <c r="J567">
        <f>(G567+I567)/(H542/365)</f>
        <v>0.0257766573460446</v>
      </c>
    </row>
    <row r="568" spans="1:10">
      <c r="A568">
        <f>DE_Base_Profile!H16</f>
        <v>10</v>
      </c>
      <c r="B568">
        <f>DE_Base_Profile!I16</f>
        <v>0.0474</v>
      </c>
      <c r="C568">
        <f>IF(DE_Base_Profile!J16=1,INDEX(DE_Lookups!$B$2:$B$4,MATCH(B541,DE_Lookups!$A$2:$A$4,0)),1)</f>
        <v>0.6</v>
      </c>
      <c r="D568">
        <f>IF(OR(D541="Air conditioning",D541="Heat pump (heating &amp; cooling)"),IF(DE_Base_Profile!K16=1,N542,1),1)*IF(OR(D541="Electric heating",D541="Heat pump (heating &amp; cooling)"),IF(DE_Base_Profile!L16=1,P542,1),1)</f>
        <v>1</v>
      </c>
      <c r="E568">
        <f t="shared" si="37"/>
        <v>0.02844</v>
      </c>
      <c r="F568">
        <f t="shared" si="38"/>
        <v>0.0344393315572778</v>
      </c>
      <c r="G568">
        <f>((L541+D542)/365)*F568</f>
        <v>0.330240165617732</v>
      </c>
      <c r="H568">
        <f>INDEX(DE_Base_Profile!$N$6:$Q$29,ROW()-557,MATCH(J541,DE_Base_Profile!$N$5:$Q$5,0))</f>
        <v>0</v>
      </c>
      <c r="I568">
        <f>(F542/365)*H568</f>
        <v>0</v>
      </c>
      <c r="J568">
        <f>(G568+I568)/(H542/365)</f>
        <v>0.0273949228296528</v>
      </c>
    </row>
    <row r="569" spans="1:10">
      <c r="A569">
        <f>DE_Base_Profile!H17</f>
        <v>11</v>
      </c>
      <c r="B569">
        <f>DE_Base_Profile!I17</f>
        <v>0.0518</v>
      </c>
      <c r="C569">
        <f>IF(DE_Base_Profile!J17=1,INDEX(DE_Lookups!$B$2:$B$4,MATCH(B541,DE_Lookups!$A$2:$A$4,0)),1)</f>
        <v>0.6</v>
      </c>
      <c r="D569">
        <f>IF(OR(D541="Air conditioning",D541="Heat pump (heating &amp; cooling)"),IF(DE_Base_Profile!K17=1,N542,1),1)*IF(OR(D541="Electric heating",D541="Heat pump (heating &amp; cooling)"),IF(DE_Base_Profile!L17=1,P542,1),1)</f>
        <v>1</v>
      </c>
      <c r="E569">
        <f t="shared" si="37"/>
        <v>0.03108</v>
      </c>
      <c r="F569">
        <f t="shared" si="38"/>
        <v>0.0376362315330588</v>
      </c>
      <c r="G569">
        <f>((L541+D542)/365)*F569</f>
        <v>0.360895370864948</v>
      </c>
      <c r="H569">
        <f>INDEX(DE_Base_Profile!$N$6:$Q$29,ROW()-557,MATCH(J541,DE_Base_Profile!$N$5:$Q$5,0))</f>
        <v>0</v>
      </c>
      <c r="I569">
        <f>(F542/365)*H569</f>
        <v>0</v>
      </c>
      <c r="J569">
        <f>(G569+I569)/(H542/365)</f>
        <v>0.0299379114467514</v>
      </c>
    </row>
    <row r="570" spans="1:10">
      <c r="A570">
        <f>DE_Base_Profile!H18</f>
        <v>12</v>
      </c>
      <c r="B570">
        <f>DE_Base_Profile!I18</f>
        <v>0.0513</v>
      </c>
      <c r="C570">
        <f>IF(DE_Base_Profile!J18=1,INDEX(DE_Lookups!$B$2:$B$4,MATCH(B541,DE_Lookups!$A$2:$A$4,0)),1)</f>
        <v>0.6</v>
      </c>
      <c r="D570">
        <f>IF(OR(D541="Air conditioning",D541="Heat pump (heating &amp; cooling)"),IF(DE_Base_Profile!K18=1,N542,1),1)*IF(OR(D541="Electric heating",D541="Heat pump (heating &amp; cooling)"),IF(DE_Base_Profile!L18=1,P542,1),1)</f>
        <v>1</v>
      </c>
      <c r="E570">
        <f t="shared" si="37"/>
        <v>0.03078</v>
      </c>
      <c r="F570">
        <f t="shared" si="38"/>
        <v>0.0372729474449019</v>
      </c>
      <c r="G570">
        <f>((L541+D542)/365)*F570</f>
        <v>0.357411824814128</v>
      </c>
      <c r="H570">
        <f>INDEX(DE_Base_Profile!$N$6:$Q$29,ROW()-557,MATCH(J541,DE_Base_Profile!$N$5:$Q$5,0))</f>
        <v>0</v>
      </c>
      <c r="I570">
        <f>(F542/365)*H570</f>
        <v>0</v>
      </c>
      <c r="J570">
        <f>(G570+I570)/(H542/365)</f>
        <v>0.0296489354675356</v>
      </c>
    </row>
    <row r="571" spans="1:10">
      <c r="A571">
        <f>DE_Base_Profile!H19</f>
        <v>13</v>
      </c>
      <c r="B571">
        <f>DE_Base_Profile!I19</f>
        <v>0.0481</v>
      </c>
      <c r="C571">
        <f>IF(DE_Base_Profile!J19=1,INDEX(DE_Lookups!$B$2:$B$4,MATCH(B541,DE_Lookups!$A$2:$A$4,0)),1)</f>
        <v>0.6</v>
      </c>
      <c r="D571">
        <f>IF(OR(D541="Air conditioning",D541="Heat pump (heating &amp; cooling)"),IF(DE_Base_Profile!K19=1,N542,1),1)*IF(OR(D541="Electric heating",D541="Heat pump (heating &amp; cooling)"),IF(DE_Base_Profile!L19=1,P542,1),1)</f>
        <v>1</v>
      </c>
      <c r="E571">
        <f t="shared" si="37"/>
        <v>0.02886</v>
      </c>
      <c r="F571">
        <f t="shared" si="38"/>
        <v>0.0349479292806975</v>
      </c>
      <c r="G571">
        <f>((L541+D542)/365)*F571</f>
        <v>0.33511713008888</v>
      </c>
      <c r="H571">
        <f>INDEX(DE_Base_Profile!$N$6:$Q$29,ROW()-557,MATCH(J541,DE_Base_Profile!$N$5:$Q$5,0))</f>
        <v>0</v>
      </c>
      <c r="I571">
        <f>(F542/365)*H571</f>
        <v>0</v>
      </c>
      <c r="J571">
        <f>(G571+I571)/(H542/365)</f>
        <v>0.0277994892005548</v>
      </c>
    </row>
    <row r="572" spans="1:10">
      <c r="A572">
        <f>DE_Base_Profile!H20</f>
        <v>14</v>
      </c>
      <c r="B572">
        <f>DE_Base_Profile!I20</f>
        <v>0.0459</v>
      </c>
      <c r="C572">
        <f>IF(DE_Base_Profile!J20=1,INDEX(DE_Lookups!$B$2:$B$4,MATCH(B541,DE_Lookups!$A$2:$A$4,0)),1)</f>
        <v>0.6</v>
      </c>
      <c r="D572">
        <f>IF(OR(D541="Air conditioning",D541="Heat pump (heating &amp; cooling)"),IF(DE_Base_Profile!K20=1,N542,1),1)*IF(OR(D541="Electric heating",D541="Heat pump (heating &amp; cooling)"),IF(DE_Base_Profile!L20=1,P542,1),1)</f>
        <v>1</v>
      </c>
      <c r="E572">
        <f t="shared" si="37"/>
        <v>0.02754</v>
      </c>
      <c r="F572">
        <f t="shared" si="38"/>
        <v>0.033349479292807</v>
      </c>
      <c r="G572">
        <f>((L541+D542)/365)*F572</f>
        <v>0.319789527465272</v>
      </c>
      <c r="H572">
        <f>INDEX(DE_Base_Profile!$N$6:$Q$29,ROW()-557,MATCH(J541,DE_Base_Profile!$N$5:$Q$5,0))</f>
        <v>0</v>
      </c>
      <c r="I572">
        <f>(F542/365)*H572</f>
        <v>0</v>
      </c>
      <c r="J572">
        <f>(G572+I572)/(H542/365)</f>
        <v>0.0265279948920056</v>
      </c>
    </row>
    <row r="573" spans="1:10">
      <c r="A573">
        <f>DE_Base_Profile!H21</f>
        <v>15</v>
      </c>
      <c r="B573">
        <f>DE_Base_Profile!I21</f>
        <v>0.0454</v>
      </c>
      <c r="C573">
        <f>IF(DE_Base_Profile!J21=1,INDEX(DE_Lookups!$B$2:$B$4,MATCH(B541,DE_Lookups!$A$2:$A$4,0)),1)</f>
        <v>0.6</v>
      </c>
      <c r="D573">
        <f>IF(OR(D541="Air conditioning",D541="Heat pump (heating &amp; cooling)"),IF(DE_Base_Profile!K21=1,N542,1),1)*IF(OR(D541="Electric heating",D541="Heat pump (heating &amp; cooling)"),IF(DE_Base_Profile!L21=1,P542,1),1)</f>
        <v>1</v>
      </c>
      <c r="E573">
        <f t="shared" si="37"/>
        <v>0.02724</v>
      </c>
      <c r="F573">
        <f t="shared" si="38"/>
        <v>0.03298619520465</v>
      </c>
      <c r="G573">
        <f>((L541+D542)/365)*F573</f>
        <v>0.316305981414452</v>
      </c>
      <c r="H573">
        <f>INDEX(DE_Base_Profile!$N$6:$Q$29,ROW()-557,MATCH(J541,DE_Base_Profile!$N$5:$Q$5,0))</f>
        <v>0</v>
      </c>
      <c r="I573">
        <f>(F542/365)*H573</f>
        <v>0</v>
      </c>
      <c r="J573">
        <f>(G573+I573)/(H542/365)</f>
        <v>0.0262390189127898</v>
      </c>
    </row>
    <row r="574" spans="1:10">
      <c r="A574">
        <f>DE_Base_Profile!H22</f>
        <v>16</v>
      </c>
      <c r="B574">
        <f>DE_Base_Profile!I22</f>
        <v>0.0475</v>
      </c>
      <c r="C574">
        <f>IF(DE_Base_Profile!J22=1,INDEX(DE_Lookups!$B$2:$B$4,MATCH(B541,DE_Lookups!$A$2:$A$4,0)),1)</f>
        <v>0.6</v>
      </c>
      <c r="D574">
        <f>IF(OR(D541="Air conditioning",D541="Heat pump (heating &amp; cooling)"),IF(DE_Base_Profile!K22=1,N542,1),1)*IF(OR(D541="Electric heating",D541="Heat pump (heating &amp; cooling)"),IF(DE_Base_Profile!L22=1,P542,1),1)</f>
        <v>1</v>
      </c>
      <c r="E574">
        <f t="shared" si="37"/>
        <v>0.0285</v>
      </c>
      <c r="F574">
        <f t="shared" si="38"/>
        <v>0.0345119883749092</v>
      </c>
      <c r="G574">
        <f>((L541+D542)/365)*F574</f>
        <v>0.330936874827896</v>
      </c>
      <c r="H574">
        <f>INDEX(DE_Base_Profile!$N$6:$Q$29,ROW()-557,MATCH(J541,DE_Base_Profile!$N$5:$Q$5,0))</f>
        <v>0</v>
      </c>
      <c r="I574">
        <f>(F542/365)*H574</f>
        <v>0</v>
      </c>
      <c r="J574">
        <f>(G574+I574)/(H542/365)</f>
        <v>0.0274527180254959</v>
      </c>
    </row>
    <row r="575" spans="1:10">
      <c r="A575">
        <f>DE_Base_Profile!H23</f>
        <v>17</v>
      </c>
      <c r="B575">
        <f>DE_Base_Profile!I23</f>
        <v>0.0535</v>
      </c>
      <c r="C575">
        <f>IF(DE_Base_Profile!J23=1,INDEX(DE_Lookups!$B$2:$B$4,MATCH(B541,DE_Lookups!$A$2:$A$4,0)),1)</f>
        <v>0.6</v>
      </c>
      <c r="D575">
        <f>IF(OR(D541="Air conditioning",D541="Heat pump (heating &amp; cooling)"),IF(DE_Base_Profile!K23=1,N542,1),1)*IF(OR(D541="Electric heating",D541="Heat pump (heating &amp; cooling)"),IF(DE_Base_Profile!L23=1,P542,1),1)</f>
        <v>1</v>
      </c>
      <c r="E575">
        <f t="shared" si="37"/>
        <v>0.0321</v>
      </c>
      <c r="F575">
        <f t="shared" si="38"/>
        <v>0.0388713974327924</v>
      </c>
      <c r="G575">
        <f>((L541+D542)/365)*F575</f>
        <v>0.372739427437736</v>
      </c>
      <c r="H575">
        <f>INDEX(DE_Base_Profile!$N$6:$Q$29,ROW()-557,MATCH(J541,DE_Base_Profile!$N$5:$Q$5,0))</f>
        <v>0</v>
      </c>
      <c r="I575">
        <f>(F542/365)*H575</f>
        <v>0</v>
      </c>
      <c r="J575">
        <f>(G575+I575)/(H542/365)</f>
        <v>0.0309204297760849</v>
      </c>
    </row>
    <row r="576" spans="1:10">
      <c r="A576">
        <f>DE_Base_Profile!H24</f>
        <v>18</v>
      </c>
      <c r="B576">
        <f>DE_Base_Profile!I24</f>
        <v>0.0587</v>
      </c>
      <c r="C576">
        <f>IF(DE_Base_Profile!J24=1,INDEX(DE_Lookups!$B$2:$B$4,MATCH(B541,DE_Lookups!$A$2:$A$4,0)),1)</f>
        <v>1</v>
      </c>
      <c r="D576">
        <f>IF(OR(D541="Air conditioning",D541="Heat pump (heating &amp; cooling)"),IF(DE_Base_Profile!K24=1,N542,1),1)*IF(OR(D541="Electric heating",D541="Heat pump (heating &amp; cooling)"),IF(DE_Base_Profile!L24=1,P542,1),1)</f>
        <v>1</v>
      </c>
      <c r="E576">
        <f t="shared" si="37"/>
        <v>0.0587</v>
      </c>
      <c r="F576">
        <f t="shared" si="38"/>
        <v>0.0710825865827077</v>
      </c>
      <c r="G576">
        <f>((L541+D542)/365)*F576</f>
        <v>0.681613843943772</v>
      </c>
      <c r="H576">
        <f>INDEX(DE_Base_Profile!$N$6:$Q$29,ROW()-557,MATCH(J541,DE_Base_Profile!$N$5:$Q$5,0))</f>
        <v>0</v>
      </c>
      <c r="I576">
        <f>(F542/365)*H576</f>
        <v>0</v>
      </c>
      <c r="J576">
        <f>(G576+I576)/(H542/365)</f>
        <v>0.0565429665998811</v>
      </c>
    </row>
    <row r="577" spans="1:16">
      <c r="A577">
        <f>DE_Base_Profile!H25</f>
        <v>19</v>
      </c>
      <c r="B577">
        <f>DE_Base_Profile!I25</f>
        <v>0.0591</v>
      </c>
      <c r="C577">
        <f>IF(DE_Base_Profile!J25=1,INDEX(DE_Lookups!$B$2:$B$4,MATCH(B541,DE_Lookups!$A$2:$A$4,0)),1)</f>
        <v>1</v>
      </c>
      <c r="D577">
        <f>IF(OR(D541="Air conditioning",D541="Heat pump (heating &amp; cooling)"),IF(DE_Base_Profile!K25=1,N542,1),1)*IF(OR(D541="Electric heating",D541="Heat pump (heating &amp; cooling)"),IF(DE_Base_Profile!L25=1,P542,1),1)</f>
        <v>1</v>
      </c>
      <c r="E577">
        <f t="shared" si="37"/>
        <v>0.0591</v>
      </c>
      <c r="F577">
        <f t="shared" si="38"/>
        <v>0.0715669653669169</v>
      </c>
      <c r="G577">
        <f>((L541+D542)/365)*F577</f>
        <v>0.686258572011532</v>
      </c>
      <c r="H577">
        <f>INDEX(DE_Base_Profile!$N$6:$Q$29,ROW()-557,MATCH(J541,DE_Base_Profile!$N$5:$Q$5,0))</f>
        <v>0</v>
      </c>
      <c r="I577">
        <f>(F542/365)*H577</f>
        <v>0</v>
      </c>
      <c r="J577">
        <f>(G577+I577)/(H542/365)</f>
        <v>0.0569282679055021</v>
      </c>
    </row>
    <row r="578" spans="1:16">
      <c r="A578">
        <f>DE_Base_Profile!H26</f>
        <v>20</v>
      </c>
      <c r="B578">
        <f>DE_Base_Profile!I26</f>
        <v>0.0556</v>
      </c>
      <c r="C578">
        <f>IF(DE_Base_Profile!J26=1,INDEX(DE_Lookups!$B$2:$B$4,MATCH(B541,DE_Lookups!$A$2:$A$4,0)),1)</f>
        <v>1</v>
      </c>
      <c r="D578">
        <f>IF(OR(D541="Air conditioning",D541="Heat pump (heating &amp; cooling)"),IF(DE_Base_Profile!K26=1,N542,1),1)*IF(OR(D541="Electric heating",D541="Heat pump (heating &amp; cooling)"),IF(DE_Base_Profile!L26=1,P542,1),1)</f>
        <v>1</v>
      </c>
      <c r="E578">
        <f t="shared" si="37"/>
        <v>0.0556</v>
      </c>
      <c r="F578">
        <f t="shared" si="38"/>
        <v>0.067328651005086</v>
      </c>
      <c r="G578">
        <f>((L541+D542)/365)*F578</f>
        <v>0.645617201418633</v>
      </c>
      <c r="H578">
        <f>INDEX(DE_Base_Profile!$N$6:$Q$29,ROW()-557,MATCH(J541,DE_Base_Profile!$N$5:$Q$5,0))</f>
        <v>0</v>
      </c>
      <c r="I578">
        <f>(F542/365)*H578</f>
        <v>0</v>
      </c>
      <c r="J578">
        <f>(G578+I578)/(H542/365)</f>
        <v>0.0535568814813184</v>
      </c>
    </row>
    <row r="579" spans="1:16">
      <c r="A579">
        <f>DE_Base_Profile!H27</f>
        <v>21</v>
      </c>
      <c r="B579">
        <f>DE_Base_Profile!I27</f>
        <v>0.0508</v>
      </c>
      <c r="C579">
        <f>IF(DE_Base_Profile!J27=1,INDEX(DE_Lookups!$B$2:$B$4,MATCH(B541,DE_Lookups!$A$2:$A$4,0)),1)</f>
        <v>1</v>
      </c>
      <c r="D579">
        <f>IF(OR(D541="Air conditioning",D541="Heat pump (heating &amp; cooling)"),IF(DE_Base_Profile!K27=1,N542,1),1)*IF(OR(D541="Electric heating",D541="Heat pump (heating &amp; cooling)"),IF(DE_Base_Profile!L27=1,P542,1),1)</f>
        <v>1</v>
      </c>
      <c r="E579">
        <f t="shared" si="37"/>
        <v>0.0508</v>
      </c>
      <c r="F579">
        <f t="shared" si="38"/>
        <v>0.061516105594575</v>
      </c>
      <c r="G579">
        <f>((L541+D542)/365)*F579</f>
        <v>0.589880464605513</v>
      </c>
      <c r="H579">
        <f>INDEX(DE_Base_Profile!$N$6:$Q$29,ROW()-557,MATCH(J541,DE_Base_Profile!$N$5:$Q$5,0))</f>
        <v>0</v>
      </c>
      <c r="I579">
        <f>(F542/365)*H579</f>
        <v>0</v>
      </c>
      <c r="J579">
        <f>(G579+I579)/(H542/365)</f>
        <v>0.0489332658138664</v>
      </c>
    </row>
    <row r="580" spans="1:16">
      <c r="A580">
        <f>DE_Base_Profile!H28</f>
        <v>22</v>
      </c>
      <c r="B580">
        <f>DE_Base_Profile!I28</f>
        <v>0.0451</v>
      </c>
      <c r="C580">
        <f>IF(DE_Base_Profile!J28=1,INDEX(DE_Lookups!$B$2:$B$4,MATCH(B541,DE_Lookups!$A$2:$A$4,0)),1)</f>
        <v>1</v>
      </c>
      <c r="D580">
        <f>IF(OR(D541="Air conditioning",D541="Heat pump (heating &amp; cooling)"),IF(DE_Base_Profile!K28=1,N542,1),1)*IF(OR(D541="Electric heating",D541="Heat pump (heating &amp; cooling)"),IF(DE_Base_Profile!L28=1,P542,1),1)</f>
        <v>1</v>
      </c>
      <c r="E580">
        <f t="shared" si="37"/>
        <v>0.0451</v>
      </c>
      <c r="F580">
        <f t="shared" si="38"/>
        <v>0.0546137079195931</v>
      </c>
      <c r="G580">
        <f>((L541+D542)/365)*F580</f>
        <v>0.523693089639934</v>
      </c>
      <c r="H580">
        <f>INDEX(DE_Base_Profile!$N$6:$Q$29,ROW()-557,MATCH(J541,DE_Base_Profile!$N$5:$Q$5,0))</f>
        <v>0.125</v>
      </c>
      <c r="I580">
        <f>(F542/365)*H580</f>
        <v>0.308219178082192</v>
      </c>
      <c r="J580">
        <f>(G580+I580)/(H542/365)</f>
        <v>0.0690109040269491</v>
      </c>
    </row>
    <row r="581" spans="1:16">
      <c r="A581">
        <f>DE_Base_Profile!H29</f>
        <v>23</v>
      </c>
      <c r="B581">
        <f>DE_Base_Profile!I29</f>
        <v>0.0366</v>
      </c>
      <c r="C581">
        <f>IF(DE_Base_Profile!J29=1,INDEX(DE_Lookups!$B$2:$B$4,MATCH(B541,DE_Lookups!$A$2:$A$4,0)),1)</f>
        <v>1</v>
      </c>
      <c r="D581">
        <f>IF(OR(D541="Air conditioning",D541="Heat pump (heating &amp; cooling)"),IF(DE_Base_Profile!K29=1,N542,1),1)*IF(OR(D541="Electric heating",D541="Heat pump (heating &amp; cooling)"),IF(DE_Base_Profile!L29=1,P542,1),1)</f>
        <v>1</v>
      </c>
      <c r="E581">
        <f t="shared" si="37"/>
        <v>0.0366</v>
      </c>
      <c r="F581">
        <f t="shared" si="38"/>
        <v>0.0443206587551465</v>
      </c>
      <c r="G581">
        <f>((L541+D542)/365)*F581</f>
        <v>0.424992618200035</v>
      </c>
      <c r="H581">
        <f>INDEX(DE_Base_Profile!$N$6:$Q$29,ROW()-557,MATCH(J541,DE_Base_Profile!$N$5:$Q$5,0))</f>
        <v>0.125</v>
      </c>
      <c r="I581">
        <f>(F542/365)*H581</f>
        <v>0.308219178082192</v>
      </c>
      <c r="J581">
        <f>(G581+I581)/(H542/365)</f>
        <v>0.0608232512825029</v>
      </c>
    </row>
    <row r="586" spans="1:16">
      <c r="A586" t="s">
        <v>51</v>
      </c>
      <c r="B586" t="str">
        <f>DE_Option_Monthly!C17</f>
        <v>Mostly away during the day</v>
      </c>
      <c r="C586" t="s">
        <v>188</v>
      </c>
      <c r="D586" t="str">
        <f>DE_Option_Monthly!D17</f>
        <v>No heating or cooling system</v>
      </c>
      <c r="E586" t="s">
        <v>68</v>
      </c>
      <c r="F586" t="str">
        <f>DE_Option_Monthly!E17</f>
        <v>Medium</v>
      </c>
      <c r="G586" t="s">
        <v>98</v>
      </c>
      <c r="H586" t="str">
        <f>DE_Option_Monthly!F17</f>
        <v>10,000 km</v>
      </c>
      <c r="I586" t="s">
        <v>289</v>
      </c>
      <c r="J586" t="str">
        <f>DE_Option_Monthly!G17</f>
        <v>Mostly overnight</v>
      </c>
      <c r="K586" t="s">
        <v>290</v>
      </c>
      <c r="L586">
        <f>DE_Option_Monthly!$B$1</f>
        <v>3500</v>
      </c>
    </row>
    <row r="587" spans="1:16">
      <c r="A587" t="s">
        <v>291</v>
      </c>
      <c r="B587">
        <f>INDEX(DE_Lookups!$E$2:$E$5,MATCH(F586,DE_Lookups!$D$2:$D$5,0))</f>
        <v>1</v>
      </c>
      <c r="C587" t="s">
        <v>292</v>
      </c>
      <c r="D587">
        <f>IF(OR(D586="Electric heating",D586="Heat pump (heating &amp; cooling)"),INDEX(DE_Lookups!$L$2:$L$5,MATCH(D586,DE_Lookups!$K$2:$K$5,0))*B587,0)</f>
        <v>0</v>
      </c>
      <c r="E587" t="s">
        <v>293</v>
      </c>
      <c r="F587">
        <f>INDEX(DE_Lookups!$O$2:$O$7,MATCH(H586,DE_Lookups!$N$2:$N$7,0))*0.18</f>
        <v>1800</v>
      </c>
      <c r="G587" t="s">
        <v>294</v>
      </c>
      <c r="H587">
        <f>L586+D587+F587</f>
        <v>5300</v>
      </c>
      <c r="I587" t="s">
        <v>295</v>
      </c>
      <c r="J587">
        <f>INDEX(DE_Lookups!$F$2:$F$5,MATCH(F586,DE_Lookups!$D$2:$D$5,0))</f>
        <v>1.1</v>
      </c>
      <c r="K587" t="s">
        <v>296</v>
      </c>
      <c r="L587">
        <f>INDEX(DE_Lookups!$G$2:$G$5,MATCH(F586,DE_Lookups!$D$2:$D$5,0))</f>
        <v>1.15</v>
      </c>
      <c r="M587" t="s">
        <v>297</v>
      </c>
      <c r="N587">
        <f>INDEX(DE_Lookups!$H$2:$H$5,MATCH(F586,DE_Lookups!$D$2:$D$5,0))</f>
        <v>1.2</v>
      </c>
      <c r="O587" t="s">
        <v>298</v>
      </c>
      <c r="P587">
        <f>INDEX(DE_Lookups!$I$2:$I$5,MATCH(F586,DE_Lookups!$D$2:$D$5,0))</f>
        <v>1.15</v>
      </c>
    </row>
    <row r="589" spans="1:16">
      <c r="A589" t="str">
        <f>DE_Base_Profile!A6</f>
        <v>1月</v>
      </c>
      <c r="B589">
        <f>DE_Base_Profile!B6</f>
        <v>0.0789</v>
      </c>
      <c r="C589">
        <f>L586*B589</f>
        <v>276.15</v>
      </c>
      <c r="D589">
        <f>1+IF(OR(D586="Air conditioning",D586="Heat pump (heating &amp; cooling)"),IF(DE_Base_Profile!D6=1,J587-1,0),0)+IF(OR(D586="Electric heating",D586="Heat pump (heating &amp; cooling)"),IF(DE_Base_Profile!E6=1,L587-1,0),0)</f>
        <v>1</v>
      </c>
      <c r="E589">
        <f t="shared" ref="E589:E600" si="39">C589*D589</f>
        <v>276.15</v>
      </c>
      <c r="F589">
        <f>IF(D586="Electric heating",IF(DE_Base_Profile!E6=1,B589*L587,0),IF(D586="Heat pump (heating &amp; cooling)",IF(DE_Base_Profile!D6=1,B589*J587,0)+IF(DE_Base_Profile!E6=1,B589*L587,0),0))</f>
        <v>0</v>
      </c>
      <c r="G589">
        <f>IF(SUM($F$589:$F$600)=0,0,D587*F589/SUM($F$589:$F$600))</f>
        <v>0</v>
      </c>
      <c r="H589">
        <f>F587/12</f>
        <v>150</v>
      </c>
      <c r="I589">
        <f>E589/SUM($E$589:$E$600)*L586+G589+H589</f>
        <v>426.15</v>
      </c>
      <c r="J589">
        <f>I589/H587</f>
        <v>0.0804056603773585</v>
      </c>
    </row>
    <row r="590" spans="1:16">
      <c r="A590" t="str">
        <f>DE_Base_Profile!A7</f>
        <v>2月</v>
      </c>
      <c r="B590">
        <f>DE_Base_Profile!B7</f>
        <v>0.0791</v>
      </c>
      <c r="C590">
        <f>L586*B590</f>
        <v>276.85</v>
      </c>
      <c r="D590">
        <f>1+IF(OR(D586="Air conditioning",D586="Heat pump (heating &amp; cooling)"),IF(DE_Base_Profile!D7=1,J587-1,0),0)+IF(OR(D586="Electric heating",D586="Heat pump (heating &amp; cooling)"),IF(DE_Base_Profile!E7=1,L587-1,0),0)</f>
        <v>1</v>
      </c>
      <c r="E590">
        <f t="shared" si="39"/>
        <v>276.85</v>
      </c>
      <c r="F590">
        <f>IF(D586="Electric heating",IF(DE_Base_Profile!E7=1,B590*L587,0),IF(D586="Heat pump (heating &amp; cooling)",IF(DE_Base_Profile!D7=1,B590*J587,0)+IF(DE_Base_Profile!E7=1,B590*L587,0),0))</f>
        <v>0</v>
      </c>
      <c r="G590">
        <f>IF(SUM($F$589:$F$600)=0,0,D587*F590/SUM($F$589:$F$600))</f>
        <v>0</v>
      </c>
      <c r="H590">
        <f>F587/12</f>
        <v>150</v>
      </c>
      <c r="I590">
        <f>E590/SUM($E$589:$E$600)*L586+G590+H590</f>
        <v>426.85</v>
      </c>
      <c r="J590">
        <f>I590/H587</f>
        <v>0.0805377358490566</v>
      </c>
    </row>
    <row r="591" spans="1:16">
      <c r="A591" t="str">
        <f>DE_Base_Profile!A8</f>
        <v>3月</v>
      </c>
      <c r="B591">
        <f>DE_Base_Profile!B8</f>
        <v>0.0773</v>
      </c>
      <c r="C591">
        <f>L586*B591</f>
        <v>270.55</v>
      </c>
      <c r="D591">
        <f>1+IF(OR(D586="Air conditioning",D586="Heat pump (heating &amp; cooling)"),IF(DE_Base_Profile!D8=1,J587-1,0),0)+IF(OR(D586="Electric heating",D586="Heat pump (heating &amp; cooling)"),IF(DE_Base_Profile!E8=1,L587-1,0),0)</f>
        <v>1</v>
      </c>
      <c r="E591">
        <f t="shared" si="39"/>
        <v>270.55</v>
      </c>
      <c r="F591">
        <f>IF(D586="Electric heating",IF(DE_Base_Profile!E8=1,B591*L587,0),IF(D586="Heat pump (heating &amp; cooling)",IF(DE_Base_Profile!D8=1,B591*J587,0)+IF(DE_Base_Profile!E8=1,B591*L587,0),0))</f>
        <v>0</v>
      </c>
      <c r="G591">
        <f>IF(SUM($F$589:$F$600)=0,0,D587*F591/SUM($F$589:$F$600))</f>
        <v>0</v>
      </c>
      <c r="H591">
        <f>F587/12</f>
        <v>150</v>
      </c>
      <c r="I591">
        <f>E591/SUM($E$589:$E$600)*L586+G591+H591</f>
        <v>420.55</v>
      </c>
      <c r="J591">
        <f>I591/H587</f>
        <v>0.0793490566037736</v>
      </c>
    </row>
    <row r="592" spans="1:16">
      <c r="A592" t="str">
        <f>DE_Base_Profile!A9</f>
        <v>4月</v>
      </c>
      <c r="B592">
        <f>DE_Base_Profile!B9</f>
        <v>0.0822</v>
      </c>
      <c r="C592">
        <f>L586*B592</f>
        <v>287.7</v>
      </c>
      <c r="D592">
        <f>1+IF(OR(D586="Air conditioning",D586="Heat pump (heating &amp; cooling)"),IF(DE_Base_Profile!D9=1,J587-1,0),0)+IF(OR(D586="Electric heating",D586="Heat pump (heating &amp; cooling)"),IF(DE_Base_Profile!E9=1,L587-1,0),0)</f>
        <v>1</v>
      </c>
      <c r="E592">
        <f t="shared" si="39"/>
        <v>287.7</v>
      </c>
      <c r="F592">
        <f>IF(D586="Electric heating",IF(DE_Base_Profile!E9=1,B592*L587,0),IF(D586="Heat pump (heating &amp; cooling)",IF(DE_Base_Profile!D9=1,B592*J587,0)+IF(DE_Base_Profile!E9=1,B592*L587,0),0))</f>
        <v>0</v>
      </c>
      <c r="G592">
        <f>IF(SUM($F$589:$F$600)=0,0,D587*F592/SUM($F$589:$F$600))</f>
        <v>0</v>
      </c>
      <c r="H592">
        <f>F587/12</f>
        <v>150</v>
      </c>
      <c r="I592">
        <f>E592/SUM($E$589:$E$600)*L586+G592+H592</f>
        <v>437.7</v>
      </c>
      <c r="J592">
        <f>I592/H587</f>
        <v>0.0825849056603773</v>
      </c>
    </row>
    <row r="593" spans="1:10">
      <c r="A593" t="str">
        <f>DE_Base_Profile!A10</f>
        <v>5月</v>
      </c>
      <c r="B593">
        <f>DE_Base_Profile!B10</f>
        <v>0.0839</v>
      </c>
      <c r="C593">
        <f>L586*B593</f>
        <v>293.65</v>
      </c>
      <c r="D593">
        <f>1+IF(OR(D586="Air conditioning",D586="Heat pump (heating &amp; cooling)"),IF(DE_Base_Profile!D10=1,J587-1,0),0)+IF(OR(D586="Electric heating",D586="Heat pump (heating &amp; cooling)"),IF(DE_Base_Profile!E10=1,L587-1,0),0)</f>
        <v>1</v>
      </c>
      <c r="E593">
        <f t="shared" si="39"/>
        <v>293.65</v>
      </c>
      <c r="F593">
        <f>IF(D586="Electric heating",IF(DE_Base_Profile!E10=1,B593*L587,0),IF(D586="Heat pump (heating &amp; cooling)",IF(DE_Base_Profile!D10=1,B593*J587,0)+IF(DE_Base_Profile!E10=1,B593*L587,0),0))</f>
        <v>0</v>
      </c>
      <c r="G593">
        <f>IF(SUM($F$589:$F$600)=0,0,D587*F593/SUM($F$589:$F$600))</f>
        <v>0</v>
      </c>
      <c r="H593">
        <f>F587/12</f>
        <v>150</v>
      </c>
      <c r="I593">
        <f>E593/SUM($E$589:$E$600)*L586+G593+H593</f>
        <v>443.65</v>
      </c>
      <c r="J593">
        <f>I593/H587</f>
        <v>0.0837075471698113</v>
      </c>
    </row>
    <row r="594" spans="1:10">
      <c r="A594" t="str">
        <f>DE_Base_Profile!A11</f>
        <v>6月</v>
      </c>
      <c r="B594">
        <f>DE_Base_Profile!B11</f>
        <v>0.0876</v>
      </c>
      <c r="C594">
        <f>L586*B594</f>
        <v>306.6</v>
      </c>
      <c r="D594">
        <f>1+IF(OR(D586="Air conditioning",D586="Heat pump (heating &amp; cooling)"),IF(DE_Base_Profile!D11=1,J587-1,0),0)+IF(OR(D586="Electric heating",D586="Heat pump (heating &amp; cooling)"),IF(DE_Base_Profile!E11=1,L587-1,0),0)</f>
        <v>1</v>
      </c>
      <c r="E594">
        <f t="shared" si="39"/>
        <v>306.6</v>
      </c>
      <c r="F594">
        <f>IF(D586="Electric heating",IF(DE_Base_Profile!E11=1,B594*L587,0),IF(D586="Heat pump (heating &amp; cooling)",IF(DE_Base_Profile!D11=1,B594*J587,0)+IF(DE_Base_Profile!E11=1,B594*L587,0),0))</f>
        <v>0</v>
      </c>
      <c r="G594">
        <f>IF(SUM($F$589:$F$600)=0,0,D587*F594/SUM($F$589:$F$600))</f>
        <v>0</v>
      </c>
      <c r="H594">
        <f>F587/12</f>
        <v>150</v>
      </c>
      <c r="I594">
        <f>E594/SUM($E$589:$E$600)*L586+G594+H594</f>
        <v>456.6</v>
      </c>
      <c r="J594">
        <f>I594/H587</f>
        <v>0.0861509433962264</v>
      </c>
    </row>
    <row r="595" spans="1:10">
      <c r="A595" t="str">
        <f>DE_Base_Profile!A12</f>
        <v>7月</v>
      </c>
      <c r="B595">
        <f>DE_Base_Profile!B12</f>
        <v>0.0917</v>
      </c>
      <c r="C595">
        <f>L586*B595</f>
        <v>320.95</v>
      </c>
      <c r="D595">
        <f>1+IF(OR(D586="Air conditioning",D586="Heat pump (heating &amp; cooling)"),IF(DE_Base_Profile!D12=1,J587-1,0),0)+IF(OR(D586="Electric heating",D586="Heat pump (heating &amp; cooling)"),IF(DE_Base_Profile!E12=1,L587-1,0),0)</f>
        <v>1</v>
      </c>
      <c r="E595">
        <f t="shared" si="39"/>
        <v>320.95</v>
      </c>
      <c r="F595">
        <f>IF(D586="Electric heating",IF(DE_Base_Profile!E12=1,B595*L587,0),IF(D586="Heat pump (heating &amp; cooling)",IF(DE_Base_Profile!D12=1,B595*J587,0)+IF(DE_Base_Profile!E12=1,B595*L587,0),0))</f>
        <v>0</v>
      </c>
      <c r="G595">
        <f>IF(SUM($F$589:$F$600)=0,0,D587*F595/SUM($F$589:$F$600))</f>
        <v>0</v>
      </c>
      <c r="H595">
        <f>F587/12</f>
        <v>150</v>
      </c>
      <c r="I595">
        <f>E595/SUM($E$589:$E$600)*L586+G595+H595</f>
        <v>470.95</v>
      </c>
      <c r="J595">
        <f>I595/H587</f>
        <v>0.0888584905660377</v>
      </c>
    </row>
    <row r="596" spans="1:10">
      <c r="A596" t="str">
        <f>DE_Base_Profile!A13</f>
        <v>8月</v>
      </c>
      <c r="B596">
        <f>DE_Base_Profile!B13</f>
        <v>0.0887</v>
      </c>
      <c r="C596">
        <f>L586*B596</f>
        <v>310.45</v>
      </c>
      <c r="D596">
        <f>1+IF(OR(D586="Air conditioning",D586="Heat pump (heating &amp; cooling)"),IF(DE_Base_Profile!D13=1,J587-1,0),0)+IF(OR(D586="Electric heating",D586="Heat pump (heating &amp; cooling)"),IF(DE_Base_Profile!E13=1,L587-1,0),0)</f>
        <v>1</v>
      </c>
      <c r="E596">
        <f t="shared" si="39"/>
        <v>310.45</v>
      </c>
      <c r="F596">
        <f>IF(D586="Electric heating",IF(DE_Base_Profile!E13=1,B596*L587,0),IF(D586="Heat pump (heating &amp; cooling)",IF(DE_Base_Profile!D13=1,B596*J587,0)+IF(DE_Base_Profile!E13=1,B596*L587,0),0))</f>
        <v>0</v>
      </c>
      <c r="G596">
        <f>IF(SUM($F$589:$F$600)=0,0,D587*F596/SUM($F$589:$F$600))</f>
        <v>0</v>
      </c>
      <c r="H596">
        <f>F587/12</f>
        <v>150</v>
      </c>
      <c r="I596">
        <f>E596/SUM($E$589:$E$600)*L586+G596+H596</f>
        <v>460.45</v>
      </c>
      <c r="J596">
        <f>I596/H587</f>
        <v>0.086877358490566</v>
      </c>
    </row>
    <row r="597" spans="1:10">
      <c r="A597" t="str">
        <f>DE_Base_Profile!A14</f>
        <v>9月</v>
      </c>
      <c r="B597">
        <f>DE_Base_Profile!B14</f>
        <v>0.0853</v>
      </c>
      <c r="C597">
        <f>L586*B597</f>
        <v>298.55</v>
      </c>
      <c r="D597">
        <f>1+IF(OR(D586="Air conditioning",D586="Heat pump (heating &amp; cooling)"),IF(DE_Base_Profile!D14=1,J587-1,0),0)+IF(OR(D586="Electric heating",D586="Heat pump (heating &amp; cooling)"),IF(DE_Base_Profile!E14=1,L587-1,0),0)</f>
        <v>1</v>
      </c>
      <c r="E597">
        <f t="shared" si="39"/>
        <v>298.55</v>
      </c>
      <c r="F597">
        <f>IF(D586="Electric heating",IF(DE_Base_Profile!E14=1,B597*L587,0),IF(D586="Heat pump (heating &amp; cooling)",IF(DE_Base_Profile!D14=1,B597*J587,0)+IF(DE_Base_Profile!E14=1,B597*L587,0),0))</f>
        <v>0</v>
      </c>
      <c r="G597">
        <f>IF(SUM($F$589:$F$600)=0,0,D587*F597/SUM($F$589:$F$600))</f>
        <v>0</v>
      </c>
      <c r="H597">
        <f>F587/12</f>
        <v>150</v>
      </c>
      <c r="I597">
        <f>E597/SUM($E$589:$E$600)*L586+G597+H597</f>
        <v>448.55</v>
      </c>
      <c r="J597">
        <f>I597/H587</f>
        <v>0.0846320754716981</v>
      </c>
    </row>
    <row r="598" spans="1:10">
      <c r="A598" t="str">
        <f>DE_Base_Profile!A15</f>
        <v>10月</v>
      </c>
      <c r="B598">
        <f>DE_Base_Profile!B15</f>
        <v>0.0838</v>
      </c>
      <c r="C598">
        <f>L586*B598</f>
        <v>293.3</v>
      </c>
      <c r="D598">
        <f>1+IF(OR(D586="Air conditioning",D586="Heat pump (heating &amp; cooling)"),IF(DE_Base_Profile!D15=1,J587-1,0),0)+IF(OR(D586="Electric heating",D586="Heat pump (heating &amp; cooling)"),IF(DE_Base_Profile!E15=1,L587-1,0),0)</f>
        <v>1</v>
      </c>
      <c r="E598">
        <f t="shared" si="39"/>
        <v>293.3</v>
      </c>
      <c r="F598">
        <f>IF(D586="Electric heating",IF(DE_Base_Profile!E15=1,B598*L587,0),IF(D586="Heat pump (heating &amp; cooling)",IF(DE_Base_Profile!D15=1,B598*J587,0)+IF(DE_Base_Profile!E15=1,B598*L587,0),0))</f>
        <v>0</v>
      </c>
      <c r="G598">
        <f>IF(SUM($F$589:$F$600)=0,0,D587*F598/SUM($F$589:$F$600))</f>
        <v>0</v>
      </c>
      <c r="H598">
        <f>F587/12</f>
        <v>150</v>
      </c>
      <c r="I598">
        <f>E598/SUM($E$589:$E$600)*L586+G598+H598</f>
        <v>443.3</v>
      </c>
      <c r="J598">
        <f>I598/H587</f>
        <v>0.0836415094339623</v>
      </c>
    </row>
    <row r="599" spans="1:10">
      <c r="A599" t="str">
        <f>DE_Base_Profile!A16</f>
        <v>11月</v>
      </c>
      <c r="B599">
        <f>DE_Base_Profile!B16</f>
        <v>0.0819</v>
      </c>
      <c r="C599">
        <f>L586*B599</f>
        <v>286.65</v>
      </c>
      <c r="D599">
        <f>1+IF(OR(D586="Air conditioning",D586="Heat pump (heating &amp; cooling)"),IF(DE_Base_Profile!D16=1,J587-1,0),0)+IF(OR(D586="Electric heating",D586="Heat pump (heating &amp; cooling)"),IF(DE_Base_Profile!E16=1,L587-1,0),0)</f>
        <v>1</v>
      </c>
      <c r="E599">
        <f t="shared" si="39"/>
        <v>286.65</v>
      </c>
      <c r="F599">
        <f>IF(D586="Electric heating",IF(DE_Base_Profile!E16=1,B599*L587,0),IF(D586="Heat pump (heating &amp; cooling)",IF(DE_Base_Profile!D16=1,B599*J587,0)+IF(DE_Base_Profile!E16=1,B599*L587,0),0))</f>
        <v>0</v>
      </c>
      <c r="G599">
        <f>IF(SUM($F$589:$F$600)=0,0,D587*F599/SUM($F$589:$F$600))</f>
        <v>0</v>
      </c>
      <c r="H599">
        <f>F587/12</f>
        <v>150</v>
      </c>
      <c r="I599">
        <f>E599/SUM($E$589:$E$600)*L586+G599+H599</f>
        <v>436.65</v>
      </c>
      <c r="J599">
        <f>I599/H587</f>
        <v>0.0823867924528302</v>
      </c>
    </row>
    <row r="600" spans="1:10">
      <c r="A600" t="str">
        <f>DE_Base_Profile!A17</f>
        <v>12月</v>
      </c>
      <c r="B600">
        <f>DE_Base_Profile!B17</f>
        <v>0.0796</v>
      </c>
      <c r="C600">
        <f>L586*B600</f>
        <v>278.6</v>
      </c>
      <c r="D600">
        <f>1+IF(OR(D586="Air conditioning",D586="Heat pump (heating &amp; cooling)"),IF(DE_Base_Profile!D17=1,J587-1,0),0)+IF(OR(D586="Electric heating",D586="Heat pump (heating &amp; cooling)"),IF(DE_Base_Profile!E17=1,L587-1,0),0)</f>
        <v>1</v>
      </c>
      <c r="E600">
        <f t="shared" si="39"/>
        <v>278.6</v>
      </c>
      <c r="F600">
        <f>IF(D586="Electric heating",IF(DE_Base_Profile!E17=1,B600*L587,0),IF(D586="Heat pump (heating &amp; cooling)",IF(DE_Base_Profile!D17=1,B600*J587,0)+IF(DE_Base_Profile!E17=1,B600*L587,0),0))</f>
        <v>0</v>
      </c>
      <c r="G600">
        <f>IF(SUM($F$589:$F$600)=0,0,D587*F600/SUM($F$589:$F$600))</f>
        <v>0</v>
      </c>
      <c r="H600">
        <f>F587/12</f>
        <v>150</v>
      </c>
      <c r="I600">
        <f>E600/SUM($E$589:$E$600)*L586+G600+H600</f>
        <v>428.6</v>
      </c>
      <c r="J600">
        <f>I600/H587</f>
        <v>0.0808679245283019</v>
      </c>
    </row>
    <row r="603" spans="1:10">
      <c r="A603">
        <f>DE_Base_Profile!H6</f>
        <v>0</v>
      </c>
      <c r="B603">
        <f>DE_Base_Profile!I6</f>
        <v>0.0301</v>
      </c>
      <c r="C603">
        <f>IF(DE_Base_Profile!J6=1,INDEX(DE_Lookups!$B$2:$B$4,MATCH(B586,DE_Lookups!$A$2:$A$4,0)),1)</f>
        <v>1</v>
      </c>
      <c r="D603">
        <f>IF(OR(D586="Air conditioning",D586="Heat pump (heating &amp; cooling)"),IF(DE_Base_Profile!K6=1,N587,1),1)*IF(OR(D586="Electric heating",D586="Heat pump (heating &amp; cooling)"),IF(DE_Base_Profile!L6=1,P587,1),1)</f>
        <v>1</v>
      </c>
      <c r="E603">
        <f t="shared" ref="E603:E626" si="40">B603*C603*D603</f>
        <v>0.0301</v>
      </c>
      <c r="F603">
        <f t="shared" ref="F603:F626" si="41">E603/SUM($E$603:$E$626)</f>
        <v>0.0364495035117462</v>
      </c>
      <c r="G603">
        <f>((L586+D587)/365)*F603</f>
        <v>0.349515787098936</v>
      </c>
      <c r="H603">
        <f>INDEX(DE_Base_Profile!$N$6:$Q$29,ROW()-602,MATCH(J586,DE_Base_Profile!$N$5:$Q$5,0))</f>
        <v>0.125</v>
      </c>
      <c r="I603">
        <f>(F587/365)*H603</f>
        <v>0.616438356164384</v>
      </c>
      <c r="J603">
        <f>(G603+I603)/(H587/365)</f>
        <v>0.0665232570360588</v>
      </c>
    </row>
    <row r="604" spans="1:10">
      <c r="A604">
        <f>DE_Base_Profile!H7</f>
        <v>1</v>
      </c>
      <c r="B604">
        <f>DE_Base_Profile!I7</f>
        <v>0.0258</v>
      </c>
      <c r="C604">
        <f>IF(DE_Base_Profile!J7=1,INDEX(DE_Lookups!$B$2:$B$4,MATCH(B586,DE_Lookups!$A$2:$A$4,0)),1)</f>
        <v>1</v>
      </c>
      <c r="D604">
        <f>IF(OR(D586="Air conditioning",D586="Heat pump (heating &amp; cooling)"),IF(DE_Base_Profile!K7=1,N587,1),1)*IF(OR(D586="Electric heating",D586="Heat pump (heating &amp; cooling)"),IF(DE_Base_Profile!L7=1,P587,1),1)</f>
        <v>1</v>
      </c>
      <c r="E604">
        <f t="shared" si="40"/>
        <v>0.0258</v>
      </c>
      <c r="F604">
        <f t="shared" si="41"/>
        <v>0.0312424315814967</v>
      </c>
      <c r="G604">
        <f>((L586+D587)/365)*F604</f>
        <v>0.299584960370517</v>
      </c>
      <c r="H604">
        <f>INDEX(DE_Base_Profile!$N$6:$Q$29,ROW()-602,MATCH(J586,DE_Base_Profile!$N$5:$Q$5,0))</f>
        <v>0.125</v>
      </c>
      <c r="I604">
        <f>(F587/365)*H604</f>
        <v>0.616438356164384</v>
      </c>
      <c r="J604">
        <f>(G604+I604)/(H587/365)</f>
        <v>0.0630846246292903</v>
      </c>
    </row>
    <row r="605" spans="1:10">
      <c r="A605">
        <f>DE_Base_Profile!H8</f>
        <v>2</v>
      </c>
      <c r="B605">
        <f>DE_Base_Profile!I8</f>
        <v>0.0239</v>
      </c>
      <c r="C605">
        <f>IF(DE_Base_Profile!J8=1,INDEX(DE_Lookups!$B$2:$B$4,MATCH(B586,DE_Lookups!$A$2:$A$4,0)),1)</f>
        <v>1</v>
      </c>
      <c r="D605">
        <f>IF(OR(D586="Air conditioning",D586="Heat pump (heating &amp; cooling)"),IF(DE_Base_Profile!K8=1,N587,1),1)*IF(OR(D586="Electric heating",D586="Heat pump (heating &amp; cooling)"),IF(DE_Base_Profile!L8=1,P587,1),1)</f>
        <v>1</v>
      </c>
      <c r="E605">
        <f t="shared" si="40"/>
        <v>0.0239</v>
      </c>
      <c r="F605">
        <f t="shared" si="41"/>
        <v>0.0289416323565028</v>
      </c>
      <c r="G605">
        <f>((L586+D587)/365)*F605</f>
        <v>0.277522502048657</v>
      </c>
      <c r="H605">
        <f>INDEX(DE_Base_Profile!$N$6:$Q$29,ROW()-602,MATCH(J586,DE_Base_Profile!$N$5:$Q$5,0))</f>
        <v>0.125</v>
      </c>
      <c r="I605">
        <f>(F587/365)*H605</f>
        <v>0.616438356164384</v>
      </c>
      <c r="J605">
        <f>(G605+I605)/(H587/365)</f>
        <v>0.0615652289146717</v>
      </c>
    </row>
    <row r="606" spans="1:10">
      <c r="A606">
        <f>DE_Base_Profile!H9</f>
        <v>3</v>
      </c>
      <c r="B606">
        <f>DE_Base_Profile!I9</f>
        <v>0.0232</v>
      </c>
      <c r="C606">
        <f>IF(DE_Base_Profile!J9=1,INDEX(DE_Lookups!$B$2:$B$4,MATCH(B586,DE_Lookups!$A$2:$A$4,0)),1)</f>
        <v>1</v>
      </c>
      <c r="D606">
        <f>IF(OR(D586="Air conditioning",D586="Heat pump (heating &amp; cooling)"),IF(DE_Base_Profile!K9=1,N587,1),1)*IF(OR(D586="Electric heating",D586="Heat pump (heating &amp; cooling)"),IF(DE_Base_Profile!L9=1,P587,1),1)</f>
        <v>1</v>
      </c>
      <c r="E606">
        <f t="shared" si="40"/>
        <v>0.0232</v>
      </c>
      <c r="F606">
        <f t="shared" si="41"/>
        <v>0.0280939694841366</v>
      </c>
      <c r="G606">
        <f>((L586+D587)/365)*F606</f>
        <v>0.269394227930077</v>
      </c>
      <c r="H606">
        <f>INDEX(DE_Base_Profile!$N$6:$Q$29,ROW()-602,MATCH(J586,DE_Base_Profile!$N$5:$Q$5,0))</f>
        <v>0.125</v>
      </c>
      <c r="I606">
        <f>(F587/365)*H606</f>
        <v>0.616438356164384</v>
      </c>
      <c r="J606">
        <f>(G606+I606)/(H587/365)</f>
        <v>0.0610054515461279</v>
      </c>
    </row>
    <row r="607" spans="1:10">
      <c r="A607">
        <f>DE_Base_Profile!H10</f>
        <v>4</v>
      </c>
      <c r="B607">
        <f>DE_Base_Profile!I10</f>
        <v>0.0236</v>
      </c>
      <c r="C607">
        <f>IF(DE_Base_Profile!J10=1,INDEX(DE_Lookups!$B$2:$B$4,MATCH(B586,DE_Lookups!$A$2:$A$4,0)),1)</f>
        <v>1</v>
      </c>
      <c r="D607">
        <f>IF(OR(D586="Air conditioning",D586="Heat pump (heating &amp; cooling)"),IF(DE_Base_Profile!K10=1,N587,1),1)*IF(OR(D586="Electric heating",D586="Heat pump (heating &amp; cooling)"),IF(DE_Base_Profile!L10=1,P587,1),1)</f>
        <v>1</v>
      </c>
      <c r="E607">
        <f t="shared" si="40"/>
        <v>0.0236</v>
      </c>
      <c r="F607">
        <f t="shared" si="41"/>
        <v>0.0285783482683458</v>
      </c>
      <c r="G607">
        <f>((L586+D587)/365)*F607</f>
        <v>0.274038955997837</v>
      </c>
      <c r="H607">
        <f>INDEX(DE_Base_Profile!$N$6:$Q$29,ROW()-602,MATCH(J586,DE_Base_Profile!$N$5:$Q$5,0))</f>
        <v>0.125</v>
      </c>
      <c r="I607">
        <f>(F587/365)*H607</f>
        <v>0.616438356164384</v>
      </c>
      <c r="J607">
        <f>(G607+I607)/(H587/365)</f>
        <v>0.0613253243281529</v>
      </c>
    </row>
    <row r="608" spans="1:10">
      <c r="A608">
        <f>DE_Base_Profile!H11</f>
        <v>5</v>
      </c>
      <c r="B608">
        <f>DE_Base_Profile!I11</f>
        <v>0.0252</v>
      </c>
      <c r="C608">
        <f>IF(DE_Base_Profile!J11=1,INDEX(DE_Lookups!$B$2:$B$4,MATCH(B586,DE_Lookups!$A$2:$A$4,0)),1)</f>
        <v>1</v>
      </c>
      <c r="D608">
        <f>IF(OR(D586="Air conditioning",D586="Heat pump (heating &amp; cooling)"),IF(DE_Base_Profile!K11=1,N587,1),1)*IF(OR(D586="Electric heating",D586="Heat pump (heating &amp; cooling)"),IF(DE_Base_Profile!L11=1,P587,1),1)</f>
        <v>1</v>
      </c>
      <c r="E608">
        <f t="shared" si="40"/>
        <v>0.0252</v>
      </c>
      <c r="F608">
        <f t="shared" si="41"/>
        <v>0.0305158634051829</v>
      </c>
      <c r="G608">
        <f>((L586+D587)/365)*F608</f>
        <v>0.292617868268877</v>
      </c>
      <c r="H608">
        <f>INDEX(DE_Base_Profile!$N$6:$Q$29,ROW()-602,MATCH(J586,DE_Base_Profile!$N$5:$Q$5,0))</f>
        <v>0.125</v>
      </c>
      <c r="I608">
        <f>(F587/365)*H608</f>
        <v>0.616438356164384</v>
      </c>
      <c r="J608">
        <f>(G608+I608)/(H587/365)</f>
        <v>0.0626048154562528</v>
      </c>
    </row>
    <row r="609" spans="1:10">
      <c r="A609">
        <f>DE_Base_Profile!H12</f>
        <v>6</v>
      </c>
      <c r="B609">
        <f>DE_Base_Profile!I12</f>
        <v>0.03</v>
      </c>
      <c r="C609">
        <f>IF(DE_Base_Profile!J12=1,INDEX(DE_Lookups!$B$2:$B$4,MATCH(B586,DE_Lookups!$A$2:$A$4,0)),1)</f>
        <v>1</v>
      </c>
      <c r="D609">
        <f>IF(OR(D586="Air conditioning",D586="Heat pump (heating &amp; cooling)"),IF(DE_Base_Profile!K12=1,N587,1),1)*IF(OR(D586="Electric heating",D586="Heat pump (heating &amp; cooling)"),IF(DE_Base_Profile!L12=1,P587,1),1)</f>
        <v>1</v>
      </c>
      <c r="E609">
        <f t="shared" si="40"/>
        <v>0.03</v>
      </c>
      <c r="F609">
        <f t="shared" si="41"/>
        <v>0.0363284088156939</v>
      </c>
      <c r="G609">
        <f>((L586+D587)/365)*F609</f>
        <v>0.348354605081996</v>
      </c>
      <c r="H609">
        <f>INDEX(DE_Base_Profile!$N$6:$Q$29,ROW()-602,MATCH(J586,DE_Base_Profile!$N$5:$Q$5,0))</f>
        <v>0</v>
      </c>
      <c r="I609">
        <f>(F587/365)*H609</f>
        <v>0</v>
      </c>
      <c r="J609">
        <f>(G609+I609)/(H587/365)</f>
        <v>0.0239904586518733</v>
      </c>
    </row>
    <row r="610" spans="1:10">
      <c r="A610">
        <f>DE_Base_Profile!H13</f>
        <v>7</v>
      </c>
      <c r="B610">
        <f>DE_Base_Profile!I13</f>
        <v>0.0358</v>
      </c>
      <c r="C610">
        <f>IF(DE_Base_Profile!J13=1,INDEX(DE_Lookups!$B$2:$B$4,MATCH(B586,DE_Lookups!$A$2:$A$4,0)),1)</f>
        <v>1</v>
      </c>
      <c r="D610">
        <f>IF(OR(D586="Air conditioning",D586="Heat pump (heating &amp; cooling)"),IF(DE_Base_Profile!K13=1,N587,1),1)*IF(OR(D586="Electric heating",D586="Heat pump (heating &amp; cooling)"),IF(DE_Base_Profile!L13=1,P587,1),1)</f>
        <v>1</v>
      </c>
      <c r="E610">
        <f t="shared" si="40"/>
        <v>0.0358</v>
      </c>
      <c r="F610">
        <f t="shared" si="41"/>
        <v>0.043351901186728</v>
      </c>
      <c r="G610">
        <f>((L586+D587)/365)*F610</f>
        <v>0.415703162064515</v>
      </c>
      <c r="H610">
        <f>INDEX(DE_Base_Profile!$N$6:$Q$29,ROW()-602,MATCH(J586,DE_Base_Profile!$N$5:$Q$5,0))</f>
        <v>0</v>
      </c>
      <c r="I610">
        <f>(F587/365)*H610</f>
        <v>0</v>
      </c>
      <c r="J610">
        <f>(G610+I610)/(H587/365)</f>
        <v>0.0286286139912355</v>
      </c>
    </row>
    <row r="611" spans="1:10">
      <c r="A611">
        <f>DE_Base_Profile!H14</f>
        <v>8</v>
      </c>
      <c r="B611">
        <f>DE_Base_Profile!I14</f>
        <v>0.041</v>
      </c>
      <c r="C611">
        <f>IF(DE_Base_Profile!J14=1,INDEX(DE_Lookups!$B$2:$B$4,MATCH(B586,DE_Lookups!$A$2:$A$4,0)),1)</f>
        <v>1</v>
      </c>
      <c r="D611">
        <f>IF(OR(D586="Air conditioning",D586="Heat pump (heating &amp; cooling)"),IF(DE_Base_Profile!K14=1,N587,1),1)*IF(OR(D586="Electric heating",D586="Heat pump (heating &amp; cooling)"),IF(DE_Base_Profile!L14=1,P587,1),1)</f>
        <v>1</v>
      </c>
      <c r="E611">
        <f t="shared" si="40"/>
        <v>0.041</v>
      </c>
      <c r="F611">
        <f t="shared" si="41"/>
        <v>0.0496488253814483</v>
      </c>
      <c r="G611">
        <f>((L586+D587)/365)*F611</f>
        <v>0.476084626945395</v>
      </c>
      <c r="H611">
        <f>INDEX(DE_Base_Profile!$N$6:$Q$29,ROW()-602,MATCH(J586,DE_Base_Profile!$N$5:$Q$5,0))</f>
        <v>0</v>
      </c>
      <c r="I611">
        <f>(F587/365)*H611</f>
        <v>0</v>
      </c>
      <c r="J611">
        <f>(G611+I611)/(H587/365)</f>
        <v>0.0327869601575602</v>
      </c>
    </row>
    <row r="612" spans="1:10">
      <c r="A612">
        <f>DE_Base_Profile!H15</f>
        <v>9</v>
      </c>
      <c r="B612">
        <f>DE_Base_Profile!I15</f>
        <v>0.0446</v>
      </c>
      <c r="C612">
        <f>IF(DE_Base_Profile!J15=1,INDEX(DE_Lookups!$B$2:$B$4,MATCH(B586,DE_Lookups!$A$2:$A$4,0)),1)</f>
        <v>0.6</v>
      </c>
      <c r="D612">
        <f>IF(OR(D586="Air conditioning",D586="Heat pump (heating &amp; cooling)"),IF(DE_Base_Profile!K15=1,N587,1),1)*IF(OR(D586="Electric heating",D586="Heat pump (heating &amp; cooling)"),IF(DE_Base_Profile!L15=1,P587,1),1)</f>
        <v>1</v>
      </c>
      <c r="E612">
        <f t="shared" si="40"/>
        <v>0.02676</v>
      </c>
      <c r="F612">
        <f t="shared" si="41"/>
        <v>0.0324049406635989</v>
      </c>
      <c r="G612">
        <f>((L586+D587)/365)*F612</f>
        <v>0.31073230773314</v>
      </c>
      <c r="H612">
        <f>INDEX(DE_Base_Profile!$N$6:$Q$29,ROW()-602,MATCH(J586,DE_Base_Profile!$N$5:$Q$5,0))</f>
        <v>0</v>
      </c>
      <c r="I612">
        <f>(F587/365)*H612</f>
        <v>0</v>
      </c>
      <c r="J612">
        <f>(G612+I612)/(H587/365)</f>
        <v>0.021399489117471</v>
      </c>
    </row>
    <row r="613" spans="1:10">
      <c r="A613">
        <f>DE_Base_Profile!H16</f>
        <v>10</v>
      </c>
      <c r="B613">
        <f>DE_Base_Profile!I16</f>
        <v>0.0474</v>
      </c>
      <c r="C613">
        <f>IF(DE_Base_Profile!J16=1,INDEX(DE_Lookups!$B$2:$B$4,MATCH(B586,DE_Lookups!$A$2:$A$4,0)),1)</f>
        <v>0.6</v>
      </c>
      <c r="D613">
        <f>IF(OR(D586="Air conditioning",D586="Heat pump (heating &amp; cooling)"),IF(DE_Base_Profile!K16=1,N587,1),1)*IF(OR(D586="Electric heating",D586="Heat pump (heating &amp; cooling)"),IF(DE_Base_Profile!L16=1,P587,1),1)</f>
        <v>1</v>
      </c>
      <c r="E613">
        <f t="shared" si="40"/>
        <v>0.02844</v>
      </c>
      <c r="F613">
        <f t="shared" si="41"/>
        <v>0.0344393315572778</v>
      </c>
      <c r="G613">
        <f>((L586+D587)/365)*F613</f>
        <v>0.330240165617732</v>
      </c>
      <c r="H613">
        <f>INDEX(DE_Base_Profile!$N$6:$Q$29,ROW()-602,MATCH(J586,DE_Base_Profile!$N$5:$Q$5,0))</f>
        <v>0</v>
      </c>
      <c r="I613">
        <f>(F587/365)*H613</f>
        <v>0</v>
      </c>
      <c r="J613">
        <f>(G613+I613)/(H587/365)</f>
        <v>0.0227429548019759</v>
      </c>
    </row>
    <row r="614" spans="1:10">
      <c r="A614">
        <f>DE_Base_Profile!H17</f>
        <v>11</v>
      </c>
      <c r="B614">
        <f>DE_Base_Profile!I17</f>
        <v>0.0518</v>
      </c>
      <c r="C614">
        <f>IF(DE_Base_Profile!J17=1,INDEX(DE_Lookups!$B$2:$B$4,MATCH(B586,DE_Lookups!$A$2:$A$4,0)),1)</f>
        <v>0.6</v>
      </c>
      <c r="D614">
        <f>IF(OR(D586="Air conditioning",D586="Heat pump (heating &amp; cooling)"),IF(DE_Base_Profile!K17=1,N587,1),1)*IF(OR(D586="Electric heating",D586="Heat pump (heating &amp; cooling)"),IF(DE_Base_Profile!L17=1,P587,1),1)</f>
        <v>1</v>
      </c>
      <c r="E614">
        <f t="shared" si="40"/>
        <v>0.03108</v>
      </c>
      <c r="F614">
        <f t="shared" si="41"/>
        <v>0.0376362315330588</v>
      </c>
      <c r="G614">
        <f>((L586+D587)/365)*F614</f>
        <v>0.360895370864948</v>
      </c>
      <c r="H614">
        <f>INDEX(DE_Base_Profile!$N$6:$Q$29,ROW()-602,MATCH(J586,DE_Base_Profile!$N$5:$Q$5,0))</f>
        <v>0</v>
      </c>
      <c r="I614">
        <f>(F587/365)*H614</f>
        <v>0</v>
      </c>
      <c r="J614">
        <f>(G614+I614)/(H587/365)</f>
        <v>0.0248541151633407</v>
      </c>
    </row>
    <row r="615" spans="1:10">
      <c r="A615">
        <f>DE_Base_Profile!H18</f>
        <v>12</v>
      </c>
      <c r="B615">
        <f>DE_Base_Profile!I18</f>
        <v>0.0513</v>
      </c>
      <c r="C615">
        <f>IF(DE_Base_Profile!J18=1,INDEX(DE_Lookups!$B$2:$B$4,MATCH(B586,DE_Lookups!$A$2:$A$4,0)),1)</f>
        <v>0.6</v>
      </c>
      <c r="D615">
        <f>IF(OR(D586="Air conditioning",D586="Heat pump (heating &amp; cooling)"),IF(DE_Base_Profile!K18=1,N587,1),1)*IF(OR(D586="Electric heating",D586="Heat pump (heating &amp; cooling)"),IF(DE_Base_Profile!L18=1,P587,1),1)</f>
        <v>1</v>
      </c>
      <c r="E615">
        <f t="shared" si="40"/>
        <v>0.03078</v>
      </c>
      <c r="F615">
        <f t="shared" si="41"/>
        <v>0.0372729474449019</v>
      </c>
      <c r="G615">
        <f>((L586+D587)/365)*F615</f>
        <v>0.357411824814128</v>
      </c>
      <c r="H615">
        <f>INDEX(DE_Base_Profile!$N$6:$Q$29,ROW()-602,MATCH(J586,DE_Base_Profile!$N$5:$Q$5,0))</f>
        <v>0</v>
      </c>
      <c r="I615">
        <f>(F587/365)*H615</f>
        <v>0</v>
      </c>
      <c r="J615">
        <f>(G615+I615)/(H587/365)</f>
        <v>0.024614210576822</v>
      </c>
    </row>
    <row r="616" spans="1:10">
      <c r="A616">
        <f>DE_Base_Profile!H19</f>
        <v>13</v>
      </c>
      <c r="B616">
        <f>DE_Base_Profile!I19</f>
        <v>0.0481</v>
      </c>
      <c r="C616">
        <f>IF(DE_Base_Profile!J19=1,INDEX(DE_Lookups!$B$2:$B$4,MATCH(B586,DE_Lookups!$A$2:$A$4,0)),1)</f>
        <v>0.6</v>
      </c>
      <c r="D616">
        <f>IF(OR(D586="Air conditioning",D586="Heat pump (heating &amp; cooling)"),IF(DE_Base_Profile!K19=1,N587,1),1)*IF(OR(D586="Electric heating",D586="Heat pump (heating &amp; cooling)"),IF(DE_Base_Profile!L19=1,P587,1),1)</f>
        <v>1</v>
      </c>
      <c r="E616">
        <f t="shared" si="40"/>
        <v>0.02886</v>
      </c>
      <c r="F616">
        <f t="shared" si="41"/>
        <v>0.0349479292806975</v>
      </c>
      <c r="G616">
        <f>((L586+D587)/365)*F616</f>
        <v>0.33511713008888</v>
      </c>
      <c r="H616">
        <f>INDEX(DE_Base_Profile!$N$6:$Q$29,ROW()-602,MATCH(J586,DE_Base_Profile!$N$5:$Q$5,0))</f>
        <v>0</v>
      </c>
      <c r="I616">
        <f>(F587/365)*H616</f>
        <v>0</v>
      </c>
      <c r="J616">
        <f>(G616+I616)/(H587/365)</f>
        <v>0.0230788212231021</v>
      </c>
    </row>
    <row r="617" spans="1:10">
      <c r="A617">
        <f>DE_Base_Profile!H20</f>
        <v>14</v>
      </c>
      <c r="B617">
        <f>DE_Base_Profile!I20</f>
        <v>0.0459</v>
      </c>
      <c r="C617">
        <f>IF(DE_Base_Profile!J20=1,INDEX(DE_Lookups!$B$2:$B$4,MATCH(B586,DE_Lookups!$A$2:$A$4,0)),1)</f>
        <v>0.6</v>
      </c>
      <c r="D617">
        <f>IF(OR(D586="Air conditioning",D586="Heat pump (heating &amp; cooling)"),IF(DE_Base_Profile!K20=1,N587,1),1)*IF(OR(D586="Electric heating",D586="Heat pump (heating &amp; cooling)"),IF(DE_Base_Profile!L20=1,P587,1),1)</f>
        <v>1</v>
      </c>
      <c r="E617">
        <f t="shared" si="40"/>
        <v>0.02754</v>
      </c>
      <c r="F617">
        <f t="shared" si="41"/>
        <v>0.033349479292807</v>
      </c>
      <c r="G617">
        <f>((L586+D587)/365)*F617</f>
        <v>0.319789527465272</v>
      </c>
      <c r="H617">
        <f>INDEX(DE_Base_Profile!$N$6:$Q$29,ROW()-602,MATCH(J586,DE_Base_Profile!$N$5:$Q$5,0))</f>
        <v>0</v>
      </c>
      <c r="I617">
        <f>(F587/365)*H617</f>
        <v>0</v>
      </c>
      <c r="J617">
        <f>(G617+I617)/(H587/365)</f>
        <v>0.0220232410424197</v>
      </c>
    </row>
    <row r="618" spans="1:10">
      <c r="A618">
        <f>DE_Base_Profile!H21</f>
        <v>15</v>
      </c>
      <c r="B618">
        <f>DE_Base_Profile!I21</f>
        <v>0.0454</v>
      </c>
      <c r="C618">
        <f>IF(DE_Base_Profile!J21=1,INDEX(DE_Lookups!$B$2:$B$4,MATCH(B586,DE_Lookups!$A$2:$A$4,0)),1)</f>
        <v>0.6</v>
      </c>
      <c r="D618">
        <f>IF(OR(D586="Air conditioning",D586="Heat pump (heating &amp; cooling)"),IF(DE_Base_Profile!K21=1,N587,1),1)*IF(OR(D586="Electric heating",D586="Heat pump (heating &amp; cooling)"),IF(DE_Base_Profile!L21=1,P587,1),1)</f>
        <v>1</v>
      </c>
      <c r="E618">
        <f t="shared" si="40"/>
        <v>0.02724</v>
      </c>
      <c r="F618">
        <f t="shared" si="41"/>
        <v>0.03298619520465</v>
      </c>
      <c r="G618">
        <f>((L586+D587)/365)*F618</f>
        <v>0.316305981414452</v>
      </c>
      <c r="H618">
        <f>INDEX(DE_Base_Profile!$N$6:$Q$29,ROW()-602,MATCH(J586,DE_Base_Profile!$N$5:$Q$5,0))</f>
        <v>0</v>
      </c>
      <c r="I618">
        <f>(F587/365)*H618</f>
        <v>0</v>
      </c>
      <c r="J618">
        <f>(G618+I618)/(H587/365)</f>
        <v>0.021783336455901</v>
      </c>
    </row>
    <row r="619" spans="1:10">
      <c r="A619">
        <f>DE_Base_Profile!H22</f>
        <v>16</v>
      </c>
      <c r="B619">
        <f>DE_Base_Profile!I22</f>
        <v>0.0475</v>
      </c>
      <c r="C619">
        <f>IF(DE_Base_Profile!J22=1,INDEX(DE_Lookups!$B$2:$B$4,MATCH(B586,DE_Lookups!$A$2:$A$4,0)),1)</f>
        <v>0.6</v>
      </c>
      <c r="D619">
        <f>IF(OR(D586="Air conditioning",D586="Heat pump (heating &amp; cooling)"),IF(DE_Base_Profile!K22=1,N587,1),1)*IF(OR(D586="Electric heating",D586="Heat pump (heating &amp; cooling)"),IF(DE_Base_Profile!L22=1,P587,1),1)</f>
        <v>1</v>
      </c>
      <c r="E619">
        <f t="shared" si="40"/>
        <v>0.0285</v>
      </c>
      <c r="F619">
        <f t="shared" si="41"/>
        <v>0.0345119883749092</v>
      </c>
      <c r="G619">
        <f>((L586+D587)/365)*F619</f>
        <v>0.330936874827896</v>
      </c>
      <c r="H619">
        <f>INDEX(DE_Base_Profile!$N$6:$Q$29,ROW()-602,MATCH(J586,DE_Base_Profile!$N$5:$Q$5,0))</f>
        <v>0</v>
      </c>
      <c r="I619">
        <f>(F587/365)*H619</f>
        <v>0</v>
      </c>
      <c r="J619">
        <f>(G619+I619)/(H587/365)</f>
        <v>0.0227909357192796</v>
      </c>
    </row>
    <row r="620" spans="1:10">
      <c r="A620">
        <f>DE_Base_Profile!H23</f>
        <v>17</v>
      </c>
      <c r="B620">
        <f>DE_Base_Profile!I23</f>
        <v>0.0535</v>
      </c>
      <c r="C620">
        <f>IF(DE_Base_Profile!J23=1,INDEX(DE_Lookups!$B$2:$B$4,MATCH(B586,DE_Lookups!$A$2:$A$4,0)),1)</f>
        <v>0.6</v>
      </c>
      <c r="D620">
        <f>IF(OR(D586="Air conditioning",D586="Heat pump (heating &amp; cooling)"),IF(DE_Base_Profile!K23=1,N587,1),1)*IF(OR(D586="Electric heating",D586="Heat pump (heating &amp; cooling)"),IF(DE_Base_Profile!L23=1,P587,1),1)</f>
        <v>1</v>
      </c>
      <c r="E620">
        <f t="shared" si="40"/>
        <v>0.0321</v>
      </c>
      <c r="F620">
        <f t="shared" si="41"/>
        <v>0.0388713974327924</v>
      </c>
      <c r="G620">
        <f>((L586+D587)/365)*F620</f>
        <v>0.372739427437736</v>
      </c>
      <c r="H620">
        <f>INDEX(DE_Base_Profile!$N$6:$Q$29,ROW()-602,MATCH(J586,DE_Base_Profile!$N$5:$Q$5,0))</f>
        <v>0</v>
      </c>
      <c r="I620">
        <f>(F587/365)*H620</f>
        <v>0</v>
      </c>
      <c r="J620">
        <f>(G620+I620)/(H587/365)</f>
        <v>0.0256697907575044</v>
      </c>
    </row>
    <row r="621" spans="1:10">
      <c r="A621">
        <f>DE_Base_Profile!H24</f>
        <v>18</v>
      </c>
      <c r="B621">
        <f>DE_Base_Profile!I24</f>
        <v>0.0587</v>
      </c>
      <c r="C621">
        <f>IF(DE_Base_Profile!J24=1,INDEX(DE_Lookups!$B$2:$B$4,MATCH(B586,DE_Lookups!$A$2:$A$4,0)),1)</f>
        <v>1</v>
      </c>
      <c r="D621">
        <f>IF(OR(D586="Air conditioning",D586="Heat pump (heating &amp; cooling)"),IF(DE_Base_Profile!K24=1,N587,1),1)*IF(OR(D586="Electric heating",D586="Heat pump (heating &amp; cooling)"),IF(DE_Base_Profile!L24=1,P587,1),1)</f>
        <v>1</v>
      </c>
      <c r="E621">
        <f t="shared" si="40"/>
        <v>0.0587</v>
      </c>
      <c r="F621">
        <f t="shared" si="41"/>
        <v>0.0710825865827077</v>
      </c>
      <c r="G621">
        <f>((L586+D587)/365)*F621</f>
        <v>0.681613843943772</v>
      </c>
      <c r="H621">
        <f>INDEX(DE_Base_Profile!$N$6:$Q$29,ROW()-602,MATCH(J586,DE_Base_Profile!$N$5:$Q$5,0))</f>
        <v>0</v>
      </c>
      <c r="I621">
        <f>(F587/365)*H621</f>
        <v>0</v>
      </c>
      <c r="J621">
        <f>(G621+I621)/(H587/365)</f>
        <v>0.0469413307621654</v>
      </c>
    </row>
    <row r="622" spans="1:10">
      <c r="A622">
        <f>DE_Base_Profile!H25</f>
        <v>19</v>
      </c>
      <c r="B622">
        <f>DE_Base_Profile!I25</f>
        <v>0.0591</v>
      </c>
      <c r="C622">
        <f>IF(DE_Base_Profile!J25=1,INDEX(DE_Lookups!$B$2:$B$4,MATCH(B586,DE_Lookups!$A$2:$A$4,0)),1)</f>
        <v>1</v>
      </c>
      <c r="D622">
        <f>IF(OR(D586="Air conditioning",D586="Heat pump (heating &amp; cooling)"),IF(DE_Base_Profile!K25=1,N587,1),1)*IF(OR(D586="Electric heating",D586="Heat pump (heating &amp; cooling)"),IF(DE_Base_Profile!L25=1,P587,1),1)</f>
        <v>1</v>
      </c>
      <c r="E622">
        <f t="shared" si="40"/>
        <v>0.0591</v>
      </c>
      <c r="F622">
        <f t="shared" si="41"/>
        <v>0.0715669653669169</v>
      </c>
      <c r="G622">
        <f>((L586+D587)/365)*F622</f>
        <v>0.686258572011532</v>
      </c>
      <c r="H622">
        <f>INDEX(DE_Base_Profile!$N$6:$Q$29,ROW()-602,MATCH(J586,DE_Base_Profile!$N$5:$Q$5,0))</f>
        <v>0</v>
      </c>
      <c r="I622">
        <f>(F587/365)*H622</f>
        <v>0</v>
      </c>
      <c r="J622">
        <f>(G622+I622)/(H587/365)</f>
        <v>0.0472612035441904</v>
      </c>
    </row>
    <row r="623" spans="1:10">
      <c r="A623">
        <f>DE_Base_Profile!H26</f>
        <v>20</v>
      </c>
      <c r="B623">
        <f>DE_Base_Profile!I26</f>
        <v>0.0556</v>
      </c>
      <c r="C623">
        <f>IF(DE_Base_Profile!J26=1,INDEX(DE_Lookups!$B$2:$B$4,MATCH(B586,DE_Lookups!$A$2:$A$4,0)),1)</f>
        <v>1</v>
      </c>
      <c r="D623">
        <f>IF(OR(D586="Air conditioning",D586="Heat pump (heating &amp; cooling)"),IF(DE_Base_Profile!K26=1,N587,1),1)*IF(OR(D586="Electric heating",D586="Heat pump (heating &amp; cooling)"),IF(DE_Base_Profile!L26=1,P587,1),1)</f>
        <v>1</v>
      </c>
      <c r="E623">
        <f t="shared" si="40"/>
        <v>0.0556</v>
      </c>
      <c r="F623">
        <f t="shared" si="41"/>
        <v>0.067328651005086</v>
      </c>
      <c r="G623">
        <f>((L586+D587)/365)*F623</f>
        <v>0.645617201418633</v>
      </c>
      <c r="H623">
        <f>INDEX(DE_Base_Profile!$N$6:$Q$29,ROW()-602,MATCH(J586,DE_Base_Profile!$N$5:$Q$5,0))</f>
        <v>0</v>
      </c>
      <c r="I623">
        <f>(F587/365)*H623</f>
        <v>0</v>
      </c>
      <c r="J623">
        <f>(G623+I623)/(H587/365)</f>
        <v>0.0444623167014719</v>
      </c>
    </row>
    <row r="624" spans="1:10">
      <c r="A624">
        <f>DE_Base_Profile!H27</f>
        <v>21</v>
      </c>
      <c r="B624">
        <f>DE_Base_Profile!I27</f>
        <v>0.0508</v>
      </c>
      <c r="C624">
        <f>IF(DE_Base_Profile!J27=1,INDEX(DE_Lookups!$B$2:$B$4,MATCH(B586,DE_Lookups!$A$2:$A$4,0)),1)</f>
        <v>1</v>
      </c>
      <c r="D624">
        <f>IF(OR(D586="Air conditioning",D586="Heat pump (heating &amp; cooling)"),IF(DE_Base_Profile!K27=1,N587,1),1)*IF(OR(D586="Electric heating",D586="Heat pump (heating &amp; cooling)"),IF(DE_Base_Profile!L27=1,P587,1),1)</f>
        <v>1</v>
      </c>
      <c r="E624">
        <f t="shared" si="40"/>
        <v>0.0508</v>
      </c>
      <c r="F624">
        <f t="shared" si="41"/>
        <v>0.061516105594575</v>
      </c>
      <c r="G624">
        <f>((L586+D587)/365)*F624</f>
        <v>0.589880464605513</v>
      </c>
      <c r="H624">
        <f>INDEX(DE_Base_Profile!$N$6:$Q$29,ROW()-602,MATCH(J586,DE_Base_Profile!$N$5:$Q$5,0))</f>
        <v>0</v>
      </c>
      <c r="I624">
        <f>(F587/365)*H624</f>
        <v>0</v>
      </c>
      <c r="J624">
        <f>(G624+I624)/(H587/365)</f>
        <v>0.0406238433171721</v>
      </c>
    </row>
    <row r="625" spans="1:16">
      <c r="A625">
        <f>DE_Base_Profile!H28</f>
        <v>22</v>
      </c>
      <c r="B625">
        <f>DE_Base_Profile!I28</f>
        <v>0.0451</v>
      </c>
      <c r="C625">
        <f>IF(DE_Base_Profile!J28=1,INDEX(DE_Lookups!$B$2:$B$4,MATCH(B586,DE_Lookups!$A$2:$A$4,0)),1)</f>
        <v>1</v>
      </c>
      <c r="D625">
        <f>IF(OR(D586="Air conditioning",D586="Heat pump (heating &amp; cooling)"),IF(DE_Base_Profile!K28=1,N587,1),1)*IF(OR(D586="Electric heating",D586="Heat pump (heating &amp; cooling)"),IF(DE_Base_Profile!L28=1,P587,1),1)</f>
        <v>1</v>
      </c>
      <c r="E625">
        <f t="shared" si="40"/>
        <v>0.0451</v>
      </c>
      <c r="F625">
        <f t="shared" si="41"/>
        <v>0.0546137079195931</v>
      </c>
      <c r="G625">
        <f>((L586+D587)/365)*F625</f>
        <v>0.523693089639934</v>
      </c>
      <c r="H625">
        <f>INDEX(DE_Base_Profile!$N$6:$Q$29,ROW()-602,MATCH(J586,DE_Base_Profile!$N$5:$Q$5,0))</f>
        <v>0.125</v>
      </c>
      <c r="I625">
        <f>(F587/365)*H625</f>
        <v>0.616438356164384</v>
      </c>
      <c r="J625">
        <f>(G625+I625)/(H587/365)</f>
        <v>0.0785184863619955</v>
      </c>
    </row>
    <row r="626" spans="1:16">
      <c r="A626">
        <f>DE_Base_Profile!H29</f>
        <v>23</v>
      </c>
      <c r="B626">
        <f>DE_Base_Profile!I29</f>
        <v>0.0366</v>
      </c>
      <c r="C626">
        <f>IF(DE_Base_Profile!J29=1,INDEX(DE_Lookups!$B$2:$B$4,MATCH(B586,DE_Lookups!$A$2:$A$4,0)),1)</f>
        <v>1</v>
      </c>
      <c r="D626">
        <f>IF(OR(D586="Air conditioning",D586="Heat pump (heating &amp; cooling)"),IF(DE_Base_Profile!K29=1,N587,1),1)*IF(OR(D586="Electric heating",D586="Heat pump (heating &amp; cooling)"),IF(DE_Base_Profile!L29=1,P587,1),1)</f>
        <v>1</v>
      </c>
      <c r="E626">
        <f t="shared" si="40"/>
        <v>0.0366</v>
      </c>
      <c r="F626">
        <f t="shared" si="41"/>
        <v>0.0443206587551465</v>
      </c>
      <c r="G626">
        <f>((L586+D587)/365)*F626</f>
        <v>0.424992618200035</v>
      </c>
      <c r="H626">
        <f>INDEX(DE_Base_Profile!$N$6:$Q$29,ROW()-602,MATCH(J586,DE_Base_Profile!$N$5:$Q$5,0))</f>
        <v>0.125</v>
      </c>
      <c r="I626">
        <f>(F587/365)*H626</f>
        <v>0.616438356164384</v>
      </c>
      <c r="J626">
        <f>(G626+I626)/(H587/365)</f>
        <v>0.0717211897439647</v>
      </c>
    </row>
    <row r="631" spans="1:16">
      <c r="A631" t="s">
        <v>51</v>
      </c>
      <c r="B631" t="str">
        <f>DE_Option_Monthly!C18</f>
        <v>Mostly away during the day</v>
      </c>
      <c r="C631" t="s">
        <v>188</v>
      </c>
      <c r="D631" t="str">
        <f>DE_Option_Monthly!D18</f>
        <v>No heating or cooling system</v>
      </c>
      <c r="E631" t="s">
        <v>68</v>
      </c>
      <c r="F631" t="str">
        <f>DE_Option_Monthly!E18</f>
        <v>Medium</v>
      </c>
      <c r="G631" t="s">
        <v>98</v>
      </c>
      <c r="H631" t="str">
        <f>DE_Option_Monthly!F18</f>
        <v>15,000 km</v>
      </c>
      <c r="I631" t="s">
        <v>289</v>
      </c>
      <c r="J631" t="str">
        <f>DE_Option_Monthly!G18</f>
        <v>Mostly overnight</v>
      </c>
      <c r="K631" t="s">
        <v>290</v>
      </c>
      <c r="L631">
        <f>DE_Option_Monthly!$B$1</f>
        <v>3500</v>
      </c>
    </row>
    <row r="632" spans="1:16">
      <c r="A632" t="s">
        <v>291</v>
      </c>
      <c r="B632">
        <f>INDEX(DE_Lookups!$E$2:$E$5,MATCH(F631,DE_Lookups!$D$2:$D$5,0))</f>
        <v>1</v>
      </c>
      <c r="C632" t="s">
        <v>292</v>
      </c>
      <c r="D632">
        <f>IF(OR(D631="Electric heating",D631="Heat pump (heating &amp; cooling)"),INDEX(DE_Lookups!$L$2:$L$5,MATCH(D631,DE_Lookups!$K$2:$K$5,0))*B632,0)</f>
        <v>0</v>
      </c>
      <c r="E632" t="s">
        <v>293</v>
      </c>
      <c r="F632">
        <f>INDEX(DE_Lookups!$O$2:$O$7,MATCH(H631,DE_Lookups!$N$2:$N$7,0))*0.18</f>
        <v>2700</v>
      </c>
      <c r="G632" t="s">
        <v>294</v>
      </c>
      <c r="H632">
        <f>L631+D632+F632</f>
        <v>6200</v>
      </c>
      <c r="I632" t="s">
        <v>295</v>
      </c>
      <c r="J632">
        <f>INDEX(DE_Lookups!$F$2:$F$5,MATCH(F631,DE_Lookups!$D$2:$D$5,0))</f>
        <v>1.1</v>
      </c>
      <c r="K632" t="s">
        <v>296</v>
      </c>
      <c r="L632">
        <f>INDEX(DE_Lookups!$G$2:$G$5,MATCH(F631,DE_Lookups!$D$2:$D$5,0))</f>
        <v>1.15</v>
      </c>
      <c r="M632" t="s">
        <v>297</v>
      </c>
      <c r="N632">
        <f>INDEX(DE_Lookups!$H$2:$H$5,MATCH(F631,DE_Lookups!$D$2:$D$5,0))</f>
        <v>1.2</v>
      </c>
      <c r="O632" t="s">
        <v>298</v>
      </c>
      <c r="P632">
        <f>INDEX(DE_Lookups!$I$2:$I$5,MATCH(F631,DE_Lookups!$D$2:$D$5,0))</f>
        <v>1.15</v>
      </c>
    </row>
    <row r="634" spans="1:16">
      <c r="A634" t="str">
        <f>DE_Base_Profile!A6</f>
        <v>1月</v>
      </c>
      <c r="B634">
        <f>DE_Base_Profile!B6</f>
        <v>0.0789</v>
      </c>
      <c r="C634">
        <f>L631*B634</f>
        <v>276.15</v>
      </c>
      <c r="D634">
        <f>1+IF(OR(D631="Air conditioning",D631="Heat pump (heating &amp; cooling)"),IF(DE_Base_Profile!D6=1,J632-1,0),0)+IF(OR(D631="Electric heating",D631="Heat pump (heating &amp; cooling)"),IF(DE_Base_Profile!E6=1,L632-1,0),0)</f>
        <v>1</v>
      </c>
      <c r="E634">
        <f t="shared" ref="E634:E645" si="42">C634*D634</f>
        <v>276.15</v>
      </c>
      <c r="F634">
        <f>IF(D631="Electric heating",IF(DE_Base_Profile!E6=1,B634*L632,0),IF(D631="Heat pump (heating &amp; cooling)",IF(DE_Base_Profile!D6=1,B634*J632,0)+IF(DE_Base_Profile!E6=1,B634*L632,0),0))</f>
        <v>0</v>
      </c>
      <c r="G634">
        <f>IF(SUM($F$634:$F$645)=0,0,D632*F634/SUM($F$634:$F$645))</f>
        <v>0</v>
      </c>
      <c r="H634">
        <f>F632/12</f>
        <v>225</v>
      </c>
      <c r="I634">
        <f>E634/SUM($E$634:$E$645)*L631+G634+H634</f>
        <v>501.15</v>
      </c>
      <c r="J634">
        <f>I634/H632</f>
        <v>0.0808306451612903</v>
      </c>
    </row>
    <row r="635" spans="1:16">
      <c r="A635" t="str">
        <f>DE_Base_Profile!A7</f>
        <v>2月</v>
      </c>
      <c r="B635">
        <f>DE_Base_Profile!B7</f>
        <v>0.0791</v>
      </c>
      <c r="C635">
        <f>L631*B635</f>
        <v>276.85</v>
      </c>
      <c r="D635">
        <f>1+IF(OR(D631="Air conditioning",D631="Heat pump (heating &amp; cooling)"),IF(DE_Base_Profile!D7=1,J632-1,0),0)+IF(OR(D631="Electric heating",D631="Heat pump (heating &amp; cooling)"),IF(DE_Base_Profile!E7=1,L632-1,0),0)</f>
        <v>1</v>
      </c>
      <c r="E635">
        <f t="shared" si="42"/>
        <v>276.85</v>
      </c>
      <c r="F635">
        <f>IF(D631="Electric heating",IF(DE_Base_Profile!E7=1,B635*L632,0),IF(D631="Heat pump (heating &amp; cooling)",IF(DE_Base_Profile!D7=1,B635*J632,0)+IF(DE_Base_Profile!E7=1,B635*L632,0),0))</f>
        <v>0</v>
      </c>
      <c r="G635">
        <f>IF(SUM($F$634:$F$645)=0,0,D632*F635/SUM($F$634:$F$645))</f>
        <v>0</v>
      </c>
      <c r="H635">
        <f>F632/12</f>
        <v>225</v>
      </c>
      <c r="I635">
        <f>E635/SUM($E$634:$E$645)*L631+G635+H635</f>
        <v>501.85</v>
      </c>
      <c r="J635">
        <f>I635/H632</f>
        <v>0.0809435483870968</v>
      </c>
    </row>
    <row r="636" spans="1:16">
      <c r="A636" t="str">
        <f>DE_Base_Profile!A8</f>
        <v>3月</v>
      </c>
      <c r="B636">
        <f>DE_Base_Profile!B8</f>
        <v>0.0773</v>
      </c>
      <c r="C636">
        <f>L631*B636</f>
        <v>270.55</v>
      </c>
      <c r="D636">
        <f>1+IF(OR(D631="Air conditioning",D631="Heat pump (heating &amp; cooling)"),IF(DE_Base_Profile!D8=1,J632-1,0),0)+IF(OR(D631="Electric heating",D631="Heat pump (heating &amp; cooling)"),IF(DE_Base_Profile!E8=1,L632-1,0),0)</f>
        <v>1</v>
      </c>
      <c r="E636">
        <f t="shared" si="42"/>
        <v>270.55</v>
      </c>
      <c r="F636">
        <f>IF(D631="Electric heating",IF(DE_Base_Profile!E8=1,B636*L632,0),IF(D631="Heat pump (heating &amp; cooling)",IF(DE_Base_Profile!D8=1,B636*J632,0)+IF(DE_Base_Profile!E8=1,B636*L632,0),0))</f>
        <v>0</v>
      </c>
      <c r="G636">
        <f>IF(SUM($F$634:$F$645)=0,0,D632*F636/SUM($F$634:$F$645))</f>
        <v>0</v>
      </c>
      <c r="H636">
        <f>F632/12</f>
        <v>225</v>
      </c>
      <c r="I636">
        <f>E636/SUM($E$634:$E$645)*L631+G636+H636</f>
        <v>495.55</v>
      </c>
      <c r="J636">
        <f>I636/H632</f>
        <v>0.0799274193548387</v>
      </c>
    </row>
    <row r="637" spans="1:16">
      <c r="A637" t="str">
        <f>DE_Base_Profile!A9</f>
        <v>4月</v>
      </c>
      <c r="B637">
        <f>DE_Base_Profile!B9</f>
        <v>0.0822</v>
      </c>
      <c r="C637">
        <f>L631*B637</f>
        <v>287.7</v>
      </c>
      <c r="D637">
        <f>1+IF(OR(D631="Air conditioning",D631="Heat pump (heating &amp; cooling)"),IF(DE_Base_Profile!D9=1,J632-1,0),0)+IF(OR(D631="Electric heating",D631="Heat pump (heating &amp; cooling)"),IF(DE_Base_Profile!E9=1,L632-1,0),0)</f>
        <v>1</v>
      </c>
      <c r="E637">
        <f t="shared" si="42"/>
        <v>287.7</v>
      </c>
      <c r="F637">
        <f>IF(D631="Electric heating",IF(DE_Base_Profile!E9=1,B637*L632,0),IF(D631="Heat pump (heating &amp; cooling)",IF(DE_Base_Profile!D9=1,B637*J632,0)+IF(DE_Base_Profile!E9=1,B637*L632,0),0))</f>
        <v>0</v>
      </c>
      <c r="G637">
        <f>IF(SUM($F$634:$F$645)=0,0,D632*F637/SUM($F$634:$F$645))</f>
        <v>0</v>
      </c>
      <c r="H637">
        <f>F632/12</f>
        <v>225</v>
      </c>
      <c r="I637">
        <f>E637/SUM($E$634:$E$645)*L631+G637+H637</f>
        <v>512.7</v>
      </c>
      <c r="J637">
        <f>I637/H632</f>
        <v>0.0826935483870968</v>
      </c>
    </row>
    <row r="638" spans="1:16">
      <c r="A638" t="str">
        <f>DE_Base_Profile!A10</f>
        <v>5月</v>
      </c>
      <c r="B638">
        <f>DE_Base_Profile!B10</f>
        <v>0.0839</v>
      </c>
      <c r="C638">
        <f>L631*B638</f>
        <v>293.65</v>
      </c>
      <c r="D638">
        <f>1+IF(OR(D631="Air conditioning",D631="Heat pump (heating &amp; cooling)"),IF(DE_Base_Profile!D10=1,J632-1,0),0)+IF(OR(D631="Electric heating",D631="Heat pump (heating &amp; cooling)"),IF(DE_Base_Profile!E10=1,L632-1,0),0)</f>
        <v>1</v>
      </c>
      <c r="E638">
        <f t="shared" si="42"/>
        <v>293.65</v>
      </c>
      <c r="F638">
        <f>IF(D631="Electric heating",IF(DE_Base_Profile!E10=1,B638*L632,0),IF(D631="Heat pump (heating &amp; cooling)",IF(DE_Base_Profile!D10=1,B638*J632,0)+IF(DE_Base_Profile!E10=1,B638*L632,0),0))</f>
        <v>0</v>
      </c>
      <c r="G638">
        <f>IF(SUM($F$634:$F$645)=0,0,D632*F638/SUM($F$634:$F$645))</f>
        <v>0</v>
      </c>
      <c r="H638">
        <f>F632/12</f>
        <v>225</v>
      </c>
      <c r="I638">
        <f>E638/SUM($E$634:$E$645)*L631+G638+H638</f>
        <v>518.65</v>
      </c>
      <c r="J638">
        <f>I638/H632</f>
        <v>0.0836532258064516</v>
      </c>
    </row>
    <row r="639" spans="1:16">
      <c r="A639" t="str">
        <f>DE_Base_Profile!A11</f>
        <v>6月</v>
      </c>
      <c r="B639">
        <f>DE_Base_Profile!B11</f>
        <v>0.0876</v>
      </c>
      <c r="C639">
        <f>L631*B639</f>
        <v>306.6</v>
      </c>
      <c r="D639">
        <f>1+IF(OR(D631="Air conditioning",D631="Heat pump (heating &amp; cooling)"),IF(DE_Base_Profile!D11=1,J632-1,0),0)+IF(OR(D631="Electric heating",D631="Heat pump (heating &amp; cooling)"),IF(DE_Base_Profile!E11=1,L632-1,0),0)</f>
        <v>1</v>
      </c>
      <c r="E639">
        <f t="shared" si="42"/>
        <v>306.6</v>
      </c>
      <c r="F639">
        <f>IF(D631="Electric heating",IF(DE_Base_Profile!E11=1,B639*L632,0),IF(D631="Heat pump (heating &amp; cooling)",IF(DE_Base_Profile!D11=1,B639*J632,0)+IF(DE_Base_Profile!E11=1,B639*L632,0),0))</f>
        <v>0</v>
      </c>
      <c r="G639">
        <f>IF(SUM($F$634:$F$645)=0,0,D632*F639/SUM($F$634:$F$645))</f>
        <v>0</v>
      </c>
      <c r="H639">
        <f>F632/12</f>
        <v>225</v>
      </c>
      <c r="I639">
        <f>E639/SUM($E$634:$E$645)*L631+G639+H639</f>
        <v>531.6</v>
      </c>
      <c r="J639">
        <f>I639/H632</f>
        <v>0.0857419354838709</v>
      </c>
    </row>
    <row r="640" spans="1:16">
      <c r="A640" t="str">
        <f>DE_Base_Profile!A12</f>
        <v>7月</v>
      </c>
      <c r="B640">
        <f>DE_Base_Profile!B12</f>
        <v>0.0917</v>
      </c>
      <c r="C640">
        <f>L631*B640</f>
        <v>320.95</v>
      </c>
      <c r="D640">
        <f>1+IF(OR(D631="Air conditioning",D631="Heat pump (heating &amp; cooling)"),IF(DE_Base_Profile!D12=1,J632-1,0),0)+IF(OR(D631="Electric heating",D631="Heat pump (heating &amp; cooling)"),IF(DE_Base_Profile!E12=1,L632-1,0),0)</f>
        <v>1</v>
      </c>
      <c r="E640">
        <f t="shared" si="42"/>
        <v>320.95</v>
      </c>
      <c r="F640">
        <f>IF(D631="Electric heating",IF(DE_Base_Profile!E12=1,B640*L632,0),IF(D631="Heat pump (heating &amp; cooling)",IF(DE_Base_Profile!D12=1,B640*J632,0)+IF(DE_Base_Profile!E12=1,B640*L632,0),0))</f>
        <v>0</v>
      </c>
      <c r="G640">
        <f>IF(SUM($F$634:$F$645)=0,0,D632*F640/SUM($F$634:$F$645))</f>
        <v>0</v>
      </c>
      <c r="H640">
        <f>F632/12</f>
        <v>225</v>
      </c>
      <c r="I640">
        <f>E640/SUM($E$634:$E$645)*L631+G640+H640</f>
        <v>545.95</v>
      </c>
      <c r="J640">
        <f>I640/H632</f>
        <v>0.0880564516129032</v>
      </c>
    </row>
    <row r="641" spans="1:10">
      <c r="A641" t="str">
        <f>DE_Base_Profile!A13</f>
        <v>8月</v>
      </c>
      <c r="B641">
        <f>DE_Base_Profile!B13</f>
        <v>0.0887</v>
      </c>
      <c r="C641">
        <f>L631*B641</f>
        <v>310.45</v>
      </c>
      <c r="D641">
        <f>1+IF(OR(D631="Air conditioning",D631="Heat pump (heating &amp; cooling)"),IF(DE_Base_Profile!D13=1,J632-1,0),0)+IF(OR(D631="Electric heating",D631="Heat pump (heating &amp; cooling)"),IF(DE_Base_Profile!E13=1,L632-1,0),0)</f>
        <v>1</v>
      </c>
      <c r="E641">
        <f t="shared" si="42"/>
        <v>310.45</v>
      </c>
      <c r="F641">
        <f>IF(D631="Electric heating",IF(DE_Base_Profile!E13=1,B641*L632,0),IF(D631="Heat pump (heating &amp; cooling)",IF(DE_Base_Profile!D13=1,B641*J632,0)+IF(DE_Base_Profile!E13=1,B641*L632,0),0))</f>
        <v>0</v>
      </c>
      <c r="G641">
        <f>IF(SUM($F$634:$F$645)=0,0,D632*F641/SUM($F$634:$F$645))</f>
        <v>0</v>
      </c>
      <c r="H641">
        <f>F632/12</f>
        <v>225</v>
      </c>
      <c r="I641">
        <f>E641/SUM($E$634:$E$645)*L631+G641+H641</f>
        <v>535.45</v>
      </c>
      <c r="J641">
        <f>I641/H632</f>
        <v>0.0863629032258064</v>
      </c>
    </row>
    <row r="642" spans="1:10">
      <c r="A642" t="str">
        <f>DE_Base_Profile!A14</f>
        <v>9月</v>
      </c>
      <c r="B642">
        <f>DE_Base_Profile!B14</f>
        <v>0.0853</v>
      </c>
      <c r="C642">
        <f>L631*B642</f>
        <v>298.55</v>
      </c>
      <c r="D642">
        <f>1+IF(OR(D631="Air conditioning",D631="Heat pump (heating &amp; cooling)"),IF(DE_Base_Profile!D14=1,J632-1,0),0)+IF(OR(D631="Electric heating",D631="Heat pump (heating &amp; cooling)"),IF(DE_Base_Profile!E14=1,L632-1,0),0)</f>
        <v>1</v>
      </c>
      <c r="E642">
        <f t="shared" si="42"/>
        <v>298.55</v>
      </c>
      <c r="F642">
        <f>IF(D631="Electric heating",IF(DE_Base_Profile!E14=1,B642*L632,0),IF(D631="Heat pump (heating &amp; cooling)",IF(DE_Base_Profile!D14=1,B642*J632,0)+IF(DE_Base_Profile!E14=1,B642*L632,0),0))</f>
        <v>0</v>
      </c>
      <c r="G642">
        <f>IF(SUM($F$634:$F$645)=0,0,D632*F642/SUM($F$634:$F$645))</f>
        <v>0</v>
      </c>
      <c r="H642">
        <f>F632/12</f>
        <v>225</v>
      </c>
      <c r="I642">
        <f>E642/SUM($E$634:$E$645)*L631+G642+H642</f>
        <v>523.55</v>
      </c>
      <c r="J642">
        <f>I642/H632</f>
        <v>0.0844435483870968</v>
      </c>
    </row>
    <row r="643" spans="1:10">
      <c r="A643" t="str">
        <f>DE_Base_Profile!A15</f>
        <v>10月</v>
      </c>
      <c r="B643">
        <f>DE_Base_Profile!B15</f>
        <v>0.0838</v>
      </c>
      <c r="C643">
        <f>L631*B643</f>
        <v>293.3</v>
      </c>
      <c r="D643">
        <f>1+IF(OR(D631="Air conditioning",D631="Heat pump (heating &amp; cooling)"),IF(DE_Base_Profile!D15=1,J632-1,0),0)+IF(OR(D631="Electric heating",D631="Heat pump (heating &amp; cooling)"),IF(DE_Base_Profile!E15=1,L632-1,0),0)</f>
        <v>1</v>
      </c>
      <c r="E643">
        <f t="shared" si="42"/>
        <v>293.3</v>
      </c>
      <c r="F643">
        <f>IF(D631="Electric heating",IF(DE_Base_Profile!E15=1,B643*L632,0),IF(D631="Heat pump (heating &amp; cooling)",IF(DE_Base_Profile!D15=1,B643*J632,0)+IF(DE_Base_Profile!E15=1,B643*L632,0),0))</f>
        <v>0</v>
      </c>
      <c r="G643">
        <f>IF(SUM($F$634:$F$645)=0,0,D632*F643/SUM($F$634:$F$645))</f>
        <v>0</v>
      </c>
      <c r="H643">
        <f>F632/12</f>
        <v>225</v>
      </c>
      <c r="I643">
        <f>E643/SUM($E$634:$E$645)*L631+G643+H643</f>
        <v>518.3</v>
      </c>
      <c r="J643">
        <f>I643/H632</f>
        <v>0.0835967741935484</v>
      </c>
    </row>
    <row r="644" spans="1:10">
      <c r="A644" t="str">
        <f>DE_Base_Profile!A16</f>
        <v>11月</v>
      </c>
      <c r="B644">
        <f>DE_Base_Profile!B16</f>
        <v>0.0819</v>
      </c>
      <c r="C644">
        <f>L631*B644</f>
        <v>286.65</v>
      </c>
      <c r="D644">
        <f>1+IF(OR(D631="Air conditioning",D631="Heat pump (heating &amp; cooling)"),IF(DE_Base_Profile!D16=1,J632-1,0),0)+IF(OR(D631="Electric heating",D631="Heat pump (heating &amp; cooling)"),IF(DE_Base_Profile!E16=1,L632-1,0),0)</f>
        <v>1</v>
      </c>
      <c r="E644">
        <f t="shared" si="42"/>
        <v>286.65</v>
      </c>
      <c r="F644">
        <f>IF(D631="Electric heating",IF(DE_Base_Profile!E16=1,B644*L632,0),IF(D631="Heat pump (heating &amp; cooling)",IF(DE_Base_Profile!D16=1,B644*J632,0)+IF(DE_Base_Profile!E16=1,B644*L632,0),0))</f>
        <v>0</v>
      </c>
      <c r="G644">
        <f>IF(SUM($F$634:$F$645)=0,0,D632*F644/SUM($F$634:$F$645))</f>
        <v>0</v>
      </c>
      <c r="H644">
        <f>F632/12</f>
        <v>225</v>
      </c>
      <c r="I644">
        <f>E644/SUM($E$634:$E$645)*L631+G644+H644</f>
        <v>511.65</v>
      </c>
      <c r="J644">
        <f>I644/H632</f>
        <v>0.0825241935483871</v>
      </c>
    </row>
    <row r="645" spans="1:10">
      <c r="A645" t="str">
        <f>DE_Base_Profile!A17</f>
        <v>12月</v>
      </c>
      <c r="B645">
        <f>DE_Base_Profile!B17</f>
        <v>0.0796</v>
      </c>
      <c r="C645">
        <f>L631*B645</f>
        <v>278.6</v>
      </c>
      <c r="D645">
        <f>1+IF(OR(D631="Air conditioning",D631="Heat pump (heating &amp; cooling)"),IF(DE_Base_Profile!D17=1,J632-1,0),0)+IF(OR(D631="Electric heating",D631="Heat pump (heating &amp; cooling)"),IF(DE_Base_Profile!E17=1,L632-1,0),0)</f>
        <v>1</v>
      </c>
      <c r="E645">
        <f t="shared" si="42"/>
        <v>278.6</v>
      </c>
      <c r="F645">
        <f>IF(D631="Electric heating",IF(DE_Base_Profile!E17=1,B645*L632,0),IF(D631="Heat pump (heating &amp; cooling)",IF(DE_Base_Profile!D17=1,B645*J632,0)+IF(DE_Base_Profile!E17=1,B645*L632,0),0))</f>
        <v>0</v>
      </c>
      <c r="G645">
        <f>IF(SUM($F$634:$F$645)=0,0,D632*F645/SUM($F$634:$F$645))</f>
        <v>0</v>
      </c>
      <c r="H645">
        <f>F632/12</f>
        <v>225</v>
      </c>
      <c r="I645">
        <f>E645/SUM($E$634:$E$645)*L631+G645+H645</f>
        <v>503.6</v>
      </c>
      <c r="J645">
        <f>I645/H632</f>
        <v>0.0812258064516129</v>
      </c>
    </row>
    <row r="648" spans="1:10">
      <c r="A648">
        <f>DE_Base_Profile!H6</f>
        <v>0</v>
      </c>
      <c r="B648">
        <f>DE_Base_Profile!I6</f>
        <v>0.0301</v>
      </c>
      <c r="C648">
        <f>IF(DE_Base_Profile!J6=1,INDEX(DE_Lookups!$B$2:$B$4,MATCH(B631,DE_Lookups!$A$2:$A$4,0)),1)</f>
        <v>1</v>
      </c>
      <c r="D648">
        <f>IF(OR(D631="Air conditioning",D631="Heat pump (heating &amp; cooling)"),IF(DE_Base_Profile!K6=1,N632,1),1)*IF(OR(D631="Electric heating",D631="Heat pump (heating &amp; cooling)"),IF(DE_Base_Profile!L6=1,P632,1),1)</f>
        <v>1</v>
      </c>
      <c r="E648">
        <f t="shared" ref="E648:E671" si="43">B648*C648*D648</f>
        <v>0.0301</v>
      </c>
      <c r="F648">
        <f t="shared" ref="F648:F671" si="44">E648/SUM($E$648:$E$671)</f>
        <v>0.0364495035117462</v>
      </c>
      <c r="G648">
        <f>((L631+D632)/365)*F648</f>
        <v>0.349515787098936</v>
      </c>
      <c r="H648">
        <f>INDEX(DE_Base_Profile!$N$6:$Q$29,ROW()-647,MATCH(J631,DE_Base_Profile!$N$5:$Q$5,0))</f>
        <v>0.125</v>
      </c>
      <c r="I648">
        <f>(F632/365)*H648</f>
        <v>0.924657534246575</v>
      </c>
      <c r="J648">
        <f>(G648+I648)/(H632/365)</f>
        <v>0.0750118164985664</v>
      </c>
    </row>
    <row r="649" spans="1:10">
      <c r="A649">
        <f>DE_Base_Profile!H7</f>
        <v>1</v>
      </c>
      <c r="B649">
        <f>DE_Base_Profile!I7</f>
        <v>0.0258</v>
      </c>
      <c r="C649">
        <f>IF(DE_Base_Profile!J7=1,INDEX(DE_Lookups!$B$2:$B$4,MATCH(B631,DE_Lookups!$A$2:$A$4,0)),1)</f>
        <v>1</v>
      </c>
      <c r="D649">
        <f>IF(OR(D631="Air conditioning",D631="Heat pump (heating &amp; cooling)"),IF(DE_Base_Profile!K7=1,N632,1),1)*IF(OR(D631="Electric heating",D631="Heat pump (heating &amp; cooling)"),IF(DE_Base_Profile!L7=1,P632,1),1)</f>
        <v>1</v>
      </c>
      <c r="E649">
        <f t="shared" si="43"/>
        <v>0.0258</v>
      </c>
      <c r="F649">
        <f t="shared" si="44"/>
        <v>0.0312424315814967</v>
      </c>
      <c r="G649">
        <f>((L631+D632)/365)*F649</f>
        <v>0.299584960370517</v>
      </c>
      <c r="H649">
        <f>INDEX(DE_Base_Profile!$N$6:$Q$29,ROW()-647,MATCH(J631,DE_Base_Profile!$N$5:$Q$5,0))</f>
        <v>0.125</v>
      </c>
      <c r="I649">
        <f>(F632/365)*H649</f>
        <v>0.924657534246575</v>
      </c>
      <c r="J649">
        <f>(G649+I649)/(H632/365)</f>
        <v>0.0720723404089094</v>
      </c>
    </row>
    <row r="650" spans="1:10">
      <c r="A650">
        <f>DE_Base_Profile!H8</f>
        <v>2</v>
      </c>
      <c r="B650">
        <f>DE_Base_Profile!I8</f>
        <v>0.0239</v>
      </c>
      <c r="C650">
        <f>IF(DE_Base_Profile!J8=1,INDEX(DE_Lookups!$B$2:$B$4,MATCH(B631,DE_Lookups!$A$2:$A$4,0)),1)</f>
        <v>1</v>
      </c>
      <c r="D650">
        <f>IF(OR(D631="Air conditioning",D631="Heat pump (heating &amp; cooling)"),IF(DE_Base_Profile!K8=1,N632,1),1)*IF(OR(D631="Electric heating",D631="Heat pump (heating &amp; cooling)"),IF(DE_Base_Profile!L8=1,P632,1),1)</f>
        <v>1</v>
      </c>
      <c r="E650">
        <f t="shared" si="43"/>
        <v>0.0239</v>
      </c>
      <c r="F650">
        <f t="shared" si="44"/>
        <v>0.0289416323565028</v>
      </c>
      <c r="G650">
        <f>((L631+D632)/365)*F650</f>
        <v>0.277522502048657</v>
      </c>
      <c r="H650">
        <f>INDEX(DE_Base_Profile!$N$6:$Q$29,ROW()-647,MATCH(J631,DE_Base_Profile!$N$5:$Q$5,0))</f>
        <v>0.125</v>
      </c>
      <c r="I650">
        <f>(F632/365)*H650</f>
        <v>0.924657534246575</v>
      </c>
      <c r="J650">
        <f>(G650+I650)/(H632/365)</f>
        <v>0.0707735021367354</v>
      </c>
    </row>
    <row r="651" spans="1:10">
      <c r="A651">
        <f>DE_Base_Profile!H9</f>
        <v>3</v>
      </c>
      <c r="B651">
        <f>DE_Base_Profile!I9</f>
        <v>0.0232</v>
      </c>
      <c r="C651">
        <f>IF(DE_Base_Profile!J9=1,INDEX(DE_Lookups!$B$2:$B$4,MATCH(B631,DE_Lookups!$A$2:$A$4,0)),1)</f>
        <v>1</v>
      </c>
      <c r="D651">
        <f>IF(OR(D631="Air conditioning",D631="Heat pump (heating &amp; cooling)"),IF(DE_Base_Profile!K9=1,N632,1),1)*IF(OR(D631="Electric heating",D631="Heat pump (heating &amp; cooling)"),IF(DE_Base_Profile!L9=1,P632,1),1)</f>
        <v>1</v>
      </c>
      <c r="E651">
        <f t="shared" si="43"/>
        <v>0.0232</v>
      </c>
      <c r="F651">
        <f t="shared" si="44"/>
        <v>0.0280939694841366</v>
      </c>
      <c r="G651">
        <f>((L631+D632)/365)*F651</f>
        <v>0.269394227930077</v>
      </c>
      <c r="H651">
        <f>INDEX(DE_Base_Profile!$N$6:$Q$29,ROW()-647,MATCH(J631,DE_Base_Profile!$N$5:$Q$5,0))</f>
        <v>0.125</v>
      </c>
      <c r="I651">
        <f>(F632/365)*H651</f>
        <v>0.924657534246575</v>
      </c>
      <c r="J651">
        <f>(G651+I651)/(H632/365)</f>
        <v>0.0702949827733029</v>
      </c>
    </row>
    <row r="652" spans="1:10">
      <c r="A652">
        <f>DE_Base_Profile!H10</f>
        <v>4</v>
      </c>
      <c r="B652">
        <f>DE_Base_Profile!I10</f>
        <v>0.0236</v>
      </c>
      <c r="C652">
        <f>IF(DE_Base_Profile!J10=1,INDEX(DE_Lookups!$B$2:$B$4,MATCH(B631,DE_Lookups!$A$2:$A$4,0)),1)</f>
        <v>1</v>
      </c>
      <c r="D652">
        <f>IF(OR(D631="Air conditioning",D631="Heat pump (heating &amp; cooling)"),IF(DE_Base_Profile!K10=1,N632,1),1)*IF(OR(D631="Electric heating",D631="Heat pump (heating &amp; cooling)"),IF(DE_Base_Profile!L10=1,P632,1),1)</f>
        <v>1</v>
      </c>
      <c r="E652">
        <f t="shared" si="43"/>
        <v>0.0236</v>
      </c>
      <c r="F652">
        <f t="shared" si="44"/>
        <v>0.0285783482683458</v>
      </c>
      <c r="G652">
        <f>((L631+D632)/365)*F652</f>
        <v>0.274038955997837</v>
      </c>
      <c r="H652">
        <f>INDEX(DE_Base_Profile!$N$6:$Q$29,ROW()-647,MATCH(J631,DE_Base_Profile!$N$5:$Q$5,0))</f>
        <v>0.125</v>
      </c>
      <c r="I652">
        <f>(F632/365)*H652</f>
        <v>0.924657534246575</v>
      </c>
      <c r="J652">
        <f>(G652+I652)/(H632/365)</f>
        <v>0.0705684224095501</v>
      </c>
    </row>
    <row r="653" spans="1:10">
      <c r="A653">
        <f>DE_Base_Profile!H11</f>
        <v>5</v>
      </c>
      <c r="B653">
        <f>DE_Base_Profile!I11</f>
        <v>0.0252</v>
      </c>
      <c r="C653">
        <f>IF(DE_Base_Profile!J11=1,INDEX(DE_Lookups!$B$2:$B$4,MATCH(B631,DE_Lookups!$A$2:$A$4,0)),1)</f>
        <v>1</v>
      </c>
      <c r="D653">
        <f>IF(OR(D631="Air conditioning",D631="Heat pump (heating &amp; cooling)"),IF(DE_Base_Profile!K11=1,N632,1),1)*IF(OR(D631="Electric heating",D631="Heat pump (heating &amp; cooling)"),IF(DE_Base_Profile!L11=1,P632,1),1)</f>
        <v>1</v>
      </c>
      <c r="E653">
        <f t="shared" si="43"/>
        <v>0.0252</v>
      </c>
      <c r="F653">
        <f t="shared" si="44"/>
        <v>0.0305158634051829</v>
      </c>
      <c r="G653">
        <f>((L631+D632)/365)*F653</f>
        <v>0.292617868268877</v>
      </c>
      <c r="H653">
        <f>INDEX(DE_Base_Profile!$N$6:$Q$29,ROW()-647,MATCH(J631,DE_Base_Profile!$N$5:$Q$5,0))</f>
        <v>0.125</v>
      </c>
      <c r="I653">
        <f>(F632/365)*H653</f>
        <v>0.924657534246575</v>
      </c>
      <c r="J653">
        <f>(G653+I653)/(H632/365)</f>
        <v>0.0716621809545387</v>
      </c>
    </row>
    <row r="654" spans="1:10">
      <c r="A654">
        <f>DE_Base_Profile!H12</f>
        <v>6</v>
      </c>
      <c r="B654">
        <f>DE_Base_Profile!I12</f>
        <v>0.03</v>
      </c>
      <c r="C654">
        <f>IF(DE_Base_Profile!J12=1,INDEX(DE_Lookups!$B$2:$B$4,MATCH(B631,DE_Lookups!$A$2:$A$4,0)),1)</f>
        <v>1</v>
      </c>
      <c r="D654">
        <f>IF(OR(D631="Air conditioning",D631="Heat pump (heating &amp; cooling)"),IF(DE_Base_Profile!K12=1,N632,1),1)*IF(OR(D631="Electric heating",D631="Heat pump (heating &amp; cooling)"),IF(DE_Base_Profile!L12=1,P632,1),1)</f>
        <v>1</v>
      </c>
      <c r="E654">
        <f t="shared" si="43"/>
        <v>0.03</v>
      </c>
      <c r="F654">
        <f t="shared" si="44"/>
        <v>0.0363284088156939</v>
      </c>
      <c r="G654">
        <f>((L631+D632)/365)*F654</f>
        <v>0.348354605081996</v>
      </c>
      <c r="H654">
        <f>INDEX(DE_Base_Profile!$N$6:$Q$29,ROW()-647,MATCH(J631,DE_Base_Profile!$N$5:$Q$5,0))</f>
        <v>0</v>
      </c>
      <c r="I654">
        <f>(F632/365)*H654</f>
        <v>0</v>
      </c>
      <c r="J654">
        <f>(G654+I654)/(H632/365)</f>
        <v>0.0205079727185369</v>
      </c>
    </row>
    <row r="655" spans="1:10">
      <c r="A655">
        <f>DE_Base_Profile!H13</f>
        <v>7</v>
      </c>
      <c r="B655">
        <f>DE_Base_Profile!I13</f>
        <v>0.0358</v>
      </c>
      <c r="C655">
        <f>IF(DE_Base_Profile!J13=1,INDEX(DE_Lookups!$B$2:$B$4,MATCH(B631,DE_Lookups!$A$2:$A$4,0)),1)</f>
        <v>1</v>
      </c>
      <c r="D655">
        <f>IF(OR(D631="Air conditioning",D631="Heat pump (heating &amp; cooling)"),IF(DE_Base_Profile!K13=1,N632,1),1)*IF(OR(D631="Electric heating",D631="Heat pump (heating &amp; cooling)"),IF(DE_Base_Profile!L13=1,P632,1),1)</f>
        <v>1</v>
      </c>
      <c r="E655">
        <f t="shared" si="43"/>
        <v>0.0358</v>
      </c>
      <c r="F655">
        <f t="shared" si="44"/>
        <v>0.043351901186728</v>
      </c>
      <c r="G655">
        <f>((L631+D632)/365)*F655</f>
        <v>0.415703162064515</v>
      </c>
      <c r="H655">
        <f>INDEX(DE_Base_Profile!$N$6:$Q$29,ROW()-647,MATCH(J631,DE_Base_Profile!$N$5:$Q$5,0))</f>
        <v>0</v>
      </c>
      <c r="I655">
        <f>(F632/365)*H655</f>
        <v>0</v>
      </c>
      <c r="J655">
        <f>(G655+I655)/(H632/365)</f>
        <v>0.0244728474441207</v>
      </c>
    </row>
    <row r="656" spans="1:10">
      <c r="A656">
        <f>DE_Base_Profile!H14</f>
        <v>8</v>
      </c>
      <c r="B656">
        <f>DE_Base_Profile!I14</f>
        <v>0.041</v>
      </c>
      <c r="C656">
        <f>IF(DE_Base_Profile!J14=1,INDEX(DE_Lookups!$B$2:$B$4,MATCH(B631,DE_Lookups!$A$2:$A$4,0)),1)</f>
        <v>1</v>
      </c>
      <c r="D656">
        <f>IF(OR(D631="Air conditioning",D631="Heat pump (heating &amp; cooling)"),IF(DE_Base_Profile!K14=1,N632,1),1)*IF(OR(D631="Electric heating",D631="Heat pump (heating &amp; cooling)"),IF(DE_Base_Profile!L14=1,P632,1),1)</f>
        <v>1</v>
      </c>
      <c r="E656">
        <f t="shared" si="43"/>
        <v>0.041</v>
      </c>
      <c r="F656">
        <f t="shared" si="44"/>
        <v>0.0496488253814483</v>
      </c>
      <c r="G656">
        <f>((L631+D632)/365)*F656</f>
        <v>0.476084626945395</v>
      </c>
      <c r="H656">
        <f>INDEX(DE_Base_Profile!$N$6:$Q$29,ROW()-647,MATCH(J631,DE_Base_Profile!$N$5:$Q$5,0))</f>
        <v>0</v>
      </c>
      <c r="I656">
        <f>(F632/365)*H656</f>
        <v>0</v>
      </c>
      <c r="J656">
        <f>(G656+I656)/(H632/365)</f>
        <v>0.0280275627153337</v>
      </c>
    </row>
    <row r="657" spans="1:10">
      <c r="A657">
        <f>DE_Base_Profile!H15</f>
        <v>9</v>
      </c>
      <c r="B657">
        <f>DE_Base_Profile!I15</f>
        <v>0.0446</v>
      </c>
      <c r="C657">
        <f>IF(DE_Base_Profile!J15=1,INDEX(DE_Lookups!$B$2:$B$4,MATCH(B631,DE_Lookups!$A$2:$A$4,0)),1)</f>
        <v>0.6</v>
      </c>
      <c r="D657">
        <f>IF(OR(D631="Air conditioning",D631="Heat pump (heating &amp; cooling)"),IF(DE_Base_Profile!K15=1,N632,1),1)*IF(OR(D631="Electric heating",D631="Heat pump (heating &amp; cooling)"),IF(DE_Base_Profile!L15=1,P632,1),1)</f>
        <v>1</v>
      </c>
      <c r="E657">
        <f t="shared" si="43"/>
        <v>0.02676</v>
      </c>
      <c r="F657">
        <f t="shared" si="44"/>
        <v>0.0324049406635989</v>
      </c>
      <c r="G657">
        <f>((L631+D632)/365)*F657</f>
        <v>0.31073230773314</v>
      </c>
      <c r="H657">
        <f>INDEX(DE_Base_Profile!$N$6:$Q$29,ROW()-647,MATCH(J631,DE_Base_Profile!$N$5:$Q$5,0))</f>
        <v>0</v>
      </c>
      <c r="I657">
        <f>(F632/365)*H657</f>
        <v>0</v>
      </c>
      <c r="J657">
        <f>(G657+I657)/(H632/365)</f>
        <v>0.0182931116649349</v>
      </c>
    </row>
    <row r="658" spans="1:10">
      <c r="A658">
        <f>DE_Base_Profile!H16</f>
        <v>10</v>
      </c>
      <c r="B658">
        <f>DE_Base_Profile!I16</f>
        <v>0.0474</v>
      </c>
      <c r="C658">
        <f>IF(DE_Base_Profile!J16=1,INDEX(DE_Lookups!$B$2:$B$4,MATCH(B631,DE_Lookups!$A$2:$A$4,0)),1)</f>
        <v>0.6</v>
      </c>
      <c r="D658">
        <f>IF(OR(D631="Air conditioning",D631="Heat pump (heating &amp; cooling)"),IF(DE_Base_Profile!K16=1,N632,1),1)*IF(OR(D631="Electric heating",D631="Heat pump (heating &amp; cooling)"),IF(DE_Base_Profile!L16=1,P632,1),1)</f>
        <v>1</v>
      </c>
      <c r="E658">
        <f t="shared" si="43"/>
        <v>0.02844</v>
      </c>
      <c r="F658">
        <f t="shared" si="44"/>
        <v>0.0344393315572778</v>
      </c>
      <c r="G658">
        <f>((L631+D632)/365)*F658</f>
        <v>0.330240165617732</v>
      </c>
      <c r="H658">
        <f>INDEX(DE_Base_Profile!$N$6:$Q$29,ROW()-647,MATCH(J631,DE_Base_Profile!$N$5:$Q$5,0))</f>
        <v>0</v>
      </c>
      <c r="I658">
        <f>(F632/365)*H658</f>
        <v>0</v>
      </c>
      <c r="J658">
        <f>(G658+I658)/(H632/365)</f>
        <v>0.0194415581371729</v>
      </c>
    </row>
    <row r="659" spans="1:10">
      <c r="A659">
        <f>DE_Base_Profile!H17</f>
        <v>11</v>
      </c>
      <c r="B659">
        <f>DE_Base_Profile!I17</f>
        <v>0.0518</v>
      </c>
      <c r="C659">
        <f>IF(DE_Base_Profile!J17=1,INDEX(DE_Lookups!$B$2:$B$4,MATCH(B631,DE_Lookups!$A$2:$A$4,0)),1)</f>
        <v>0.6</v>
      </c>
      <c r="D659">
        <f>IF(OR(D631="Air conditioning",D631="Heat pump (heating &amp; cooling)"),IF(DE_Base_Profile!K17=1,N632,1),1)*IF(OR(D631="Electric heating",D631="Heat pump (heating &amp; cooling)"),IF(DE_Base_Profile!L17=1,P632,1),1)</f>
        <v>1</v>
      </c>
      <c r="E659">
        <f t="shared" si="43"/>
        <v>0.03108</v>
      </c>
      <c r="F659">
        <f t="shared" si="44"/>
        <v>0.0376362315330588</v>
      </c>
      <c r="G659">
        <f>((L631+D632)/365)*F659</f>
        <v>0.360895370864948</v>
      </c>
      <c r="H659">
        <f>INDEX(DE_Base_Profile!$N$6:$Q$29,ROW()-647,MATCH(J631,DE_Base_Profile!$N$5:$Q$5,0))</f>
        <v>0</v>
      </c>
      <c r="I659">
        <f>(F632/365)*H659</f>
        <v>0</v>
      </c>
      <c r="J659">
        <f>(G659+I659)/(H632/365)</f>
        <v>0.0212462597364042</v>
      </c>
    </row>
    <row r="660" spans="1:10">
      <c r="A660">
        <f>DE_Base_Profile!H18</f>
        <v>12</v>
      </c>
      <c r="B660">
        <f>DE_Base_Profile!I18</f>
        <v>0.0513</v>
      </c>
      <c r="C660">
        <f>IF(DE_Base_Profile!J18=1,INDEX(DE_Lookups!$B$2:$B$4,MATCH(B631,DE_Lookups!$A$2:$A$4,0)),1)</f>
        <v>0.6</v>
      </c>
      <c r="D660">
        <f>IF(OR(D631="Air conditioning",D631="Heat pump (heating &amp; cooling)"),IF(DE_Base_Profile!K18=1,N632,1),1)*IF(OR(D631="Electric heating",D631="Heat pump (heating &amp; cooling)"),IF(DE_Base_Profile!L18=1,P632,1),1)</f>
        <v>1</v>
      </c>
      <c r="E660">
        <f t="shared" si="43"/>
        <v>0.03078</v>
      </c>
      <c r="F660">
        <f t="shared" si="44"/>
        <v>0.0372729474449019</v>
      </c>
      <c r="G660">
        <f>((L631+D632)/365)*F660</f>
        <v>0.357411824814128</v>
      </c>
      <c r="H660">
        <f>INDEX(DE_Base_Profile!$N$6:$Q$29,ROW()-647,MATCH(J631,DE_Base_Profile!$N$5:$Q$5,0))</f>
        <v>0</v>
      </c>
      <c r="I660">
        <f>(F632/365)*H660</f>
        <v>0</v>
      </c>
      <c r="J660">
        <f>(G660+I660)/(H632/365)</f>
        <v>0.0210411800092188</v>
      </c>
    </row>
    <row r="661" spans="1:10">
      <c r="A661">
        <f>DE_Base_Profile!H19</f>
        <v>13</v>
      </c>
      <c r="B661">
        <f>DE_Base_Profile!I19</f>
        <v>0.0481</v>
      </c>
      <c r="C661">
        <f>IF(DE_Base_Profile!J19=1,INDEX(DE_Lookups!$B$2:$B$4,MATCH(B631,DE_Lookups!$A$2:$A$4,0)),1)</f>
        <v>0.6</v>
      </c>
      <c r="D661">
        <f>IF(OR(D631="Air conditioning",D631="Heat pump (heating &amp; cooling)"),IF(DE_Base_Profile!K19=1,N632,1),1)*IF(OR(D631="Electric heating",D631="Heat pump (heating &amp; cooling)"),IF(DE_Base_Profile!L19=1,P632,1),1)</f>
        <v>1</v>
      </c>
      <c r="E661">
        <f t="shared" si="43"/>
        <v>0.02886</v>
      </c>
      <c r="F661">
        <f t="shared" si="44"/>
        <v>0.0349479292806975</v>
      </c>
      <c r="G661">
        <f>((L631+D632)/365)*F661</f>
        <v>0.33511713008888</v>
      </c>
      <c r="H661">
        <f>INDEX(DE_Base_Profile!$N$6:$Q$29,ROW()-647,MATCH(J631,DE_Base_Profile!$N$5:$Q$5,0))</f>
        <v>0</v>
      </c>
      <c r="I661">
        <f>(F632/365)*H661</f>
        <v>0</v>
      </c>
      <c r="J661">
        <f>(G661+I661)/(H632/365)</f>
        <v>0.0197286697552325</v>
      </c>
    </row>
    <row r="662" spans="1:10">
      <c r="A662">
        <f>DE_Base_Profile!H20</f>
        <v>14</v>
      </c>
      <c r="B662">
        <f>DE_Base_Profile!I20</f>
        <v>0.0459</v>
      </c>
      <c r="C662">
        <f>IF(DE_Base_Profile!J20=1,INDEX(DE_Lookups!$B$2:$B$4,MATCH(B631,DE_Lookups!$A$2:$A$4,0)),1)</f>
        <v>0.6</v>
      </c>
      <c r="D662">
        <f>IF(OR(D631="Air conditioning",D631="Heat pump (heating &amp; cooling)"),IF(DE_Base_Profile!K20=1,N632,1),1)*IF(OR(D631="Electric heating",D631="Heat pump (heating &amp; cooling)"),IF(DE_Base_Profile!L20=1,P632,1),1)</f>
        <v>1</v>
      </c>
      <c r="E662">
        <f t="shared" si="43"/>
        <v>0.02754</v>
      </c>
      <c r="F662">
        <f t="shared" si="44"/>
        <v>0.033349479292807</v>
      </c>
      <c r="G662">
        <f>((L631+D632)/365)*F662</f>
        <v>0.319789527465272</v>
      </c>
      <c r="H662">
        <f>INDEX(DE_Base_Profile!$N$6:$Q$29,ROW()-647,MATCH(J631,DE_Base_Profile!$N$5:$Q$5,0))</f>
        <v>0</v>
      </c>
      <c r="I662">
        <f>(F632/365)*H662</f>
        <v>0</v>
      </c>
      <c r="J662">
        <f>(G662+I662)/(H632/365)</f>
        <v>0.0188263189556168</v>
      </c>
    </row>
    <row r="663" spans="1:10">
      <c r="A663">
        <f>DE_Base_Profile!H21</f>
        <v>15</v>
      </c>
      <c r="B663">
        <f>DE_Base_Profile!I21</f>
        <v>0.0454</v>
      </c>
      <c r="C663">
        <f>IF(DE_Base_Profile!J21=1,INDEX(DE_Lookups!$B$2:$B$4,MATCH(B631,DE_Lookups!$A$2:$A$4,0)),1)</f>
        <v>0.6</v>
      </c>
      <c r="D663">
        <f>IF(OR(D631="Air conditioning",D631="Heat pump (heating &amp; cooling)"),IF(DE_Base_Profile!K21=1,N632,1),1)*IF(OR(D631="Electric heating",D631="Heat pump (heating &amp; cooling)"),IF(DE_Base_Profile!L21=1,P632,1),1)</f>
        <v>1</v>
      </c>
      <c r="E663">
        <f t="shared" si="43"/>
        <v>0.02724</v>
      </c>
      <c r="F663">
        <f t="shared" si="44"/>
        <v>0.03298619520465</v>
      </c>
      <c r="G663">
        <f>((L631+D632)/365)*F663</f>
        <v>0.316305981414452</v>
      </c>
      <c r="H663">
        <f>INDEX(DE_Base_Profile!$N$6:$Q$29,ROW()-647,MATCH(J631,DE_Base_Profile!$N$5:$Q$5,0))</f>
        <v>0</v>
      </c>
      <c r="I663">
        <f>(F632/365)*H663</f>
        <v>0</v>
      </c>
      <c r="J663">
        <f>(G663+I663)/(H632/365)</f>
        <v>0.0186212392284315</v>
      </c>
    </row>
    <row r="664" spans="1:10">
      <c r="A664">
        <f>DE_Base_Profile!H22</f>
        <v>16</v>
      </c>
      <c r="B664">
        <f>DE_Base_Profile!I22</f>
        <v>0.0475</v>
      </c>
      <c r="C664">
        <f>IF(DE_Base_Profile!J22=1,INDEX(DE_Lookups!$B$2:$B$4,MATCH(B631,DE_Lookups!$A$2:$A$4,0)),1)</f>
        <v>0.6</v>
      </c>
      <c r="D664">
        <f>IF(OR(D631="Air conditioning",D631="Heat pump (heating &amp; cooling)"),IF(DE_Base_Profile!K22=1,N632,1),1)*IF(OR(D631="Electric heating",D631="Heat pump (heating &amp; cooling)"),IF(DE_Base_Profile!L22=1,P632,1),1)</f>
        <v>1</v>
      </c>
      <c r="E664">
        <f t="shared" si="43"/>
        <v>0.0285</v>
      </c>
      <c r="F664">
        <f t="shared" si="44"/>
        <v>0.0345119883749092</v>
      </c>
      <c r="G664">
        <f>((L631+D632)/365)*F664</f>
        <v>0.330936874827896</v>
      </c>
      <c r="H664">
        <f>INDEX(DE_Base_Profile!$N$6:$Q$29,ROW()-647,MATCH(J631,DE_Base_Profile!$N$5:$Q$5,0))</f>
        <v>0</v>
      </c>
      <c r="I664">
        <f>(F632/365)*H664</f>
        <v>0</v>
      </c>
      <c r="J664">
        <f>(G664+I664)/(H632/365)</f>
        <v>0.01948257408261</v>
      </c>
    </row>
    <row r="665" spans="1:10">
      <c r="A665">
        <f>DE_Base_Profile!H23</f>
        <v>17</v>
      </c>
      <c r="B665">
        <f>DE_Base_Profile!I23</f>
        <v>0.0535</v>
      </c>
      <c r="C665">
        <f>IF(DE_Base_Profile!J23=1,INDEX(DE_Lookups!$B$2:$B$4,MATCH(B631,DE_Lookups!$A$2:$A$4,0)),1)</f>
        <v>0.6</v>
      </c>
      <c r="D665">
        <f>IF(OR(D631="Air conditioning",D631="Heat pump (heating &amp; cooling)"),IF(DE_Base_Profile!K23=1,N632,1),1)*IF(OR(D631="Electric heating",D631="Heat pump (heating &amp; cooling)"),IF(DE_Base_Profile!L23=1,P632,1),1)</f>
        <v>1</v>
      </c>
      <c r="E665">
        <f t="shared" si="43"/>
        <v>0.0321</v>
      </c>
      <c r="F665">
        <f t="shared" si="44"/>
        <v>0.0388713974327924</v>
      </c>
      <c r="G665">
        <f>((L631+D632)/365)*F665</f>
        <v>0.372739427437736</v>
      </c>
      <c r="H665">
        <f>INDEX(DE_Base_Profile!$N$6:$Q$29,ROW()-647,MATCH(J631,DE_Base_Profile!$N$5:$Q$5,0))</f>
        <v>0</v>
      </c>
      <c r="I665">
        <f>(F632/365)*H665</f>
        <v>0</v>
      </c>
      <c r="J665">
        <f>(G665+I665)/(H632/365)</f>
        <v>0.0219435308088344</v>
      </c>
    </row>
    <row r="666" spans="1:10">
      <c r="A666">
        <f>DE_Base_Profile!H24</f>
        <v>18</v>
      </c>
      <c r="B666">
        <f>DE_Base_Profile!I24</f>
        <v>0.0587</v>
      </c>
      <c r="C666">
        <f>IF(DE_Base_Profile!J24=1,INDEX(DE_Lookups!$B$2:$B$4,MATCH(B631,DE_Lookups!$A$2:$A$4,0)),1)</f>
        <v>1</v>
      </c>
      <c r="D666">
        <f>IF(OR(D631="Air conditioning",D631="Heat pump (heating &amp; cooling)"),IF(DE_Base_Profile!K24=1,N632,1),1)*IF(OR(D631="Electric heating",D631="Heat pump (heating &amp; cooling)"),IF(DE_Base_Profile!L24=1,P632,1),1)</f>
        <v>1</v>
      </c>
      <c r="E666">
        <f t="shared" si="43"/>
        <v>0.0587</v>
      </c>
      <c r="F666">
        <f t="shared" si="44"/>
        <v>0.0710825865827077</v>
      </c>
      <c r="G666">
        <f>((L631+D632)/365)*F666</f>
        <v>0.681613843943772</v>
      </c>
      <c r="H666">
        <f>INDEX(DE_Base_Profile!$N$6:$Q$29,ROW()-647,MATCH(J631,DE_Base_Profile!$N$5:$Q$5,0))</f>
        <v>0</v>
      </c>
      <c r="I666">
        <f>(F632/365)*H666</f>
        <v>0</v>
      </c>
      <c r="J666">
        <f>(G666+I666)/(H632/365)</f>
        <v>0.0401272666192705</v>
      </c>
    </row>
    <row r="667" spans="1:10">
      <c r="A667">
        <f>DE_Base_Profile!H25</f>
        <v>19</v>
      </c>
      <c r="B667">
        <f>DE_Base_Profile!I25</f>
        <v>0.0591</v>
      </c>
      <c r="C667">
        <f>IF(DE_Base_Profile!J25=1,INDEX(DE_Lookups!$B$2:$B$4,MATCH(B631,DE_Lookups!$A$2:$A$4,0)),1)</f>
        <v>1</v>
      </c>
      <c r="D667">
        <f>IF(OR(D631="Air conditioning",D631="Heat pump (heating &amp; cooling)"),IF(DE_Base_Profile!K25=1,N632,1),1)*IF(OR(D631="Electric heating",D631="Heat pump (heating &amp; cooling)"),IF(DE_Base_Profile!L25=1,P632,1),1)</f>
        <v>1</v>
      </c>
      <c r="E667">
        <f t="shared" si="43"/>
        <v>0.0591</v>
      </c>
      <c r="F667">
        <f t="shared" si="44"/>
        <v>0.0715669653669169</v>
      </c>
      <c r="G667">
        <f>((L631+D632)/365)*F667</f>
        <v>0.686258572011532</v>
      </c>
      <c r="H667">
        <f>INDEX(DE_Base_Profile!$N$6:$Q$29,ROW()-647,MATCH(J631,DE_Base_Profile!$N$5:$Q$5,0))</f>
        <v>0</v>
      </c>
      <c r="I667">
        <f>(F632/365)*H667</f>
        <v>0</v>
      </c>
      <c r="J667">
        <f>(G667+I667)/(H632/365)</f>
        <v>0.0404007062555176</v>
      </c>
    </row>
    <row r="668" spans="1:10">
      <c r="A668">
        <f>DE_Base_Profile!H26</f>
        <v>20</v>
      </c>
      <c r="B668">
        <f>DE_Base_Profile!I26</f>
        <v>0.0556</v>
      </c>
      <c r="C668">
        <f>IF(DE_Base_Profile!J26=1,INDEX(DE_Lookups!$B$2:$B$4,MATCH(B631,DE_Lookups!$A$2:$A$4,0)),1)</f>
        <v>1</v>
      </c>
      <c r="D668">
        <f>IF(OR(D631="Air conditioning",D631="Heat pump (heating &amp; cooling)"),IF(DE_Base_Profile!K26=1,N632,1),1)*IF(OR(D631="Electric heating",D631="Heat pump (heating &amp; cooling)"),IF(DE_Base_Profile!L26=1,P632,1),1)</f>
        <v>1</v>
      </c>
      <c r="E668">
        <f t="shared" si="43"/>
        <v>0.0556</v>
      </c>
      <c r="F668">
        <f t="shared" si="44"/>
        <v>0.067328651005086</v>
      </c>
      <c r="G668">
        <f>((L631+D632)/365)*F668</f>
        <v>0.645617201418633</v>
      </c>
      <c r="H668">
        <f>INDEX(DE_Base_Profile!$N$6:$Q$29,ROW()-647,MATCH(J631,DE_Base_Profile!$N$5:$Q$5,0))</f>
        <v>0</v>
      </c>
      <c r="I668">
        <f>(F632/365)*H668</f>
        <v>0</v>
      </c>
      <c r="J668">
        <f>(G668+I668)/(H632/365)</f>
        <v>0.038008109438355</v>
      </c>
    </row>
    <row r="669" spans="1:10">
      <c r="A669">
        <f>DE_Base_Profile!H27</f>
        <v>21</v>
      </c>
      <c r="B669">
        <f>DE_Base_Profile!I27</f>
        <v>0.0508</v>
      </c>
      <c r="C669">
        <f>IF(DE_Base_Profile!J27=1,INDEX(DE_Lookups!$B$2:$B$4,MATCH(B631,DE_Lookups!$A$2:$A$4,0)),1)</f>
        <v>1</v>
      </c>
      <c r="D669">
        <f>IF(OR(D631="Air conditioning",D631="Heat pump (heating &amp; cooling)"),IF(DE_Base_Profile!K27=1,N632,1),1)*IF(OR(D631="Electric heating",D631="Heat pump (heating &amp; cooling)"),IF(DE_Base_Profile!L27=1,P632,1),1)</f>
        <v>1</v>
      </c>
      <c r="E669">
        <f t="shared" si="43"/>
        <v>0.0508</v>
      </c>
      <c r="F669">
        <f t="shared" si="44"/>
        <v>0.061516105594575</v>
      </c>
      <c r="G669">
        <f>((L631+D632)/365)*F669</f>
        <v>0.589880464605513</v>
      </c>
      <c r="H669">
        <f>INDEX(DE_Base_Profile!$N$6:$Q$29,ROW()-647,MATCH(J631,DE_Base_Profile!$N$5:$Q$5,0))</f>
        <v>0</v>
      </c>
      <c r="I669">
        <f>(F632/365)*H669</f>
        <v>0</v>
      </c>
      <c r="J669">
        <f>(G669+I669)/(H632/365)</f>
        <v>0.0347268338033891</v>
      </c>
    </row>
    <row r="670" spans="1:10">
      <c r="A670">
        <f>DE_Base_Profile!H28</f>
        <v>22</v>
      </c>
      <c r="B670">
        <f>DE_Base_Profile!I28</f>
        <v>0.0451</v>
      </c>
      <c r="C670">
        <f>IF(DE_Base_Profile!J28=1,INDEX(DE_Lookups!$B$2:$B$4,MATCH(B631,DE_Lookups!$A$2:$A$4,0)),1)</f>
        <v>1</v>
      </c>
      <c r="D670">
        <f>IF(OR(D631="Air conditioning",D631="Heat pump (heating &amp; cooling)"),IF(DE_Base_Profile!K28=1,N632,1),1)*IF(OR(D631="Electric heating",D631="Heat pump (heating &amp; cooling)"),IF(DE_Base_Profile!L28=1,P632,1),1)</f>
        <v>1</v>
      </c>
      <c r="E670">
        <f t="shared" si="43"/>
        <v>0.0451</v>
      </c>
      <c r="F670">
        <f t="shared" si="44"/>
        <v>0.0546137079195931</v>
      </c>
      <c r="G670">
        <f>((L631+D632)/365)*F670</f>
        <v>0.523693089639934</v>
      </c>
      <c r="H670">
        <f>INDEX(DE_Base_Profile!$N$6:$Q$29,ROW()-647,MATCH(J631,DE_Base_Profile!$N$5:$Q$5,0))</f>
        <v>0.125</v>
      </c>
      <c r="I670">
        <f>(F632/365)*H670</f>
        <v>0.924657534246575</v>
      </c>
      <c r="J670">
        <f>(G670+I670)/(H632/365)</f>
        <v>0.0852658028578348</v>
      </c>
    </row>
    <row r="671" spans="1:10">
      <c r="A671">
        <f>DE_Base_Profile!H29</f>
        <v>23</v>
      </c>
      <c r="B671">
        <f>DE_Base_Profile!I29</f>
        <v>0.0366</v>
      </c>
      <c r="C671">
        <f>IF(DE_Base_Profile!J29=1,INDEX(DE_Lookups!$B$2:$B$4,MATCH(B631,DE_Lookups!$A$2:$A$4,0)),1)</f>
        <v>1</v>
      </c>
      <c r="D671">
        <f>IF(OR(D631="Air conditioning",D631="Heat pump (heating &amp; cooling)"),IF(DE_Base_Profile!K29=1,N632,1),1)*IF(OR(D631="Electric heating",D631="Heat pump (heating &amp; cooling)"),IF(DE_Base_Profile!L29=1,P632,1),1)</f>
        <v>1</v>
      </c>
      <c r="E671">
        <f t="shared" si="43"/>
        <v>0.0366</v>
      </c>
      <c r="F671">
        <f t="shared" si="44"/>
        <v>0.0443206587551465</v>
      </c>
      <c r="G671">
        <f>((L631+D632)/365)*F671</f>
        <v>0.424992618200035</v>
      </c>
      <c r="H671">
        <f>INDEX(DE_Base_Profile!$N$6:$Q$29,ROW()-647,MATCH(J631,DE_Base_Profile!$N$5:$Q$5,0))</f>
        <v>0.125</v>
      </c>
      <c r="I671">
        <f>(F632/365)*H671</f>
        <v>0.924657534246575</v>
      </c>
      <c r="J671">
        <f>(G671+I671)/(H632/365)</f>
        <v>0.0794552105875827</v>
      </c>
    </row>
    <row r="676" spans="1:16">
      <c r="A676" t="s">
        <v>51</v>
      </c>
      <c r="B676" t="str">
        <f>DE_Option_Monthly!C19</f>
        <v>Mostly away during the day</v>
      </c>
      <c r="C676" t="s">
        <v>188</v>
      </c>
      <c r="D676" t="str">
        <f>DE_Option_Monthly!D19</f>
        <v>No heating or cooling system</v>
      </c>
      <c r="E676" t="s">
        <v>68</v>
      </c>
      <c r="F676" t="str">
        <f>DE_Option_Monthly!E19</f>
        <v>Medium</v>
      </c>
      <c r="G676" t="s">
        <v>98</v>
      </c>
      <c r="H676" t="str">
        <f>DE_Option_Monthly!F19</f>
        <v>20,000 km</v>
      </c>
      <c r="I676" t="s">
        <v>289</v>
      </c>
      <c r="J676" t="str">
        <f>DE_Option_Monthly!G19</f>
        <v>Mostly overnight</v>
      </c>
      <c r="K676" t="s">
        <v>290</v>
      </c>
      <c r="L676">
        <f>DE_Option_Monthly!$B$1</f>
        <v>3500</v>
      </c>
    </row>
    <row r="677" spans="1:16">
      <c r="A677" t="s">
        <v>291</v>
      </c>
      <c r="B677">
        <f>INDEX(DE_Lookups!$E$2:$E$5,MATCH(F676,DE_Lookups!$D$2:$D$5,0))</f>
        <v>1</v>
      </c>
      <c r="C677" t="s">
        <v>292</v>
      </c>
      <c r="D677">
        <f>IF(OR(D676="Electric heating",D676="Heat pump (heating &amp; cooling)"),INDEX(DE_Lookups!$L$2:$L$5,MATCH(D676,DE_Lookups!$K$2:$K$5,0))*B677,0)</f>
        <v>0</v>
      </c>
      <c r="E677" t="s">
        <v>293</v>
      </c>
      <c r="F677">
        <f>INDEX(DE_Lookups!$O$2:$O$7,MATCH(H676,DE_Lookups!$N$2:$N$7,0))*0.18</f>
        <v>3600</v>
      </c>
      <c r="G677" t="s">
        <v>294</v>
      </c>
      <c r="H677">
        <f>L676+D677+F677</f>
        <v>7100</v>
      </c>
      <c r="I677" t="s">
        <v>295</v>
      </c>
      <c r="J677">
        <f>INDEX(DE_Lookups!$F$2:$F$5,MATCH(F676,DE_Lookups!$D$2:$D$5,0))</f>
        <v>1.1</v>
      </c>
      <c r="K677" t="s">
        <v>296</v>
      </c>
      <c r="L677">
        <f>INDEX(DE_Lookups!$G$2:$G$5,MATCH(F676,DE_Lookups!$D$2:$D$5,0))</f>
        <v>1.15</v>
      </c>
      <c r="M677" t="s">
        <v>297</v>
      </c>
      <c r="N677">
        <f>INDEX(DE_Lookups!$H$2:$H$5,MATCH(F676,DE_Lookups!$D$2:$D$5,0))</f>
        <v>1.2</v>
      </c>
      <c r="O677" t="s">
        <v>298</v>
      </c>
      <c r="P677">
        <f>INDEX(DE_Lookups!$I$2:$I$5,MATCH(F676,DE_Lookups!$D$2:$D$5,0))</f>
        <v>1.15</v>
      </c>
    </row>
    <row r="679" spans="1:16">
      <c r="A679" t="str">
        <f>DE_Base_Profile!A6</f>
        <v>1月</v>
      </c>
      <c r="B679">
        <f>DE_Base_Profile!B6</f>
        <v>0.0789</v>
      </c>
      <c r="C679">
        <f>L676*B679</f>
        <v>276.15</v>
      </c>
      <c r="D679">
        <f>1+IF(OR(D676="Air conditioning",D676="Heat pump (heating &amp; cooling)"),IF(DE_Base_Profile!D6=1,J677-1,0),0)+IF(OR(D676="Electric heating",D676="Heat pump (heating &amp; cooling)"),IF(DE_Base_Profile!E6=1,L677-1,0),0)</f>
        <v>1</v>
      </c>
      <c r="E679">
        <f t="shared" ref="E679:E690" si="45">C679*D679</f>
        <v>276.15</v>
      </c>
      <c r="F679">
        <f>IF(D676="Electric heating",IF(DE_Base_Profile!E6=1,B679*L677,0),IF(D676="Heat pump (heating &amp; cooling)",IF(DE_Base_Profile!D6=1,B679*J677,0)+IF(DE_Base_Profile!E6=1,B679*L677,0),0))</f>
        <v>0</v>
      </c>
      <c r="G679">
        <f>IF(SUM($F$679:$F$690)=0,0,D677*F679/SUM($F$679:$F$690))</f>
        <v>0</v>
      </c>
      <c r="H679">
        <f>F677/12</f>
        <v>300</v>
      </c>
      <c r="I679">
        <f>E679/SUM($E$679:$E$690)*L676+G679+H679</f>
        <v>576.15</v>
      </c>
      <c r="J679">
        <f>I679/H677</f>
        <v>0.0811478873239436</v>
      </c>
    </row>
    <row r="680" spans="1:16">
      <c r="A680" t="str">
        <f>DE_Base_Profile!A7</f>
        <v>2月</v>
      </c>
      <c r="B680">
        <f>DE_Base_Profile!B7</f>
        <v>0.0791</v>
      </c>
      <c r="C680">
        <f>L676*B680</f>
        <v>276.85</v>
      </c>
      <c r="D680">
        <f>1+IF(OR(D676="Air conditioning",D676="Heat pump (heating &amp; cooling)"),IF(DE_Base_Profile!D7=1,J677-1,0),0)+IF(OR(D676="Electric heating",D676="Heat pump (heating &amp; cooling)"),IF(DE_Base_Profile!E7=1,L677-1,0),0)</f>
        <v>1</v>
      </c>
      <c r="E680">
        <f t="shared" si="45"/>
        <v>276.85</v>
      </c>
      <c r="F680">
        <f>IF(D676="Electric heating",IF(DE_Base_Profile!E7=1,B680*L677,0),IF(D676="Heat pump (heating &amp; cooling)",IF(DE_Base_Profile!D7=1,B680*J677,0)+IF(DE_Base_Profile!E7=1,B680*L677,0),0))</f>
        <v>0</v>
      </c>
      <c r="G680">
        <f>IF(SUM($F$679:$F$690)=0,0,D677*F680/SUM($F$679:$F$690))</f>
        <v>0</v>
      </c>
      <c r="H680">
        <f>F677/12</f>
        <v>300</v>
      </c>
      <c r="I680">
        <f>E680/SUM($E$679:$E$690)*L676+G680+H680</f>
        <v>576.85</v>
      </c>
      <c r="J680">
        <f>I680/H677</f>
        <v>0.0812464788732394</v>
      </c>
    </row>
    <row r="681" spans="1:16">
      <c r="A681" t="str">
        <f>DE_Base_Profile!A8</f>
        <v>3月</v>
      </c>
      <c r="B681">
        <f>DE_Base_Profile!B8</f>
        <v>0.0773</v>
      </c>
      <c r="C681">
        <f>L676*B681</f>
        <v>270.55</v>
      </c>
      <c r="D681">
        <f>1+IF(OR(D676="Air conditioning",D676="Heat pump (heating &amp; cooling)"),IF(DE_Base_Profile!D8=1,J677-1,0),0)+IF(OR(D676="Electric heating",D676="Heat pump (heating &amp; cooling)"),IF(DE_Base_Profile!E8=1,L677-1,0),0)</f>
        <v>1</v>
      </c>
      <c r="E681">
        <f t="shared" si="45"/>
        <v>270.55</v>
      </c>
      <c r="F681">
        <f>IF(D676="Electric heating",IF(DE_Base_Profile!E8=1,B681*L677,0),IF(D676="Heat pump (heating &amp; cooling)",IF(DE_Base_Profile!D8=1,B681*J677,0)+IF(DE_Base_Profile!E8=1,B681*L677,0),0))</f>
        <v>0</v>
      </c>
      <c r="G681">
        <f>IF(SUM($F$679:$F$690)=0,0,D677*F681/SUM($F$679:$F$690))</f>
        <v>0</v>
      </c>
      <c r="H681">
        <f>F677/12</f>
        <v>300</v>
      </c>
      <c r="I681">
        <f>E681/SUM($E$679:$E$690)*L676+G681+H681</f>
        <v>570.55</v>
      </c>
      <c r="J681">
        <f>I681/H677</f>
        <v>0.0803591549295775</v>
      </c>
    </row>
    <row r="682" spans="1:16">
      <c r="A682" t="str">
        <f>DE_Base_Profile!A9</f>
        <v>4月</v>
      </c>
      <c r="B682">
        <f>DE_Base_Profile!B9</f>
        <v>0.0822</v>
      </c>
      <c r="C682">
        <f>L676*B682</f>
        <v>287.7</v>
      </c>
      <c r="D682">
        <f>1+IF(OR(D676="Air conditioning",D676="Heat pump (heating &amp; cooling)"),IF(DE_Base_Profile!D9=1,J677-1,0),0)+IF(OR(D676="Electric heating",D676="Heat pump (heating &amp; cooling)"),IF(DE_Base_Profile!E9=1,L677-1,0),0)</f>
        <v>1</v>
      </c>
      <c r="E682">
        <f t="shared" si="45"/>
        <v>287.7</v>
      </c>
      <c r="F682">
        <f>IF(D676="Electric heating",IF(DE_Base_Profile!E9=1,B682*L677,0),IF(D676="Heat pump (heating &amp; cooling)",IF(DE_Base_Profile!D9=1,B682*J677,0)+IF(DE_Base_Profile!E9=1,B682*L677,0),0))</f>
        <v>0</v>
      </c>
      <c r="G682">
        <f>IF(SUM($F$679:$F$690)=0,0,D677*F682/SUM($F$679:$F$690))</f>
        <v>0</v>
      </c>
      <c r="H682">
        <f>F677/12</f>
        <v>300</v>
      </c>
      <c r="I682">
        <f>E682/SUM($E$679:$E$690)*L676+G682+H682</f>
        <v>587.7</v>
      </c>
      <c r="J682">
        <f>I682/H677</f>
        <v>0.0827746478873239</v>
      </c>
    </row>
    <row r="683" spans="1:16">
      <c r="A683" t="str">
        <f>DE_Base_Profile!A10</f>
        <v>5月</v>
      </c>
      <c r="B683">
        <f>DE_Base_Profile!B10</f>
        <v>0.0839</v>
      </c>
      <c r="C683">
        <f>L676*B683</f>
        <v>293.65</v>
      </c>
      <c r="D683">
        <f>1+IF(OR(D676="Air conditioning",D676="Heat pump (heating &amp; cooling)"),IF(DE_Base_Profile!D10=1,J677-1,0),0)+IF(OR(D676="Electric heating",D676="Heat pump (heating &amp; cooling)"),IF(DE_Base_Profile!E10=1,L677-1,0),0)</f>
        <v>1</v>
      </c>
      <c r="E683">
        <f t="shared" si="45"/>
        <v>293.65</v>
      </c>
      <c r="F683">
        <f>IF(D676="Electric heating",IF(DE_Base_Profile!E10=1,B683*L677,0),IF(D676="Heat pump (heating &amp; cooling)",IF(DE_Base_Profile!D10=1,B683*J677,0)+IF(DE_Base_Profile!E10=1,B683*L677,0),0))</f>
        <v>0</v>
      </c>
      <c r="G683">
        <f>IF(SUM($F$679:$F$690)=0,0,D677*F683/SUM($F$679:$F$690))</f>
        <v>0</v>
      </c>
      <c r="H683">
        <f>F677/12</f>
        <v>300</v>
      </c>
      <c r="I683">
        <f>E683/SUM($E$679:$E$690)*L676+G683+H683</f>
        <v>593.65</v>
      </c>
      <c r="J683">
        <f>I683/H677</f>
        <v>0.083612676056338</v>
      </c>
    </row>
    <row r="684" spans="1:16">
      <c r="A684" t="str">
        <f>DE_Base_Profile!A11</f>
        <v>6月</v>
      </c>
      <c r="B684">
        <f>DE_Base_Profile!B11</f>
        <v>0.0876</v>
      </c>
      <c r="C684">
        <f>L676*B684</f>
        <v>306.6</v>
      </c>
      <c r="D684">
        <f>1+IF(OR(D676="Air conditioning",D676="Heat pump (heating &amp; cooling)"),IF(DE_Base_Profile!D11=1,J677-1,0),0)+IF(OR(D676="Electric heating",D676="Heat pump (heating &amp; cooling)"),IF(DE_Base_Profile!E11=1,L677-1,0),0)</f>
        <v>1</v>
      </c>
      <c r="E684">
        <f t="shared" si="45"/>
        <v>306.6</v>
      </c>
      <c r="F684">
        <f>IF(D676="Electric heating",IF(DE_Base_Profile!E11=1,B684*L677,0),IF(D676="Heat pump (heating &amp; cooling)",IF(DE_Base_Profile!D11=1,B684*J677,0)+IF(DE_Base_Profile!E11=1,B684*L677,0),0))</f>
        <v>0</v>
      </c>
      <c r="G684">
        <f>IF(SUM($F$679:$F$690)=0,0,D677*F684/SUM($F$679:$F$690))</f>
        <v>0</v>
      </c>
      <c r="H684">
        <f>F677/12</f>
        <v>300</v>
      </c>
      <c r="I684">
        <f>E684/SUM($E$679:$E$690)*L676+G684+H684</f>
        <v>606.6</v>
      </c>
      <c r="J684">
        <f>I684/H677</f>
        <v>0.0854366197183098</v>
      </c>
    </row>
    <row r="685" spans="1:16">
      <c r="A685" t="str">
        <f>DE_Base_Profile!A12</f>
        <v>7月</v>
      </c>
      <c r="B685">
        <f>DE_Base_Profile!B12</f>
        <v>0.0917</v>
      </c>
      <c r="C685">
        <f>L676*B685</f>
        <v>320.95</v>
      </c>
      <c r="D685">
        <f>1+IF(OR(D676="Air conditioning",D676="Heat pump (heating &amp; cooling)"),IF(DE_Base_Profile!D12=1,J677-1,0),0)+IF(OR(D676="Electric heating",D676="Heat pump (heating &amp; cooling)"),IF(DE_Base_Profile!E12=1,L677-1,0),0)</f>
        <v>1</v>
      </c>
      <c r="E685">
        <f t="shared" si="45"/>
        <v>320.95</v>
      </c>
      <c r="F685">
        <f>IF(D676="Electric heating",IF(DE_Base_Profile!E12=1,B685*L677,0),IF(D676="Heat pump (heating &amp; cooling)",IF(DE_Base_Profile!D12=1,B685*J677,0)+IF(DE_Base_Profile!E12=1,B685*L677,0),0))</f>
        <v>0</v>
      </c>
      <c r="G685">
        <f>IF(SUM($F$679:$F$690)=0,0,D677*F685/SUM($F$679:$F$690))</f>
        <v>0</v>
      </c>
      <c r="H685">
        <f>F677/12</f>
        <v>300</v>
      </c>
      <c r="I685">
        <f>E685/SUM($E$679:$E$690)*L676+G685+H685</f>
        <v>620.95</v>
      </c>
      <c r="J685">
        <f>I685/H677</f>
        <v>0.0874577464788732</v>
      </c>
    </row>
    <row r="686" spans="1:16">
      <c r="A686" t="str">
        <f>DE_Base_Profile!A13</f>
        <v>8月</v>
      </c>
      <c r="B686">
        <f>DE_Base_Profile!B13</f>
        <v>0.0887</v>
      </c>
      <c r="C686">
        <f>L676*B686</f>
        <v>310.45</v>
      </c>
      <c r="D686">
        <f>1+IF(OR(D676="Air conditioning",D676="Heat pump (heating &amp; cooling)"),IF(DE_Base_Profile!D13=1,J677-1,0),0)+IF(OR(D676="Electric heating",D676="Heat pump (heating &amp; cooling)"),IF(DE_Base_Profile!E13=1,L677-1,0),0)</f>
        <v>1</v>
      </c>
      <c r="E686">
        <f t="shared" si="45"/>
        <v>310.45</v>
      </c>
      <c r="F686">
        <f>IF(D676="Electric heating",IF(DE_Base_Profile!E13=1,B686*L677,0),IF(D676="Heat pump (heating &amp; cooling)",IF(DE_Base_Profile!D13=1,B686*J677,0)+IF(DE_Base_Profile!E13=1,B686*L677,0),0))</f>
        <v>0</v>
      </c>
      <c r="G686">
        <f>IF(SUM($F$679:$F$690)=0,0,D677*F686/SUM($F$679:$F$690))</f>
        <v>0</v>
      </c>
      <c r="H686">
        <f>F677/12</f>
        <v>300</v>
      </c>
      <c r="I686">
        <f>E686/SUM($E$679:$E$690)*L676+G686+H686</f>
        <v>610.45</v>
      </c>
      <c r="J686">
        <f>I686/H677</f>
        <v>0.0859788732394366</v>
      </c>
    </row>
    <row r="687" spans="1:16">
      <c r="A687" t="str">
        <f>DE_Base_Profile!A14</f>
        <v>9月</v>
      </c>
      <c r="B687">
        <f>DE_Base_Profile!B14</f>
        <v>0.0853</v>
      </c>
      <c r="C687">
        <f>L676*B687</f>
        <v>298.55</v>
      </c>
      <c r="D687">
        <f>1+IF(OR(D676="Air conditioning",D676="Heat pump (heating &amp; cooling)"),IF(DE_Base_Profile!D14=1,J677-1,0),0)+IF(OR(D676="Electric heating",D676="Heat pump (heating &amp; cooling)"),IF(DE_Base_Profile!E14=1,L677-1,0),0)</f>
        <v>1</v>
      </c>
      <c r="E687">
        <f t="shared" si="45"/>
        <v>298.55</v>
      </c>
      <c r="F687">
        <f>IF(D676="Electric heating",IF(DE_Base_Profile!E14=1,B687*L677,0),IF(D676="Heat pump (heating &amp; cooling)",IF(DE_Base_Profile!D14=1,B687*J677,0)+IF(DE_Base_Profile!E14=1,B687*L677,0),0))</f>
        <v>0</v>
      </c>
      <c r="G687">
        <f>IF(SUM($F$679:$F$690)=0,0,D677*F687/SUM($F$679:$F$690))</f>
        <v>0</v>
      </c>
      <c r="H687">
        <f>F677/12</f>
        <v>300</v>
      </c>
      <c r="I687">
        <f>E687/SUM($E$679:$E$690)*L676+G687+H687</f>
        <v>598.55</v>
      </c>
      <c r="J687">
        <f>I687/H677</f>
        <v>0.0843028169014085</v>
      </c>
    </row>
    <row r="688" spans="1:16">
      <c r="A688" t="str">
        <f>DE_Base_Profile!A15</f>
        <v>10月</v>
      </c>
      <c r="B688">
        <f>DE_Base_Profile!B15</f>
        <v>0.0838</v>
      </c>
      <c r="C688">
        <f>L676*B688</f>
        <v>293.3</v>
      </c>
      <c r="D688">
        <f>1+IF(OR(D676="Air conditioning",D676="Heat pump (heating &amp; cooling)"),IF(DE_Base_Profile!D15=1,J677-1,0),0)+IF(OR(D676="Electric heating",D676="Heat pump (heating &amp; cooling)"),IF(DE_Base_Profile!E15=1,L677-1,0),0)</f>
        <v>1</v>
      </c>
      <c r="E688">
        <f t="shared" si="45"/>
        <v>293.3</v>
      </c>
      <c r="F688">
        <f>IF(D676="Electric heating",IF(DE_Base_Profile!E15=1,B688*L677,0),IF(D676="Heat pump (heating &amp; cooling)",IF(DE_Base_Profile!D15=1,B688*J677,0)+IF(DE_Base_Profile!E15=1,B688*L677,0),0))</f>
        <v>0</v>
      </c>
      <c r="G688">
        <f>IF(SUM($F$679:$F$690)=0,0,D677*F688/SUM($F$679:$F$690))</f>
        <v>0</v>
      </c>
      <c r="H688">
        <f>F677/12</f>
        <v>300</v>
      </c>
      <c r="I688">
        <f>E688/SUM($E$679:$E$690)*L676+G688+H688</f>
        <v>593.3</v>
      </c>
      <c r="J688">
        <f>I688/H677</f>
        <v>0.0835633802816901</v>
      </c>
    </row>
    <row r="689" spans="1:10">
      <c r="A689" t="str">
        <f>DE_Base_Profile!A16</f>
        <v>11月</v>
      </c>
      <c r="B689">
        <f>DE_Base_Profile!B16</f>
        <v>0.0819</v>
      </c>
      <c r="C689">
        <f>L676*B689</f>
        <v>286.65</v>
      </c>
      <c r="D689">
        <f>1+IF(OR(D676="Air conditioning",D676="Heat pump (heating &amp; cooling)"),IF(DE_Base_Profile!D16=1,J677-1,0),0)+IF(OR(D676="Electric heating",D676="Heat pump (heating &amp; cooling)"),IF(DE_Base_Profile!E16=1,L677-1,0),0)</f>
        <v>1</v>
      </c>
      <c r="E689">
        <f t="shared" si="45"/>
        <v>286.65</v>
      </c>
      <c r="F689">
        <f>IF(D676="Electric heating",IF(DE_Base_Profile!E16=1,B689*L677,0),IF(D676="Heat pump (heating &amp; cooling)",IF(DE_Base_Profile!D16=1,B689*J677,0)+IF(DE_Base_Profile!E16=1,B689*L677,0),0))</f>
        <v>0</v>
      </c>
      <c r="G689">
        <f>IF(SUM($F$679:$F$690)=0,0,D677*F689/SUM($F$679:$F$690))</f>
        <v>0</v>
      </c>
      <c r="H689">
        <f>F677/12</f>
        <v>300</v>
      </c>
      <c r="I689">
        <f>E689/SUM($E$679:$E$690)*L676+G689+H689</f>
        <v>586.65</v>
      </c>
      <c r="J689">
        <f>I689/H677</f>
        <v>0.0826267605633803</v>
      </c>
    </row>
    <row r="690" spans="1:10">
      <c r="A690" t="str">
        <f>DE_Base_Profile!A17</f>
        <v>12月</v>
      </c>
      <c r="B690">
        <f>DE_Base_Profile!B17</f>
        <v>0.0796</v>
      </c>
      <c r="C690">
        <f>L676*B690</f>
        <v>278.6</v>
      </c>
      <c r="D690">
        <f>1+IF(OR(D676="Air conditioning",D676="Heat pump (heating &amp; cooling)"),IF(DE_Base_Profile!D17=1,J677-1,0),0)+IF(OR(D676="Electric heating",D676="Heat pump (heating &amp; cooling)"),IF(DE_Base_Profile!E17=1,L677-1,0),0)</f>
        <v>1</v>
      </c>
      <c r="E690">
        <f t="shared" si="45"/>
        <v>278.6</v>
      </c>
      <c r="F690">
        <f>IF(D676="Electric heating",IF(DE_Base_Profile!E17=1,B690*L677,0),IF(D676="Heat pump (heating &amp; cooling)",IF(DE_Base_Profile!D17=1,B690*J677,0)+IF(DE_Base_Profile!E17=1,B690*L677,0),0))</f>
        <v>0</v>
      </c>
      <c r="G690">
        <f>IF(SUM($F$679:$F$690)=0,0,D677*F690/SUM($F$679:$F$690))</f>
        <v>0</v>
      </c>
      <c r="H690">
        <f>F677/12</f>
        <v>300</v>
      </c>
      <c r="I690">
        <f>E690/SUM($E$679:$E$690)*L676+G690+H690</f>
        <v>578.6</v>
      </c>
      <c r="J690">
        <f>I690/H677</f>
        <v>0.0814929577464789</v>
      </c>
    </row>
    <row r="693" spans="1:10">
      <c r="A693">
        <f>DE_Base_Profile!H6</f>
        <v>0</v>
      </c>
      <c r="B693">
        <f>DE_Base_Profile!I6</f>
        <v>0.0301</v>
      </c>
      <c r="C693">
        <f>IF(DE_Base_Profile!J6=1,INDEX(DE_Lookups!$B$2:$B$4,MATCH(B676,DE_Lookups!$A$2:$A$4,0)),1)</f>
        <v>1</v>
      </c>
      <c r="D693">
        <f>IF(OR(D676="Air conditioning",D676="Heat pump (heating &amp; cooling)"),IF(DE_Base_Profile!K6=1,N677,1),1)*IF(OR(D676="Electric heating",D676="Heat pump (heating &amp; cooling)"),IF(DE_Base_Profile!L6=1,P677,1),1)</f>
        <v>1</v>
      </c>
      <c r="E693">
        <f t="shared" ref="E693:E716" si="46">B693*C693*D693</f>
        <v>0.0301</v>
      </c>
      <c r="F693">
        <f t="shared" ref="F693:F716" si="47">E693/SUM($E$693:$E$716)</f>
        <v>0.0364495035117462</v>
      </c>
      <c r="G693">
        <f>((L676+D677)/365)*F693</f>
        <v>0.349515787098936</v>
      </c>
      <c r="H693">
        <f>INDEX(DE_Base_Profile!$N$6:$Q$29,ROW()-692,MATCH(J676,DE_Base_Profile!$N$5:$Q$5,0))</f>
        <v>0.125</v>
      </c>
      <c r="I693">
        <f>(F677/365)*H693</f>
        <v>1.23287671232877</v>
      </c>
      <c r="J693">
        <f>(G693+I693)/(H677/365)</f>
        <v>0.081348346801565</v>
      </c>
    </row>
    <row r="694" spans="1:10">
      <c r="A694">
        <f>DE_Base_Profile!H7</f>
        <v>1</v>
      </c>
      <c r="B694">
        <f>DE_Base_Profile!I7</f>
        <v>0.0258</v>
      </c>
      <c r="C694">
        <f>IF(DE_Base_Profile!J7=1,INDEX(DE_Lookups!$B$2:$B$4,MATCH(B676,DE_Lookups!$A$2:$A$4,0)),1)</f>
        <v>1</v>
      </c>
      <c r="D694">
        <f>IF(OR(D676="Air conditioning",D676="Heat pump (heating &amp; cooling)"),IF(DE_Base_Profile!K7=1,N677,1),1)*IF(OR(D676="Electric heating",D676="Heat pump (heating &amp; cooling)"),IF(DE_Base_Profile!L7=1,P677,1),1)</f>
        <v>1</v>
      </c>
      <c r="E694">
        <f t="shared" si="46"/>
        <v>0.0258</v>
      </c>
      <c r="F694">
        <f t="shared" si="47"/>
        <v>0.0312424315814967</v>
      </c>
      <c r="G694">
        <f>((L676+D677)/365)*F694</f>
        <v>0.299584960370517</v>
      </c>
      <c r="H694">
        <f>INDEX(DE_Base_Profile!$N$6:$Q$29,ROW()-692,MATCH(J676,DE_Base_Profile!$N$5:$Q$5,0))</f>
        <v>0.125</v>
      </c>
      <c r="I694">
        <f>(F677/365)*H694</f>
        <v>1.23287671232877</v>
      </c>
      <c r="J694">
        <f>(G694+I694)/(H677/365)</f>
        <v>0.0787814803570758</v>
      </c>
    </row>
    <row r="695" spans="1:10">
      <c r="A695">
        <f>DE_Base_Profile!H8</f>
        <v>2</v>
      </c>
      <c r="B695">
        <f>DE_Base_Profile!I8</f>
        <v>0.0239</v>
      </c>
      <c r="C695">
        <f>IF(DE_Base_Profile!J8=1,INDEX(DE_Lookups!$B$2:$B$4,MATCH(B676,DE_Lookups!$A$2:$A$4,0)),1)</f>
        <v>1</v>
      </c>
      <c r="D695">
        <f>IF(OR(D676="Air conditioning",D676="Heat pump (heating &amp; cooling)"),IF(DE_Base_Profile!K8=1,N677,1),1)*IF(OR(D676="Electric heating",D676="Heat pump (heating &amp; cooling)"),IF(DE_Base_Profile!L8=1,P677,1),1)</f>
        <v>1</v>
      </c>
      <c r="E695">
        <f t="shared" si="46"/>
        <v>0.0239</v>
      </c>
      <c r="F695">
        <f t="shared" si="47"/>
        <v>0.0289416323565028</v>
      </c>
      <c r="G695">
        <f>((L676+D677)/365)*F695</f>
        <v>0.277522502048657</v>
      </c>
      <c r="H695">
        <f>INDEX(DE_Base_Profile!$N$6:$Q$29,ROW()-692,MATCH(J676,DE_Base_Profile!$N$5:$Q$5,0))</f>
        <v>0.125</v>
      </c>
      <c r="I695">
        <f>(F677/365)*H695</f>
        <v>1.23287671232877</v>
      </c>
      <c r="J695">
        <f>(G695+I695)/(H677/365)</f>
        <v>0.0776472835560225</v>
      </c>
    </row>
    <row r="696" spans="1:10">
      <c r="A696">
        <f>DE_Base_Profile!H9</f>
        <v>3</v>
      </c>
      <c r="B696">
        <f>DE_Base_Profile!I9</f>
        <v>0.0232</v>
      </c>
      <c r="C696">
        <f>IF(DE_Base_Profile!J9=1,INDEX(DE_Lookups!$B$2:$B$4,MATCH(B676,DE_Lookups!$A$2:$A$4,0)),1)</f>
        <v>1</v>
      </c>
      <c r="D696">
        <f>IF(OR(D676="Air conditioning",D676="Heat pump (heating &amp; cooling)"),IF(DE_Base_Profile!K9=1,N677,1),1)*IF(OR(D676="Electric heating",D676="Heat pump (heating &amp; cooling)"),IF(DE_Base_Profile!L9=1,P677,1),1)</f>
        <v>1</v>
      </c>
      <c r="E696">
        <f t="shared" si="46"/>
        <v>0.0232</v>
      </c>
      <c r="F696">
        <f t="shared" si="47"/>
        <v>0.0280939694841366</v>
      </c>
      <c r="G696">
        <f>((L676+D677)/365)*F696</f>
        <v>0.269394227930077</v>
      </c>
      <c r="H696">
        <f>INDEX(DE_Base_Profile!$N$6:$Q$29,ROW()-692,MATCH(J676,DE_Base_Profile!$N$5:$Q$5,0))</f>
        <v>0.125</v>
      </c>
      <c r="I696">
        <f>(F677/365)*H696</f>
        <v>1.23287671232877</v>
      </c>
      <c r="J696">
        <f>(G696+I696)/(H677/365)</f>
        <v>0.0772294215766871</v>
      </c>
    </row>
    <row r="697" spans="1:10">
      <c r="A697">
        <f>DE_Base_Profile!H10</f>
        <v>4</v>
      </c>
      <c r="B697">
        <f>DE_Base_Profile!I10</f>
        <v>0.0236</v>
      </c>
      <c r="C697">
        <f>IF(DE_Base_Profile!J10=1,INDEX(DE_Lookups!$B$2:$B$4,MATCH(B676,DE_Lookups!$A$2:$A$4,0)),1)</f>
        <v>1</v>
      </c>
      <c r="D697">
        <f>IF(OR(D676="Air conditioning",D676="Heat pump (heating &amp; cooling)"),IF(DE_Base_Profile!K10=1,N677,1),1)*IF(OR(D676="Electric heating",D676="Heat pump (heating &amp; cooling)"),IF(DE_Base_Profile!L10=1,P677,1),1)</f>
        <v>1</v>
      </c>
      <c r="E697">
        <f t="shared" si="46"/>
        <v>0.0236</v>
      </c>
      <c r="F697">
        <f t="shared" si="47"/>
        <v>0.0285783482683458</v>
      </c>
      <c r="G697">
        <f>((L676+D677)/365)*F697</f>
        <v>0.274038955997837</v>
      </c>
      <c r="H697">
        <f>INDEX(DE_Base_Profile!$N$6:$Q$29,ROW()-692,MATCH(J676,DE_Base_Profile!$N$5:$Q$5,0))</f>
        <v>0.125</v>
      </c>
      <c r="I697">
        <f>(F677/365)*H697</f>
        <v>1.23287671232877</v>
      </c>
      <c r="J697">
        <f>(G697+I697)/(H677/365)</f>
        <v>0.077468199850593</v>
      </c>
    </row>
    <row r="698" spans="1:10">
      <c r="A698">
        <f>DE_Base_Profile!H11</f>
        <v>5</v>
      </c>
      <c r="B698">
        <f>DE_Base_Profile!I11</f>
        <v>0.0252</v>
      </c>
      <c r="C698">
        <f>IF(DE_Base_Profile!J11=1,INDEX(DE_Lookups!$B$2:$B$4,MATCH(B676,DE_Lookups!$A$2:$A$4,0)),1)</f>
        <v>1</v>
      </c>
      <c r="D698">
        <f>IF(OR(D676="Air conditioning",D676="Heat pump (heating &amp; cooling)"),IF(DE_Base_Profile!K11=1,N677,1),1)*IF(OR(D676="Electric heating",D676="Heat pump (heating &amp; cooling)"),IF(DE_Base_Profile!L11=1,P677,1),1)</f>
        <v>1</v>
      </c>
      <c r="E698">
        <f t="shared" si="46"/>
        <v>0.0252</v>
      </c>
      <c r="F698">
        <f t="shared" si="47"/>
        <v>0.0305158634051829</v>
      </c>
      <c r="G698">
        <f>((L676+D677)/365)*F698</f>
        <v>0.292617868268877</v>
      </c>
      <c r="H698">
        <f>INDEX(DE_Base_Profile!$N$6:$Q$29,ROW()-692,MATCH(J676,DE_Base_Profile!$N$5:$Q$5,0))</f>
        <v>0.125</v>
      </c>
      <c r="I698">
        <f>(F677/365)*H698</f>
        <v>1.23287671232877</v>
      </c>
      <c r="J698">
        <f>(G698+I698)/(H677/365)</f>
        <v>0.0784233129462169</v>
      </c>
    </row>
    <row r="699" spans="1:10">
      <c r="A699">
        <f>DE_Base_Profile!H12</f>
        <v>6</v>
      </c>
      <c r="B699">
        <f>DE_Base_Profile!I12</f>
        <v>0.03</v>
      </c>
      <c r="C699">
        <f>IF(DE_Base_Profile!J12=1,INDEX(DE_Lookups!$B$2:$B$4,MATCH(B676,DE_Lookups!$A$2:$A$4,0)),1)</f>
        <v>1</v>
      </c>
      <c r="D699">
        <f>IF(OR(D676="Air conditioning",D676="Heat pump (heating &amp; cooling)"),IF(DE_Base_Profile!K12=1,N677,1),1)*IF(OR(D676="Electric heating",D676="Heat pump (heating &amp; cooling)"),IF(DE_Base_Profile!L12=1,P677,1),1)</f>
        <v>1</v>
      </c>
      <c r="E699">
        <f t="shared" si="46"/>
        <v>0.03</v>
      </c>
      <c r="F699">
        <f t="shared" si="47"/>
        <v>0.0363284088156939</v>
      </c>
      <c r="G699">
        <f>((L676+D677)/365)*F699</f>
        <v>0.348354605081996</v>
      </c>
      <c r="H699">
        <f>INDEX(DE_Base_Profile!$N$6:$Q$29,ROW()-692,MATCH(J676,DE_Base_Profile!$N$5:$Q$5,0))</f>
        <v>0</v>
      </c>
      <c r="I699">
        <f>(F677/365)*H699</f>
        <v>0</v>
      </c>
      <c r="J699">
        <f>(G699+I699)/(H677/365)</f>
        <v>0.0179083705429477</v>
      </c>
    </row>
    <row r="700" spans="1:10">
      <c r="A700">
        <f>DE_Base_Profile!H13</f>
        <v>7</v>
      </c>
      <c r="B700">
        <f>DE_Base_Profile!I13</f>
        <v>0.0358</v>
      </c>
      <c r="C700">
        <f>IF(DE_Base_Profile!J13=1,INDEX(DE_Lookups!$B$2:$B$4,MATCH(B676,DE_Lookups!$A$2:$A$4,0)),1)</f>
        <v>1</v>
      </c>
      <c r="D700">
        <f>IF(OR(D676="Air conditioning",D676="Heat pump (heating &amp; cooling)"),IF(DE_Base_Profile!K13=1,N677,1),1)*IF(OR(D676="Electric heating",D676="Heat pump (heating &amp; cooling)"),IF(DE_Base_Profile!L13=1,P677,1),1)</f>
        <v>1</v>
      </c>
      <c r="E700">
        <f t="shared" si="46"/>
        <v>0.0358</v>
      </c>
      <c r="F700">
        <f t="shared" si="47"/>
        <v>0.043351901186728</v>
      </c>
      <c r="G700">
        <f>((L676+D677)/365)*F700</f>
        <v>0.415703162064515</v>
      </c>
      <c r="H700">
        <f>INDEX(DE_Base_Profile!$N$6:$Q$29,ROW()-692,MATCH(J676,DE_Base_Profile!$N$5:$Q$5,0))</f>
        <v>0</v>
      </c>
      <c r="I700">
        <f>(F677/365)*H700</f>
        <v>0</v>
      </c>
      <c r="J700">
        <f>(G700+I700)/(H677/365)</f>
        <v>0.0213706555145842</v>
      </c>
    </row>
    <row r="701" spans="1:10">
      <c r="A701">
        <f>DE_Base_Profile!H14</f>
        <v>8</v>
      </c>
      <c r="B701">
        <f>DE_Base_Profile!I14</f>
        <v>0.041</v>
      </c>
      <c r="C701">
        <f>IF(DE_Base_Profile!J14=1,INDEX(DE_Lookups!$B$2:$B$4,MATCH(B676,DE_Lookups!$A$2:$A$4,0)),1)</f>
        <v>1</v>
      </c>
      <c r="D701">
        <f>IF(OR(D676="Air conditioning",D676="Heat pump (heating &amp; cooling)"),IF(DE_Base_Profile!K14=1,N677,1),1)*IF(OR(D676="Electric heating",D676="Heat pump (heating &amp; cooling)"),IF(DE_Base_Profile!L14=1,P677,1),1)</f>
        <v>1</v>
      </c>
      <c r="E701">
        <f t="shared" si="46"/>
        <v>0.041</v>
      </c>
      <c r="F701">
        <f t="shared" si="47"/>
        <v>0.0496488253814483</v>
      </c>
      <c r="G701">
        <f>((L676+D677)/365)*F701</f>
        <v>0.476084626945395</v>
      </c>
      <c r="H701">
        <f>INDEX(DE_Base_Profile!$N$6:$Q$29,ROW()-692,MATCH(J676,DE_Base_Profile!$N$5:$Q$5,0))</f>
        <v>0</v>
      </c>
      <c r="I701">
        <f>(F677/365)*H701</f>
        <v>0</v>
      </c>
      <c r="J701">
        <f>(G701+I701)/(H677/365)</f>
        <v>0.0244747730753618</v>
      </c>
    </row>
    <row r="702" spans="1:10">
      <c r="A702">
        <f>DE_Base_Profile!H15</f>
        <v>9</v>
      </c>
      <c r="B702">
        <f>DE_Base_Profile!I15</f>
        <v>0.0446</v>
      </c>
      <c r="C702">
        <f>IF(DE_Base_Profile!J15=1,INDEX(DE_Lookups!$B$2:$B$4,MATCH(B676,DE_Lookups!$A$2:$A$4,0)),1)</f>
        <v>0.6</v>
      </c>
      <c r="D702">
        <f>IF(OR(D676="Air conditioning",D676="Heat pump (heating &amp; cooling)"),IF(DE_Base_Profile!K15=1,N677,1),1)*IF(OR(D676="Electric heating",D676="Heat pump (heating &amp; cooling)"),IF(DE_Base_Profile!L15=1,P677,1),1)</f>
        <v>1</v>
      </c>
      <c r="E702">
        <f t="shared" si="46"/>
        <v>0.02676</v>
      </c>
      <c r="F702">
        <f t="shared" si="47"/>
        <v>0.0324049406635989</v>
      </c>
      <c r="G702">
        <f>((L676+D677)/365)*F702</f>
        <v>0.31073230773314</v>
      </c>
      <c r="H702">
        <f>INDEX(DE_Base_Profile!$N$6:$Q$29,ROW()-692,MATCH(J676,DE_Base_Profile!$N$5:$Q$5,0))</f>
        <v>0</v>
      </c>
      <c r="I702">
        <f>(F677/365)*H702</f>
        <v>0</v>
      </c>
      <c r="J702">
        <f>(G702+I702)/(H677/365)</f>
        <v>0.0159742665243093</v>
      </c>
    </row>
    <row r="703" spans="1:10">
      <c r="A703">
        <f>DE_Base_Profile!H16</f>
        <v>10</v>
      </c>
      <c r="B703">
        <f>DE_Base_Profile!I16</f>
        <v>0.0474</v>
      </c>
      <c r="C703">
        <f>IF(DE_Base_Profile!J16=1,INDEX(DE_Lookups!$B$2:$B$4,MATCH(B676,DE_Lookups!$A$2:$A$4,0)),1)</f>
        <v>0.6</v>
      </c>
      <c r="D703">
        <f>IF(OR(D676="Air conditioning",D676="Heat pump (heating &amp; cooling)"),IF(DE_Base_Profile!K16=1,N677,1),1)*IF(OR(D676="Electric heating",D676="Heat pump (heating &amp; cooling)"),IF(DE_Base_Profile!L16=1,P677,1),1)</f>
        <v>1</v>
      </c>
      <c r="E703">
        <f t="shared" si="46"/>
        <v>0.02844</v>
      </c>
      <c r="F703">
        <f t="shared" si="47"/>
        <v>0.0344393315572778</v>
      </c>
      <c r="G703">
        <f>((L676+D677)/365)*F703</f>
        <v>0.330240165617732</v>
      </c>
      <c r="H703">
        <f>INDEX(DE_Base_Profile!$N$6:$Q$29,ROW()-692,MATCH(J676,DE_Base_Profile!$N$5:$Q$5,0))</f>
        <v>0</v>
      </c>
      <c r="I703">
        <f>(F677/365)*H703</f>
        <v>0</v>
      </c>
      <c r="J703">
        <f>(G703+I703)/(H677/365)</f>
        <v>0.0169771352747144</v>
      </c>
    </row>
    <row r="704" spans="1:10">
      <c r="A704">
        <f>DE_Base_Profile!H17</f>
        <v>11</v>
      </c>
      <c r="B704">
        <f>DE_Base_Profile!I17</f>
        <v>0.0518</v>
      </c>
      <c r="C704">
        <f>IF(DE_Base_Profile!J17=1,INDEX(DE_Lookups!$B$2:$B$4,MATCH(B676,DE_Lookups!$A$2:$A$4,0)),1)</f>
        <v>0.6</v>
      </c>
      <c r="D704">
        <f>IF(OR(D676="Air conditioning",D676="Heat pump (heating &amp; cooling)"),IF(DE_Base_Profile!K17=1,N677,1),1)*IF(OR(D676="Electric heating",D676="Heat pump (heating &amp; cooling)"),IF(DE_Base_Profile!L17=1,P677,1),1)</f>
        <v>1</v>
      </c>
      <c r="E704">
        <f t="shared" si="46"/>
        <v>0.03108</v>
      </c>
      <c r="F704">
        <f t="shared" si="47"/>
        <v>0.0376362315330588</v>
      </c>
      <c r="G704">
        <f>((L676+D677)/365)*F704</f>
        <v>0.360895370864948</v>
      </c>
      <c r="H704">
        <f>INDEX(DE_Base_Profile!$N$6:$Q$29,ROW()-692,MATCH(J676,DE_Base_Profile!$N$5:$Q$5,0))</f>
        <v>0</v>
      </c>
      <c r="I704">
        <f>(F677/365)*H704</f>
        <v>0</v>
      </c>
      <c r="J704">
        <f>(G704+I704)/(H677/365)</f>
        <v>0.0185530718824938</v>
      </c>
    </row>
    <row r="705" spans="1:10">
      <c r="A705">
        <f>DE_Base_Profile!H18</f>
        <v>12</v>
      </c>
      <c r="B705">
        <f>DE_Base_Profile!I18</f>
        <v>0.0513</v>
      </c>
      <c r="C705">
        <f>IF(DE_Base_Profile!J18=1,INDEX(DE_Lookups!$B$2:$B$4,MATCH(B676,DE_Lookups!$A$2:$A$4,0)),1)</f>
        <v>0.6</v>
      </c>
      <c r="D705">
        <f>IF(OR(D676="Air conditioning",D676="Heat pump (heating &amp; cooling)"),IF(DE_Base_Profile!K18=1,N677,1),1)*IF(OR(D676="Electric heating",D676="Heat pump (heating &amp; cooling)"),IF(DE_Base_Profile!L18=1,P677,1),1)</f>
        <v>1</v>
      </c>
      <c r="E705">
        <f t="shared" si="46"/>
        <v>0.03078</v>
      </c>
      <c r="F705">
        <f t="shared" si="47"/>
        <v>0.0372729474449019</v>
      </c>
      <c r="G705">
        <f>((L676+D677)/365)*F705</f>
        <v>0.357411824814128</v>
      </c>
      <c r="H705">
        <f>INDEX(DE_Base_Profile!$N$6:$Q$29,ROW()-692,MATCH(J676,DE_Base_Profile!$N$5:$Q$5,0))</f>
        <v>0</v>
      </c>
      <c r="I705">
        <f>(F677/365)*H705</f>
        <v>0</v>
      </c>
      <c r="J705">
        <f>(G705+I705)/(H677/365)</f>
        <v>0.0183739881770643</v>
      </c>
    </row>
    <row r="706" spans="1:10">
      <c r="A706">
        <f>DE_Base_Profile!H19</f>
        <v>13</v>
      </c>
      <c r="B706">
        <f>DE_Base_Profile!I19</f>
        <v>0.0481</v>
      </c>
      <c r="C706">
        <f>IF(DE_Base_Profile!J19=1,INDEX(DE_Lookups!$B$2:$B$4,MATCH(B676,DE_Lookups!$A$2:$A$4,0)),1)</f>
        <v>0.6</v>
      </c>
      <c r="D706">
        <f>IF(OR(D676="Air conditioning",D676="Heat pump (heating &amp; cooling)"),IF(DE_Base_Profile!K19=1,N677,1),1)*IF(OR(D676="Electric heating",D676="Heat pump (heating &amp; cooling)"),IF(DE_Base_Profile!L19=1,P677,1),1)</f>
        <v>1</v>
      </c>
      <c r="E706">
        <f t="shared" si="46"/>
        <v>0.02886</v>
      </c>
      <c r="F706">
        <f t="shared" si="47"/>
        <v>0.0349479292806975</v>
      </c>
      <c r="G706">
        <f>((L676+D677)/365)*F706</f>
        <v>0.33511713008888</v>
      </c>
      <c r="H706">
        <f>INDEX(DE_Base_Profile!$N$6:$Q$29,ROW()-692,MATCH(J676,DE_Base_Profile!$N$5:$Q$5,0))</f>
        <v>0</v>
      </c>
      <c r="I706">
        <f>(F677/365)*H706</f>
        <v>0</v>
      </c>
      <c r="J706">
        <f>(G706+I706)/(H677/365)</f>
        <v>0.0172278524623157</v>
      </c>
    </row>
    <row r="707" spans="1:10">
      <c r="A707">
        <f>DE_Base_Profile!H20</f>
        <v>14</v>
      </c>
      <c r="B707">
        <f>DE_Base_Profile!I20</f>
        <v>0.0459</v>
      </c>
      <c r="C707">
        <f>IF(DE_Base_Profile!J20=1,INDEX(DE_Lookups!$B$2:$B$4,MATCH(B676,DE_Lookups!$A$2:$A$4,0)),1)</f>
        <v>0.6</v>
      </c>
      <c r="D707">
        <f>IF(OR(D676="Air conditioning",D676="Heat pump (heating &amp; cooling)"),IF(DE_Base_Profile!K20=1,N677,1),1)*IF(OR(D676="Electric heating",D676="Heat pump (heating &amp; cooling)"),IF(DE_Base_Profile!L20=1,P677,1),1)</f>
        <v>1</v>
      </c>
      <c r="E707">
        <f t="shared" si="46"/>
        <v>0.02754</v>
      </c>
      <c r="F707">
        <f t="shared" si="47"/>
        <v>0.033349479292807</v>
      </c>
      <c r="G707">
        <f>((L676+D677)/365)*F707</f>
        <v>0.319789527465272</v>
      </c>
      <c r="H707">
        <f>INDEX(DE_Base_Profile!$N$6:$Q$29,ROW()-692,MATCH(J676,DE_Base_Profile!$N$5:$Q$5,0))</f>
        <v>0</v>
      </c>
      <c r="I707">
        <f>(F677/365)*H707</f>
        <v>0</v>
      </c>
      <c r="J707">
        <f>(G707+I707)/(H677/365)</f>
        <v>0.016439884158426</v>
      </c>
    </row>
    <row r="708" spans="1:10">
      <c r="A708">
        <f>DE_Base_Profile!H21</f>
        <v>15</v>
      </c>
      <c r="B708">
        <f>DE_Base_Profile!I21</f>
        <v>0.0454</v>
      </c>
      <c r="C708">
        <f>IF(DE_Base_Profile!J21=1,INDEX(DE_Lookups!$B$2:$B$4,MATCH(B676,DE_Lookups!$A$2:$A$4,0)),1)</f>
        <v>0.6</v>
      </c>
      <c r="D708">
        <f>IF(OR(D676="Air conditioning",D676="Heat pump (heating &amp; cooling)"),IF(DE_Base_Profile!K21=1,N677,1),1)*IF(OR(D676="Electric heating",D676="Heat pump (heating &amp; cooling)"),IF(DE_Base_Profile!L21=1,P677,1),1)</f>
        <v>1</v>
      </c>
      <c r="E708">
        <f t="shared" si="46"/>
        <v>0.02724</v>
      </c>
      <c r="F708">
        <f t="shared" si="47"/>
        <v>0.03298619520465</v>
      </c>
      <c r="G708">
        <f>((L676+D677)/365)*F708</f>
        <v>0.316305981414452</v>
      </c>
      <c r="H708">
        <f>INDEX(DE_Base_Profile!$N$6:$Q$29,ROW()-692,MATCH(J676,DE_Base_Profile!$N$5:$Q$5,0))</f>
        <v>0</v>
      </c>
      <c r="I708">
        <f>(F677/365)*H708</f>
        <v>0</v>
      </c>
      <c r="J708">
        <f>(G708+I708)/(H677/365)</f>
        <v>0.0162608004529965</v>
      </c>
    </row>
    <row r="709" spans="1:10">
      <c r="A709">
        <f>DE_Base_Profile!H22</f>
        <v>16</v>
      </c>
      <c r="B709">
        <f>DE_Base_Profile!I22</f>
        <v>0.0475</v>
      </c>
      <c r="C709">
        <f>IF(DE_Base_Profile!J22=1,INDEX(DE_Lookups!$B$2:$B$4,MATCH(B676,DE_Lookups!$A$2:$A$4,0)),1)</f>
        <v>0.6</v>
      </c>
      <c r="D709">
        <f>IF(OR(D676="Air conditioning",D676="Heat pump (heating &amp; cooling)"),IF(DE_Base_Profile!K22=1,N677,1),1)*IF(OR(D676="Electric heating",D676="Heat pump (heating &amp; cooling)"),IF(DE_Base_Profile!L22=1,P677,1),1)</f>
        <v>1</v>
      </c>
      <c r="E709">
        <f t="shared" si="46"/>
        <v>0.0285</v>
      </c>
      <c r="F709">
        <f t="shared" si="47"/>
        <v>0.0345119883749092</v>
      </c>
      <c r="G709">
        <f>((L676+D677)/365)*F709</f>
        <v>0.330936874827896</v>
      </c>
      <c r="H709">
        <f>INDEX(DE_Base_Profile!$N$6:$Q$29,ROW()-692,MATCH(J676,DE_Base_Profile!$N$5:$Q$5,0))</f>
        <v>0</v>
      </c>
      <c r="I709">
        <f>(F677/365)*H709</f>
        <v>0</v>
      </c>
      <c r="J709">
        <f>(G709+I709)/(H677/365)</f>
        <v>0.0170129520158003</v>
      </c>
    </row>
    <row r="710" spans="1:10">
      <c r="A710">
        <f>DE_Base_Profile!H23</f>
        <v>17</v>
      </c>
      <c r="B710">
        <f>DE_Base_Profile!I23</f>
        <v>0.0535</v>
      </c>
      <c r="C710">
        <f>IF(DE_Base_Profile!J23=1,INDEX(DE_Lookups!$B$2:$B$4,MATCH(B676,DE_Lookups!$A$2:$A$4,0)),1)</f>
        <v>0.6</v>
      </c>
      <c r="D710">
        <f>IF(OR(D676="Air conditioning",D676="Heat pump (heating &amp; cooling)"),IF(DE_Base_Profile!K23=1,N677,1),1)*IF(OR(D676="Electric heating",D676="Heat pump (heating &amp; cooling)"),IF(DE_Base_Profile!L23=1,P677,1),1)</f>
        <v>1</v>
      </c>
      <c r="E710">
        <f t="shared" si="46"/>
        <v>0.0321</v>
      </c>
      <c r="F710">
        <f t="shared" si="47"/>
        <v>0.0388713974327924</v>
      </c>
      <c r="G710">
        <f>((L676+D677)/365)*F710</f>
        <v>0.372739427437736</v>
      </c>
      <c r="H710">
        <f>INDEX(DE_Base_Profile!$N$6:$Q$29,ROW()-692,MATCH(J676,DE_Base_Profile!$N$5:$Q$5,0))</f>
        <v>0</v>
      </c>
      <c r="I710">
        <f>(F677/365)*H710</f>
        <v>0</v>
      </c>
      <c r="J710">
        <f>(G710+I710)/(H677/365)</f>
        <v>0.019161956480954</v>
      </c>
    </row>
    <row r="711" spans="1:10">
      <c r="A711">
        <f>DE_Base_Profile!H24</f>
        <v>18</v>
      </c>
      <c r="B711">
        <f>DE_Base_Profile!I24</f>
        <v>0.0587</v>
      </c>
      <c r="C711">
        <f>IF(DE_Base_Profile!J24=1,INDEX(DE_Lookups!$B$2:$B$4,MATCH(B676,DE_Lookups!$A$2:$A$4,0)),1)</f>
        <v>1</v>
      </c>
      <c r="D711">
        <f>IF(OR(D676="Air conditioning",D676="Heat pump (heating &amp; cooling)"),IF(DE_Base_Profile!K24=1,N677,1),1)*IF(OR(D676="Electric heating",D676="Heat pump (heating &amp; cooling)"),IF(DE_Base_Profile!L24=1,P677,1),1)</f>
        <v>1</v>
      </c>
      <c r="E711">
        <f t="shared" si="46"/>
        <v>0.0587</v>
      </c>
      <c r="F711">
        <f t="shared" si="47"/>
        <v>0.0710825865827077</v>
      </c>
      <c r="G711">
        <f>((L676+D677)/365)*F711</f>
        <v>0.681613843943772</v>
      </c>
      <c r="H711">
        <f>INDEX(DE_Base_Profile!$N$6:$Q$29,ROW()-692,MATCH(J676,DE_Base_Profile!$N$5:$Q$5,0))</f>
        <v>0</v>
      </c>
      <c r="I711">
        <f>(F677/365)*H711</f>
        <v>0</v>
      </c>
      <c r="J711">
        <f>(G711+I711)/(H677/365)</f>
        <v>0.035040711695701</v>
      </c>
    </row>
    <row r="712" spans="1:10">
      <c r="A712">
        <f>DE_Base_Profile!H25</f>
        <v>19</v>
      </c>
      <c r="B712">
        <f>DE_Base_Profile!I25</f>
        <v>0.0591</v>
      </c>
      <c r="C712">
        <f>IF(DE_Base_Profile!J25=1,INDEX(DE_Lookups!$B$2:$B$4,MATCH(B676,DE_Lookups!$A$2:$A$4,0)),1)</f>
        <v>1</v>
      </c>
      <c r="D712">
        <f>IF(OR(D676="Air conditioning",D676="Heat pump (heating &amp; cooling)"),IF(DE_Base_Profile!K25=1,N677,1),1)*IF(OR(D676="Electric heating",D676="Heat pump (heating &amp; cooling)"),IF(DE_Base_Profile!L25=1,P677,1),1)</f>
        <v>1</v>
      </c>
      <c r="E712">
        <f t="shared" si="46"/>
        <v>0.0591</v>
      </c>
      <c r="F712">
        <f t="shared" si="47"/>
        <v>0.0715669653669169</v>
      </c>
      <c r="G712">
        <f>((L676+D677)/365)*F712</f>
        <v>0.686258572011532</v>
      </c>
      <c r="H712">
        <f>INDEX(DE_Base_Profile!$N$6:$Q$29,ROW()-692,MATCH(J676,DE_Base_Profile!$N$5:$Q$5,0))</f>
        <v>0</v>
      </c>
      <c r="I712">
        <f>(F677/365)*H712</f>
        <v>0</v>
      </c>
      <c r="J712">
        <f>(G712+I712)/(H677/365)</f>
        <v>0.0352794899696069</v>
      </c>
    </row>
    <row r="713" spans="1:10">
      <c r="A713">
        <f>DE_Base_Profile!H26</f>
        <v>20</v>
      </c>
      <c r="B713">
        <f>DE_Base_Profile!I26</f>
        <v>0.0556</v>
      </c>
      <c r="C713">
        <f>IF(DE_Base_Profile!J26=1,INDEX(DE_Lookups!$B$2:$B$4,MATCH(B676,DE_Lookups!$A$2:$A$4,0)),1)</f>
        <v>1</v>
      </c>
      <c r="D713">
        <f>IF(OR(D676="Air conditioning",D676="Heat pump (heating &amp; cooling)"),IF(DE_Base_Profile!K26=1,N677,1),1)*IF(OR(D676="Electric heating",D676="Heat pump (heating &amp; cooling)"),IF(DE_Base_Profile!L26=1,P677,1),1)</f>
        <v>1</v>
      </c>
      <c r="E713">
        <f t="shared" si="46"/>
        <v>0.0556</v>
      </c>
      <c r="F713">
        <f t="shared" si="47"/>
        <v>0.067328651005086</v>
      </c>
      <c r="G713">
        <f>((L676+D677)/365)*F713</f>
        <v>0.645617201418633</v>
      </c>
      <c r="H713">
        <f>INDEX(DE_Base_Profile!$N$6:$Q$29,ROW()-692,MATCH(J676,DE_Base_Profile!$N$5:$Q$5,0))</f>
        <v>0</v>
      </c>
      <c r="I713">
        <f>(F677/365)*H713</f>
        <v>0</v>
      </c>
      <c r="J713">
        <f>(G713+I713)/(H677/365)</f>
        <v>0.0331901800729297</v>
      </c>
    </row>
    <row r="714" spans="1:10">
      <c r="A714">
        <f>DE_Base_Profile!H27</f>
        <v>21</v>
      </c>
      <c r="B714">
        <f>DE_Base_Profile!I27</f>
        <v>0.0508</v>
      </c>
      <c r="C714">
        <f>IF(DE_Base_Profile!J27=1,INDEX(DE_Lookups!$B$2:$B$4,MATCH(B676,DE_Lookups!$A$2:$A$4,0)),1)</f>
        <v>1</v>
      </c>
      <c r="D714">
        <f>IF(OR(D676="Air conditioning",D676="Heat pump (heating &amp; cooling)"),IF(DE_Base_Profile!K27=1,N677,1),1)*IF(OR(D676="Electric heating",D676="Heat pump (heating &amp; cooling)"),IF(DE_Base_Profile!L27=1,P677,1),1)</f>
        <v>1</v>
      </c>
      <c r="E714">
        <f t="shared" si="46"/>
        <v>0.0508</v>
      </c>
      <c r="F714">
        <f t="shared" si="47"/>
        <v>0.061516105594575</v>
      </c>
      <c r="G714">
        <f>((L676+D677)/365)*F714</f>
        <v>0.589880464605513</v>
      </c>
      <c r="H714">
        <f>INDEX(DE_Base_Profile!$N$6:$Q$29,ROW()-692,MATCH(J676,DE_Base_Profile!$N$5:$Q$5,0))</f>
        <v>0</v>
      </c>
      <c r="I714">
        <f>(F677/365)*H714</f>
        <v>0</v>
      </c>
      <c r="J714">
        <f>(G714+I714)/(H677/365)</f>
        <v>0.0303248407860581</v>
      </c>
    </row>
    <row r="715" spans="1:10">
      <c r="A715">
        <f>DE_Base_Profile!H28</f>
        <v>22</v>
      </c>
      <c r="B715">
        <f>DE_Base_Profile!I28</f>
        <v>0.0451</v>
      </c>
      <c r="C715">
        <f>IF(DE_Base_Profile!J28=1,INDEX(DE_Lookups!$B$2:$B$4,MATCH(B676,DE_Lookups!$A$2:$A$4,0)),1)</f>
        <v>1</v>
      </c>
      <c r="D715">
        <f>IF(OR(D676="Air conditioning",D676="Heat pump (heating &amp; cooling)"),IF(DE_Base_Profile!K28=1,N677,1),1)*IF(OR(D676="Electric heating",D676="Heat pump (heating &amp; cooling)"),IF(DE_Base_Profile!L28=1,P677,1),1)</f>
        <v>1</v>
      </c>
      <c r="E715">
        <f t="shared" si="46"/>
        <v>0.0451</v>
      </c>
      <c r="F715">
        <f t="shared" si="47"/>
        <v>0.0546137079195931</v>
      </c>
      <c r="G715">
        <f>((L676+D677)/365)*F715</f>
        <v>0.523693089639934</v>
      </c>
      <c r="H715">
        <f>INDEX(DE_Base_Profile!$N$6:$Q$29,ROW()-692,MATCH(J676,DE_Base_Profile!$N$5:$Q$5,0))</f>
        <v>0.125</v>
      </c>
      <c r="I715">
        <f>(F677/365)*H715</f>
        <v>1.23287671232877</v>
      </c>
      <c r="J715">
        <f>(G715+I715)/(H677/365)</f>
        <v>0.0903025320730388</v>
      </c>
    </row>
    <row r="716" spans="1:10">
      <c r="A716">
        <f>DE_Base_Profile!H29</f>
        <v>23</v>
      </c>
      <c r="B716">
        <f>DE_Base_Profile!I29</f>
        <v>0.0366</v>
      </c>
      <c r="C716">
        <f>IF(DE_Base_Profile!J29=1,INDEX(DE_Lookups!$B$2:$B$4,MATCH(B676,DE_Lookups!$A$2:$A$4,0)),1)</f>
        <v>1</v>
      </c>
      <c r="D716">
        <f>IF(OR(D676="Air conditioning",D676="Heat pump (heating &amp; cooling)"),IF(DE_Base_Profile!K29=1,N677,1),1)*IF(OR(D676="Electric heating",D676="Heat pump (heating &amp; cooling)"),IF(DE_Base_Profile!L29=1,P677,1),1)</f>
        <v>1</v>
      </c>
      <c r="E716">
        <f t="shared" si="46"/>
        <v>0.0366</v>
      </c>
      <c r="F716">
        <f t="shared" si="47"/>
        <v>0.0443206587551465</v>
      </c>
      <c r="G716">
        <f>((L676+D677)/365)*F716</f>
        <v>0.424992618200035</v>
      </c>
      <c r="H716">
        <f>INDEX(DE_Base_Profile!$N$6:$Q$29,ROW()-692,MATCH(J676,DE_Base_Profile!$N$5:$Q$5,0))</f>
        <v>0.125</v>
      </c>
      <c r="I716">
        <f>(F677/365)*H716</f>
        <v>1.23287671232877</v>
      </c>
      <c r="J716">
        <f>(G716+I716)/(H677/365)</f>
        <v>0.085228493752537</v>
      </c>
    </row>
    <row r="721" spans="1:16">
      <c r="A721" t="s">
        <v>51</v>
      </c>
      <c r="B721" t="str">
        <f>DE_Option_Monthly!C20</f>
        <v>Mostly away during the day</v>
      </c>
      <c r="C721" t="s">
        <v>188</v>
      </c>
      <c r="D721" t="str">
        <f>DE_Option_Monthly!D20</f>
        <v>No heating or cooling system</v>
      </c>
      <c r="E721" t="s">
        <v>68</v>
      </c>
      <c r="F721" t="str">
        <f>DE_Option_Monthly!E20</f>
        <v>Medium</v>
      </c>
      <c r="G721" t="s">
        <v>98</v>
      </c>
      <c r="H721" t="str">
        <f>DE_Option_Monthly!F20</f>
        <v>25,000+ km</v>
      </c>
      <c r="I721" t="s">
        <v>289</v>
      </c>
      <c r="J721" t="str">
        <f>DE_Option_Monthly!G20</f>
        <v>Mostly overnight</v>
      </c>
      <c r="K721" t="s">
        <v>290</v>
      </c>
      <c r="L721">
        <f>DE_Option_Monthly!$B$1</f>
        <v>3500</v>
      </c>
    </row>
    <row r="722" spans="1:16">
      <c r="A722" t="s">
        <v>291</v>
      </c>
      <c r="B722">
        <f>INDEX(DE_Lookups!$E$2:$E$5,MATCH(F721,DE_Lookups!$D$2:$D$5,0))</f>
        <v>1</v>
      </c>
      <c r="C722" t="s">
        <v>292</v>
      </c>
      <c r="D722">
        <f>IF(OR(D721="Electric heating",D721="Heat pump (heating &amp; cooling)"),INDEX(DE_Lookups!$L$2:$L$5,MATCH(D721,DE_Lookups!$K$2:$K$5,0))*B722,0)</f>
        <v>0</v>
      </c>
      <c r="E722" t="s">
        <v>293</v>
      </c>
      <c r="F722">
        <f>INDEX(DE_Lookups!$O$2:$O$7,MATCH(H721,DE_Lookups!$N$2:$N$7,0))*0.18</f>
        <v>4500</v>
      </c>
      <c r="G722" t="s">
        <v>294</v>
      </c>
      <c r="H722">
        <f>L721+D722+F722</f>
        <v>8000</v>
      </c>
      <c r="I722" t="s">
        <v>295</v>
      </c>
      <c r="J722">
        <f>INDEX(DE_Lookups!$F$2:$F$5,MATCH(F721,DE_Lookups!$D$2:$D$5,0))</f>
        <v>1.1</v>
      </c>
      <c r="K722" t="s">
        <v>296</v>
      </c>
      <c r="L722">
        <f>INDEX(DE_Lookups!$G$2:$G$5,MATCH(F721,DE_Lookups!$D$2:$D$5,0))</f>
        <v>1.15</v>
      </c>
      <c r="M722" t="s">
        <v>297</v>
      </c>
      <c r="N722">
        <f>INDEX(DE_Lookups!$H$2:$H$5,MATCH(F721,DE_Lookups!$D$2:$D$5,0))</f>
        <v>1.2</v>
      </c>
      <c r="O722" t="s">
        <v>298</v>
      </c>
      <c r="P722">
        <f>INDEX(DE_Lookups!$I$2:$I$5,MATCH(F721,DE_Lookups!$D$2:$D$5,0))</f>
        <v>1.15</v>
      </c>
    </row>
    <row r="724" spans="1:16">
      <c r="A724" t="str">
        <f>DE_Base_Profile!A6</f>
        <v>1月</v>
      </c>
      <c r="B724">
        <f>DE_Base_Profile!B6</f>
        <v>0.0789</v>
      </c>
      <c r="C724">
        <f>L721*B724</f>
        <v>276.15</v>
      </c>
      <c r="D724">
        <f>1+IF(OR(D721="Air conditioning",D721="Heat pump (heating &amp; cooling)"),IF(DE_Base_Profile!D6=1,J722-1,0),0)+IF(OR(D721="Electric heating",D721="Heat pump (heating &amp; cooling)"),IF(DE_Base_Profile!E6=1,L722-1,0),0)</f>
        <v>1</v>
      </c>
      <c r="E724">
        <f t="shared" ref="E724:E735" si="48">C724*D724</f>
        <v>276.15</v>
      </c>
      <c r="F724">
        <f>IF(D721="Electric heating",IF(DE_Base_Profile!E6=1,B724*L722,0),IF(D721="Heat pump (heating &amp; cooling)",IF(DE_Base_Profile!D6=1,B724*J722,0)+IF(DE_Base_Profile!E6=1,B724*L722,0),0))</f>
        <v>0</v>
      </c>
      <c r="G724">
        <f>IF(SUM($F$724:$F$735)=0,0,D722*F724/SUM($F$724:$F$735))</f>
        <v>0</v>
      </c>
      <c r="H724">
        <f>F722/12</f>
        <v>375</v>
      </c>
      <c r="I724">
        <f>E724/SUM($E$724:$E$735)*L721+G724+H724</f>
        <v>651.15</v>
      </c>
      <c r="J724">
        <f>I724/H722</f>
        <v>0.08139375</v>
      </c>
    </row>
    <row r="725" spans="1:16">
      <c r="A725" t="str">
        <f>DE_Base_Profile!A7</f>
        <v>2月</v>
      </c>
      <c r="B725">
        <f>DE_Base_Profile!B7</f>
        <v>0.0791</v>
      </c>
      <c r="C725">
        <f>L721*B725</f>
        <v>276.85</v>
      </c>
      <c r="D725">
        <f>1+IF(OR(D721="Air conditioning",D721="Heat pump (heating &amp; cooling)"),IF(DE_Base_Profile!D7=1,J722-1,0),0)+IF(OR(D721="Electric heating",D721="Heat pump (heating &amp; cooling)"),IF(DE_Base_Profile!E7=1,L722-1,0),0)</f>
        <v>1</v>
      </c>
      <c r="E725">
        <f t="shared" si="48"/>
        <v>276.85</v>
      </c>
      <c r="F725">
        <f>IF(D721="Electric heating",IF(DE_Base_Profile!E7=1,B725*L722,0),IF(D721="Heat pump (heating &amp; cooling)",IF(DE_Base_Profile!D7=1,B725*J722,0)+IF(DE_Base_Profile!E7=1,B725*L722,0),0))</f>
        <v>0</v>
      </c>
      <c r="G725">
        <f>IF(SUM($F$724:$F$735)=0,0,D722*F725/SUM($F$724:$F$735))</f>
        <v>0</v>
      </c>
      <c r="H725">
        <f>F722/12</f>
        <v>375</v>
      </c>
      <c r="I725">
        <f>E725/SUM($E$724:$E$735)*L721+G725+H725</f>
        <v>651.85</v>
      </c>
      <c r="J725">
        <f>I725/H722</f>
        <v>0.08148125</v>
      </c>
    </row>
    <row r="726" spans="1:16">
      <c r="A726" t="str">
        <f>DE_Base_Profile!A8</f>
        <v>3月</v>
      </c>
      <c r="B726">
        <f>DE_Base_Profile!B8</f>
        <v>0.0773</v>
      </c>
      <c r="C726">
        <f>L721*B726</f>
        <v>270.55</v>
      </c>
      <c r="D726">
        <f>1+IF(OR(D721="Air conditioning",D721="Heat pump (heating &amp; cooling)"),IF(DE_Base_Profile!D8=1,J722-1,0),0)+IF(OR(D721="Electric heating",D721="Heat pump (heating &amp; cooling)"),IF(DE_Base_Profile!E8=1,L722-1,0),0)</f>
        <v>1</v>
      </c>
      <c r="E726">
        <f t="shared" si="48"/>
        <v>270.55</v>
      </c>
      <c r="F726">
        <f>IF(D721="Electric heating",IF(DE_Base_Profile!E8=1,B726*L722,0),IF(D721="Heat pump (heating &amp; cooling)",IF(DE_Base_Profile!D8=1,B726*J722,0)+IF(DE_Base_Profile!E8=1,B726*L722,0),0))</f>
        <v>0</v>
      </c>
      <c r="G726">
        <f>IF(SUM($F$724:$F$735)=0,0,D722*F726/SUM($F$724:$F$735))</f>
        <v>0</v>
      </c>
      <c r="H726">
        <f>F722/12</f>
        <v>375</v>
      </c>
      <c r="I726">
        <f>E726/SUM($E$724:$E$735)*L721+G726+H726</f>
        <v>645.55</v>
      </c>
      <c r="J726">
        <f>I726/H722</f>
        <v>0.08069375</v>
      </c>
    </row>
    <row r="727" spans="1:16">
      <c r="A727" t="str">
        <f>DE_Base_Profile!A9</f>
        <v>4月</v>
      </c>
      <c r="B727">
        <f>DE_Base_Profile!B9</f>
        <v>0.0822</v>
      </c>
      <c r="C727">
        <f>L721*B727</f>
        <v>287.7</v>
      </c>
      <c r="D727">
        <f>1+IF(OR(D721="Air conditioning",D721="Heat pump (heating &amp; cooling)"),IF(DE_Base_Profile!D9=1,J722-1,0),0)+IF(OR(D721="Electric heating",D721="Heat pump (heating &amp; cooling)"),IF(DE_Base_Profile!E9=1,L722-1,0),0)</f>
        <v>1</v>
      </c>
      <c r="E727">
        <f t="shared" si="48"/>
        <v>287.7</v>
      </c>
      <c r="F727">
        <f>IF(D721="Electric heating",IF(DE_Base_Profile!E9=1,B727*L722,0),IF(D721="Heat pump (heating &amp; cooling)",IF(DE_Base_Profile!D9=1,B727*J722,0)+IF(DE_Base_Profile!E9=1,B727*L722,0),0))</f>
        <v>0</v>
      </c>
      <c r="G727">
        <f>IF(SUM($F$724:$F$735)=0,0,D722*F727/SUM($F$724:$F$735))</f>
        <v>0</v>
      </c>
      <c r="H727">
        <f>F722/12</f>
        <v>375</v>
      </c>
      <c r="I727">
        <f>E727/SUM($E$724:$E$735)*L721+G727+H727</f>
        <v>662.7</v>
      </c>
      <c r="J727">
        <f>I727/H722</f>
        <v>0.0828375</v>
      </c>
    </row>
    <row r="728" spans="1:16">
      <c r="A728" t="str">
        <f>DE_Base_Profile!A10</f>
        <v>5月</v>
      </c>
      <c r="B728">
        <f>DE_Base_Profile!B10</f>
        <v>0.0839</v>
      </c>
      <c r="C728">
        <f>L721*B728</f>
        <v>293.65</v>
      </c>
      <c r="D728">
        <f>1+IF(OR(D721="Air conditioning",D721="Heat pump (heating &amp; cooling)"),IF(DE_Base_Profile!D10=1,J722-1,0),0)+IF(OR(D721="Electric heating",D721="Heat pump (heating &amp; cooling)"),IF(DE_Base_Profile!E10=1,L722-1,0),0)</f>
        <v>1</v>
      </c>
      <c r="E728">
        <f t="shared" si="48"/>
        <v>293.65</v>
      </c>
      <c r="F728">
        <f>IF(D721="Electric heating",IF(DE_Base_Profile!E10=1,B728*L722,0),IF(D721="Heat pump (heating &amp; cooling)",IF(DE_Base_Profile!D10=1,B728*J722,0)+IF(DE_Base_Profile!E10=1,B728*L722,0),0))</f>
        <v>0</v>
      </c>
      <c r="G728">
        <f>IF(SUM($F$724:$F$735)=0,0,D722*F728/SUM($F$724:$F$735))</f>
        <v>0</v>
      </c>
      <c r="H728">
        <f>F722/12</f>
        <v>375</v>
      </c>
      <c r="I728">
        <f>E728/SUM($E$724:$E$735)*L721+G728+H728</f>
        <v>668.65</v>
      </c>
      <c r="J728">
        <f>I728/H722</f>
        <v>0.08358125</v>
      </c>
    </row>
    <row r="729" spans="1:16">
      <c r="A729" t="str">
        <f>DE_Base_Profile!A11</f>
        <v>6月</v>
      </c>
      <c r="B729">
        <f>DE_Base_Profile!B11</f>
        <v>0.0876</v>
      </c>
      <c r="C729">
        <f>L721*B729</f>
        <v>306.6</v>
      </c>
      <c r="D729">
        <f>1+IF(OR(D721="Air conditioning",D721="Heat pump (heating &amp; cooling)"),IF(DE_Base_Profile!D11=1,J722-1,0),0)+IF(OR(D721="Electric heating",D721="Heat pump (heating &amp; cooling)"),IF(DE_Base_Profile!E11=1,L722-1,0),0)</f>
        <v>1</v>
      </c>
      <c r="E729">
        <f t="shared" si="48"/>
        <v>306.6</v>
      </c>
      <c r="F729">
        <f>IF(D721="Electric heating",IF(DE_Base_Profile!E11=1,B729*L722,0),IF(D721="Heat pump (heating &amp; cooling)",IF(DE_Base_Profile!D11=1,B729*J722,0)+IF(DE_Base_Profile!E11=1,B729*L722,0),0))</f>
        <v>0</v>
      </c>
      <c r="G729">
        <f>IF(SUM($F$724:$F$735)=0,0,D722*F729/SUM($F$724:$F$735))</f>
        <v>0</v>
      </c>
      <c r="H729">
        <f>F722/12</f>
        <v>375</v>
      </c>
      <c r="I729">
        <f>E729/SUM($E$724:$E$735)*L721+G729+H729</f>
        <v>681.6</v>
      </c>
      <c r="J729">
        <f>I729/H722</f>
        <v>0.0852</v>
      </c>
    </row>
    <row r="730" spans="1:16">
      <c r="A730" t="str">
        <f>DE_Base_Profile!A12</f>
        <v>7月</v>
      </c>
      <c r="B730">
        <f>DE_Base_Profile!B12</f>
        <v>0.0917</v>
      </c>
      <c r="C730">
        <f>L721*B730</f>
        <v>320.95</v>
      </c>
      <c r="D730">
        <f>1+IF(OR(D721="Air conditioning",D721="Heat pump (heating &amp; cooling)"),IF(DE_Base_Profile!D12=1,J722-1,0),0)+IF(OR(D721="Electric heating",D721="Heat pump (heating &amp; cooling)"),IF(DE_Base_Profile!E12=1,L722-1,0),0)</f>
        <v>1</v>
      </c>
      <c r="E730">
        <f t="shared" si="48"/>
        <v>320.95</v>
      </c>
      <c r="F730">
        <f>IF(D721="Electric heating",IF(DE_Base_Profile!E12=1,B730*L722,0),IF(D721="Heat pump (heating &amp; cooling)",IF(DE_Base_Profile!D12=1,B730*J722,0)+IF(DE_Base_Profile!E12=1,B730*L722,0),0))</f>
        <v>0</v>
      </c>
      <c r="G730">
        <f>IF(SUM($F$724:$F$735)=0,0,D722*F730/SUM($F$724:$F$735))</f>
        <v>0</v>
      </c>
      <c r="H730">
        <f>F722/12</f>
        <v>375</v>
      </c>
      <c r="I730">
        <f>E730/SUM($E$724:$E$735)*L721+G730+H730</f>
        <v>695.95</v>
      </c>
      <c r="J730">
        <f>I730/H722</f>
        <v>0.08699375</v>
      </c>
    </row>
    <row r="731" spans="1:16">
      <c r="A731" t="str">
        <f>DE_Base_Profile!A13</f>
        <v>8月</v>
      </c>
      <c r="B731">
        <f>DE_Base_Profile!B13</f>
        <v>0.0887</v>
      </c>
      <c r="C731">
        <f>L721*B731</f>
        <v>310.45</v>
      </c>
      <c r="D731">
        <f>1+IF(OR(D721="Air conditioning",D721="Heat pump (heating &amp; cooling)"),IF(DE_Base_Profile!D13=1,J722-1,0),0)+IF(OR(D721="Electric heating",D721="Heat pump (heating &amp; cooling)"),IF(DE_Base_Profile!E13=1,L722-1,0),0)</f>
        <v>1</v>
      </c>
      <c r="E731">
        <f t="shared" si="48"/>
        <v>310.45</v>
      </c>
      <c r="F731">
        <f>IF(D721="Electric heating",IF(DE_Base_Profile!E13=1,B731*L722,0),IF(D721="Heat pump (heating &amp; cooling)",IF(DE_Base_Profile!D13=1,B731*J722,0)+IF(DE_Base_Profile!E13=1,B731*L722,0),0))</f>
        <v>0</v>
      </c>
      <c r="G731">
        <f>IF(SUM($F$724:$F$735)=0,0,D722*F731/SUM($F$724:$F$735))</f>
        <v>0</v>
      </c>
      <c r="H731">
        <f>F722/12</f>
        <v>375</v>
      </c>
      <c r="I731">
        <f>E731/SUM($E$724:$E$735)*L721+G731+H731</f>
        <v>685.45</v>
      </c>
      <c r="J731">
        <f>I731/H722</f>
        <v>0.08568125</v>
      </c>
    </row>
    <row r="732" spans="1:16">
      <c r="A732" t="str">
        <f>DE_Base_Profile!A14</f>
        <v>9月</v>
      </c>
      <c r="B732">
        <f>DE_Base_Profile!B14</f>
        <v>0.0853</v>
      </c>
      <c r="C732">
        <f>L721*B732</f>
        <v>298.55</v>
      </c>
      <c r="D732">
        <f>1+IF(OR(D721="Air conditioning",D721="Heat pump (heating &amp; cooling)"),IF(DE_Base_Profile!D14=1,J722-1,0),0)+IF(OR(D721="Electric heating",D721="Heat pump (heating &amp; cooling)"),IF(DE_Base_Profile!E14=1,L722-1,0),0)</f>
        <v>1</v>
      </c>
      <c r="E732">
        <f t="shared" si="48"/>
        <v>298.55</v>
      </c>
      <c r="F732">
        <f>IF(D721="Electric heating",IF(DE_Base_Profile!E14=1,B732*L722,0),IF(D721="Heat pump (heating &amp; cooling)",IF(DE_Base_Profile!D14=1,B732*J722,0)+IF(DE_Base_Profile!E14=1,B732*L722,0),0))</f>
        <v>0</v>
      </c>
      <c r="G732">
        <f>IF(SUM($F$724:$F$735)=0,0,D722*F732/SUM($F$724:$F$735))</f>
        <v>0</v>
      </c>
      <c r="H732">
        <f>F722/12</f>
        <v>375</v>
      </c>
      <c r="I732">
        <f>E732/SUM($E$724:$E$735)*L721+G732+H732</f>
        <v>673.55</v>
      </c>
      <c r="J732">
        <f>I732/H722</f>
        <v>0.08419375</v>
      </c>
    </row>
    <row r="733" spans="1:16">
      <c r="A733" t="str">
        <f>DE_Base_Profile!A15</f>
        <v>10月</v>
      </c>
      <c r="B733">
        <f>DE_Base_Profile!B15</f>
        <v>0.0838</v>
      </c>
      <c r="C733">
        <f>L721*B733</f>
        <v>293.3</v>
      </c>
      <c r="D733">
        <f>1+IF(OR(D721="Air conditioning",D721="Heat pump (heating &amp; cooling)"),IF(DE_Base_Profile!D15=1,J722-1,0),0)+IF(OR(D721="Electric heating",D721="Heat pump (heating &amp; cooling)"),IF(DE_Base_Profile!E15=1,L722-1,0),0)</f>
        <v>1</v>
      </c>
      <c r="E733">
        <f t="shared" si="48"/>
        <v>293.3</v>
      </c>
      <c r="F733">
        <f>IF(D721="Electric heating",IF(DE_Base_Profile!E15=1,B733*L722,0),IF(D721="Heat pump (heating &amp; cooling)",IF(DE_Base_Profile!D15=1,B733*J722,0)+IF(DE_Base_Profile!E15=1,B733*L722,0),0))</f>
        <v>0</v>
      </c>
      <c r="G733">
        <f>IF(SUM($F$724:$F$735)=0,0,D722*F733/SUM($F$724:$F$735))</f>
        <v>0</v>
      </c>
      <c r="H733">
        <f>F722/12</f>
        <v>375</v>
      </c>
      <c r="I733">
        <f>E733/SUM($E$724:$E$735)*L721+G733+H733</f>
        <v>668.3</v>
      </c>
      <c r="J733">
        <f>I733/H722</f>
        <v>0.0835375</v>
      </c>
    </row>
    <row r="734" spans="1:16">
      <c r="A734" t="str">
        <f>DE_Base_Profile!A16</f>
        <v>11月</v>
      </c>
      <c r="B734">
        <f>DE_Base_Profile!B16</f>
        <v>0.0819</v>
      </c>
      <c r="C734">
        <f>L721*B734</f>
        <v>286.65</v>
      </c>
      <c r="D734">
        <f>1+IF(OR(D721="Air conditioning",D721="Heat pump (heating &amp; cooling)"),IF(DE_Base_Profile!D16=1,J722-1,0),0)+IF(OR(D721="Electric heating",D721="Heat pump (heating &amp; cooling)"),IF(DE_Base_Profile!E16=1,L722-1,0),0)</f>
        <v>1</v>
      </c>
      <c r="E734">
        <f t="shared" si="48"/>
        <v>286.65</v>
      </c>
      <c r="F734">
        <f>IF(D721="Electric heating",IF(DE_Base_Profile!E16=1,B734*L722,0),IF(D721="Heat pump (heating &amp; cooling)",IF(DE_Base_Profile!D16=1,B734*J722,0)+IF(DE_Base_Profile!E16=1,B734*L722,0),0))</f>
        <v>0</v>
      </c>
      <c r="G734">
        <f>IF(SUM($F$724:$F$735)=0,0,D722*F734/SUM($F$724:$F$735))</f>
        <v>0</v>
      </c>
      <c r="H734">
        <f>F722/12</f>
        <v>375</v>
      </c>
      <c r="I734">
        <f>E734/SUM($E$724:$E$735)*L721+G734+H734</f>
        <v>661.65</v>
      </c>
      <c r="J734">
        <f>I734/H722</f>
        <v>0.08270625</v>
      </c>
    </row>
    <row r="735" spans="1:16">
      <c r="A735" t="str">
        <f>DE_Base_Profile!A17</f>
        <v>12月</v>
      </c>
      <c r="B735">
        <f>DE_Base_Profile!B17</f>
        <v>0.0796</v>
      </c>
      <c r="C735">
        <f>L721*B735</f>
        <v>278.6</v>
      </c>
      <c r="D735">
        <f>1+IF(OR(D721="Air conditioning",D721="Heat pump (heating &amp; cooling)"),IF(DE_Base_Profile!D17=1,J722-1,0),0)+IF(OR(D721="Electric heating",D721="Heat pump (heating &amp; cooling)"),IF(DE_Base_Profile!E17=1,L722-1,0),0)</f>
        <v>1</v>
      </c>
      <c r="E735">
        <f t="shared" si="48"/>
        <v>278.6</v>
      </c>
      <c r="F735">
        <f>IF(D721="Electric heating",IF(DE_Base_Profile!E17=1,B735*L722,0),IF(D721="Heat pump (heating &amp; cooling)",IF(DE_Base_Profile!D17=1,B735*J722,0)+IF(DE_Base_Profile!E17=1,B735*L722,0),0))</f>
        <v>0</v>
      </c>
      <c r="G735">
        <f>IF(SUM($F$724:$F$735)=0,0,D722*F735/SUM($F$724:$F$735))</f>
        <v>0</v>
      </c>
      <c r="H735">
        <f>F722/12</f>
        <v>375</v>
      </c>
      <c r="I735">
        <f>E735/SUM($E$724:$E$735)*L721+G735+H735</f>
        <v>653.6</v>
      </c>
      <c r="J735">
        <f>I735/H722</f>
        <v>0.0817</v>
      </c>
    </row>
    <row r="738" spans="1:10">
      <c r="A738">
        <f>DE_Base_Profile!H6</f>
        <v>0</v>
      </c>
      <c r="B738">
        <f>DE_Base_Profile!I6</f>
        <v>0.0301</v>
      </c>
      <c r="C738">
        <f>IF(DE_Base_Profile!J6=1,INDEX(DE_Lookups!$B$2:$B$4,MATCH(B721,DE_Lookups!$A$2:$A$4,0)),1)</f>
        <v>1</v>
      </c>
      <c r="D738">
        <f>IF(OR(D721="Air conditioning",D721="Heat pump (heating &amp; cooling)"),IF(DE_Base_Profile!K6=1,N722,1),1)*IF(OR(D721="Electric heating",D721="Heat pump (heating &amp; cooling)"),IF(DE_Base_Profile!L6=1,P722,1),1)</f>
        <v>1</v>
      </c>
      <c r="E738">
        <f t="shared" ref="E738:E761" si="49">B738*C738*D738</f>
        <v>0.0301</v>
      </c>
      <c r="F738">
        <f t="shared" ref="F738:F761" si="50">E738/SUM($E$738:$E$761)</f>
        <v>0.0364495035117462</v>
      </c>
      <c r="G738">
        <f>((L721+D722)/365)*F738</f>
        <v>0.349515787098936</v>
      </c>
      <c r="H738">
        <f>INDEX(DE_Base_Profile!$N$6:$Q$29,ROW()-737,MATCH(J721,DE_Base_Profile!$N$5:$Q$5,0))</f>
        <v>0.125</v>
      </c>
      <c r="I738">
        <f>(F722/365)*H738</f>
        <v>1.54109589041096</v>
      </c>
      <c r="J738">
        <f>(G738+I738)/(H722/365)</f>
        <v>0.0862591577863889</v>
      </c>
    </row>
    <row r="739" spans="1:10">
      <c r="A739">
        <f>DE_Base_Profile!H7</f>
        <v>1</v>
      </c>
      <c r="B739">
        <f>DE_Base_Profile!I7</f>
        <v>0.0258</v>
      </c>
      <c r="C739">
        <f>IF(DE_Base_Profile!J7=1,INDEX(DE_Lookups!$B$2:$B$4,MATCH(B721,DE_Lookups!$A$2:$A$4,0)),1)</f>
        <v>1</v>
      </c>
      <c r="D739">
        <f>IF(OR(D721="Air conditioning",D721="Heat pump (heating &amp; cooling)"),IF(DE_Base_Profile!K7=1,N722,1),1)*IF(OR(D721="Electric heating",D721="Heat pump (heating &amp; cooling)"),IF(DE_Base_Profile!L7=1,P722,1),1)</f>
        <v>1</v>
      </c>
      <c r="E739">
        <f t="shared" si="49"/>
        <v>0.0258</v>
      </c>
      <c r="F739">
        <f t="shared" si="50"/>
        <v>0.0312424315814967</v>
      </c>
      <c r="G739">
        <f>((L721+D722)/365)*F739</f>
        <v>0.299584960370517</v>
      </c>
      <c r="H739">
        <f>INDEX(DE_Base_Profile!$N$6:$Q$29,ROW()-737,MATCH(J721,DE_Base_Profile!$N$5:$Q$5,0))</f>
        <v>0.125</v>
      </c>
      <c r="I739">
        <f>(F722/365)*H739</f>
        <v>1.54109589041096</v>
      </c>
      <c r="J739">
        <f>(G739+I739)/(H722/365)</f>
        <v>0.0839810638169048</v>
      </c>
    </row>
    <row r="740" spans="1:10">
      <c r="A740">
        <f>DE_Base_Profile!H8</f>
        <v>2</v>
      </c>
      <c r="B740">
        <f>DE_Base_Profile!I8</f>
        <v>0.0239</v>
      </c>
      <c r="C740">
        <f>IF(DE_Base_Profile!J8=1,INDEX(DE_Lookups!$B$2:$B$4,MATCH(B721,DE_Lookups!$A$2:$A$4,0)),1)</f>
        <v>1</v>
      </c>
      <c r="D740">
        <f>IF(OR(D721="Air conditioning",D721="Heat pump (heating &amp; cooling)"),IF(DE_Base_Profile!K8=1,N722,1),1)*IF(OR(D721="Electric heating",D721="Heat pump (heating &amp; cooling)"),IF(DE_Base_Profile!L8=1,P722,1),1)</f>
        <v>1</v>
      </c>
      <c r="E740">
        <f t="shared" si="49"/>
        <v>0.0239</v>
      </c>
      <c r="F740">
        <f t="shared" si="50"/>
        <v>0.0289416323565028</v>
      </c>
      <c r="G740">
        <f>((L721+D722)/365)*F740</f>
        <v>0.277522502048657</v>
      </c>
      <c r="H740">
        <f>INDEX(DE_Base_Profile!$N$6:$Q$29,ROW()-737,MATCH(J721,DE_Base_Profile!$N$5:$Q$5,0))</f>
        <v>0.125</v>
      </c>
      <c r="I740">
        <f>(F722/365)*H740</f>
        <v>1.54109589041096</v>
      </c>
      <c r="J740">
        <f>(G740+I740)/(H722/365)</f>
        <v>0.08297446415597</v>
      </c>
    </row>
    <row r="741" spans="1:10">
      <c r="A741">
        <f>DE_Base_Profile!H9</f>
        <v>3</v>
      </c>
      <c r="B741">
        <f>DE_Base_Profile!I9</f>
        <v>0.0232</v>
      </c>
      <c r="C741">
        <f>IF(DE_Base_Profile!J9=1,INDEX(DE_Lookups!$B$2:$B$4,MATCH(B721,DE_Lookups!$A$2:$A$4,0)),1)</f>
        <v>1</v>
      </c>
      <c r="D741">
        <f>IF(OR(D721="Air conditioning",D721="Heat pump (heating &amp; cooling)"),IF(DE_Base_Profile!K9=1,N722,1),1)*IF(OR(D721="Electric heating",D721="Heat pump (heating &amp; cooling)"),IF(DE_Base_Profile!L9=1,P722,1),1)</f>
        <v>1</v>
      </c>
      <c r="E741">
        <f t="shared" si="49"/>
        <v>0.0232</v>
      </c>
      <c r="F741">
        <f t="shared" si="50"/>
        <v>0.0280939694841366</v>
      </c>
      <c r="G741">
        <f>((L721+D722)/365)*F741</f>
        <v>0.269394227930077</v>
      </c>
      <c r="H741">
        <f>INDEX(DE_Base_Profile!$N$6:$Q$29,ROW()-737,MATCH(J721,DE_Base_Profile!$N$5:$Q$5,0))</f>
        <v>0.125</v>
      </c>
      <c r="I741">
        <f>(F722/365)*H741</f>
        <v>1.54109589041096</v>
      </c>
      <c r="J741">
        <f>(G741+I741)/(H722/365)</f>
        <v>0.0826036116493098</v>
      </c>
    </row>
    <row r="742" spans="1:10">
      <c r="A742">
        <f>DE_Base_Profile!H10</f>
        <v>4</v>
      </c>
      <c r="B742">
        <f>DE_Base_Profile!I10</f>
        <v>0.0236</v>
      </c>
      <c r="C742">
        <f>IF(DE_Base_Profile!J10=1,INDEX(DE_Lookups!$B$2:$B$4,MATCH(B721,DE_Lookups!$A$2:$A$4,0)),1)</f>
        <v>1</v>
      </c>
      <c r="D742">
        <f>IF(OR(D721="Air conditioning",D721="Heat pump (heating &amp; cooling)"),IF(DE_Base_Profile!K10=1,N722,1),1)*IF(OR(D721="Electric heating",D721="Heat pump (heating &amp; cooling)"),IF(DE_Base_Profile!L10=1,P722,1),1)</f>
        <v>1</v>
      </c>
      <c r="E742">
        <f t="shared" si="49"/>
        <v>0.0236</v>
      </c>
      <c r="F742">
        <f t="shared" si="50"/>
        <v>0.0285783482683458</v>
      </c>
      <c r="G742">
        <f>((L721+D722)/365)*F742</f>
        <v>0.274038955997837</v>
      </c>
      <c r="H742">
        <f>INDEX(DE_Base_Profile!$N$6:$Q$29,ROW()-737,MATCH(J721,DE_Base_Profile!$N$5:$Q$5,0))</f>
        <v>0.125</v>
      </c>
      <c r="I742">
        <f>(F722/365)*H742</f>
        <v>1.54109589041096</v>
      </c>
      <c r="J742">
        <f>(G742+I742)/(H722/365)</f>
        <v>0.0828155273674013</v>
      </c>
    </row>
    <row r="743" spans="1:10">
      <c r="A743">
        <f>DE_Base_Profile!H11</f>
        <v>5</v>
      </c>
      <c r="B743">
        <f>DE_Base_Profile!I11</f>
        <v>0.0252</v>
      </c>
      <c r="C743">
        <f>IF(DE_Base_Profile!J11=1,INDEX(DE_Lookups!$B$2:$B$4,MATCH(B721,DE_Lookups!$A$2:$A$4,0)),1)</f>
        <v>1</v>
      </c>
      <c r="D743">
        <f>IF(OR(D721="Air conditioning",D721="Heat pump (heating &amp; cooling)"),IF(DE_Base_Profile!K11=1,N722,1),1)*IF(OR(D721="Electric heating",D721="Heat pump (heating &amp; cooling)"),IF(DE_Base_Profile!L11=1,P722,1),1)</f>
        <v>1</v>
      </c>
      <c r="E743">
        <f t="shared" si="49"/>
        <v>0.0252</v>
      </c>
      <c r="F743">
        <f t="shared" si="50"/>
        <v>0.0305158634051829</v>
      </c>
      <c r="G743">
        <f>((L721+D722)/365)*F743</f>
        <v>0.292617868268877</v>
      </c>
      <c r="H743">
        <f>INDEX(DE_Base_Profile!$N$6:$Q$29,ROW()-737,MATCH(J721,DE_Base_Profile!$N$5:$Q$5,0))</f>
        <v>0.125</v>
      </c>
      <c r="I743">
        <f>(F722/365)*H743</f>
        <v>1.54109589041096</v>
      </c>
      <c r="J743">
        <f>(G743+I743)/(H722/365)</f>
        <v>0.0836631902397675</v>
      </c>
    </row>
    <row r="744" spans="1:10">
      <c r="A744">
        <f>DE_Base_Profile!H12</f>
        <v>6</v>
      </c>
      <c r="B744">
        <f>DE_Base_Profile!I12</f>
        <v>0.03</v>
      </c>
      <c r="C744">
        <f>IF(DE_Base_Profile!J12=1,INDEX(DE_Lookups!$B$2:$B$4,MATCH(B721,DE_Lookups!$A$2:$A$4,0)),1)</f>
        <v>1</v>
      </c>
      <c r="D744">
        <f>IF(OR(D721="Air conditioning",D721="Heat pump (heating &amp; cooling)"),IF(DE_Base_Profile!K12=1,N722,1),1)*IF(OR(D721="Electric heating",D721="Heat pump (heating &amp; cooling)"),IF(DE_Base_Profile!L12=1,P722,1),1)</f>
        <v>1</v>
      </c>
      <c r="E744">
        <f t="shared" si="49"/>
        <v>0.03</v>
      </c>
      <c r="F744">
        <f t="shared" si="50"/>
        <v>0.0363284088156939</v>
      </c>
      <c r="G744">
        <f>((L721+D722)/365)*F744</f>
        <v>0.348354605081996</v>
      </c>
      <c r="H744">
        <f>INDEX(DE_Base_Profile!$N$6:$Q$29,ROW()-737,MATCH(J721,DE_Base_Profile!$N$5:$Q$5,0))</f>
        <v>0</v>
      </c>
      <c r="I744">
        <f>(F722/365)*H744</f>
        <v>0</v>
      </c>
      <c r="J744">
        <f>(G744+I744)/(H722/365)</f>
        <v>0.0158936788568661</v>
      </c>
    </row>
    <row r="745" spans="1:10">
      <c r="A745">
        <f>DE_Base_Profile!H13</f>
        <v>7</v>
      </c>
      <c r="B745">
        <f>DE_Base_Profile!I13</f>
        <v>0.0358</v>
      </c>
      <c r="C745">
        <f>IF(DE_Base_Profile!J13=1,INDEX(DE_Lookups!$B$2:$B$4,MATCH(B721,DE_Lookups!$A$2:$A$4,0)),1)</f>
        <v>1</v>
      </c>
      <c r="D745">
        <f>IF(OR(D721="Air conditioning",D721="Heat pump (heating &amp; cooling)"),IF(DE_Base_Profile!K13=1,N722,1),1)*IF(OR(D721="Electric heating",D721="Heat pump (heating &amp; cooling)"),IF(DE_Base_Profile!L13=1,P722,1),1)</f>
        <v>1</v>
      </c>
      <c r="E745">
        <f t="shared" si="49"/>
        <v>0.0358</v>
      </c>
      <c r="F745">
        <f t="shared" si="50"/>
        <v>0.043351901186728</v>
      </c>
      <c r="G745">
        <f>((L721+D722)/365)*F745</f>
        <v>0.415703162064515</v>
      </c>
      <c r="H745">
        <f>INDEX(DE_Base_Profile!$N$6:$Q$29,ROW()-737,MATCH(J721,DE_Base_Profile!$N$5:$Q$5,0))</f>
        <v>0</v>
      </c>
      <c r="I745">
        <f>(F722/365)*H745</f>
        <v>0</v>
      </c>
      <c r="J745">
        <f>(G745+I745)/(H722/365)</f>
        <v>0.0189664567691935</v>
      </c>
    </row>
    <row r="746" spans="1:10">
      <c r="A746">
        <f>DE_Base_Profile!H14</f>
        <v>8</v>
      </c>
      <c r="B746">
        <f>DE_Base_Profile!I14</f>
        <v>0.041</v>
      </c>
      <c r="C746">
        <f>IF(DE_Base_Profile!J14=1,INDEX(DE_Lookups!$B$2:$B$4,MATCH(B721,DE_Lookups!$A$2:$A$4,0)),1)</f>
        <v>1</v>
      </c>
      <c r="D746">
        <f>IF(OR(D721="Air conditioning",D721="Heat pump (heating &amp; cooling)"),IF(DE_Base_Profile!K14=1,N722,1),1)*IF(OR(D721="Electric heating",D721="Heat pump (heating &amp; cooling)"),IF(DE_Base_Profile!L14=1,P722,1),1)</f>
        <v>1</v>
      </c>
      <c r="E746">
        <f t="shared" si="49"/>
        <v>0.041</v>
      </c>
      <c r="F746">
        <f t="shared" si="50"/>
        <v>0.0496488253814483</v>
      </c>
      <c r="G746">
        <f>((L721+D722)/365)*F746</f>
        <v>0.476084626945395</v>
      </c>
      <c r="H746">
        <f>INDEX(DE_Base_Profile!$N$6:$Q$29,ROW()-737,MATCH(J721,DE_Base_Profile!$N$5:$Q$5,0))</f>
        <v>0</v>
      </c>
      <c r="I746">
        <f>(F722/365)*H746</f>
        <v>0</v>
      </c>
      <c r="J746">
        <f>(G746+I746)/(H722/365)</f>
        <v>0.0217213611043836</v>
      </c>
    </row>
    <row r="747" spans="1:10">
      <c r="A747">
        <f>DE_Base_Profile!H15</f>
        <v>9</v>
      </c>
      <c r="B747">
        <f>DE_Base_Profile!I15</f>
        <v>0.0446</v>
      </c>
      <c r="C747">
        <f>IF(DE_Base_Profile!J15=1,INDEX(DE_Lookups!$B$2:$B$4,MATCH(B721,DE_Lookups!$A$2:$A$4,0)),1)</f>
        <v>0.6</v>
      </c>
      <c r="D747">
        <f>IF(OR(D721="Air conditioning",D721="Heat pump (heating &amp; cooling)"),IF(DE_Base_Profile!K15=1,N722,1),1)*IF(OR(D721="Electric heating",D721="Heat pump (heating &amp; cooling)"),IF(DE_Base_Profile!L15=1,P722,1),1)</f>
        <v>1</v>
      </c>
      <c r="E747">
        <f t="shared" si="49"/>
        <v>0.02676</v>
      </c>
      <c r="F747">
        <f t="shared" si="50"/>
        <v>0.0324049406635989</v>
      </c>
      <c r="G747">
        <f>((L721+D722)/365)*F747</f>
        <v>0.31073230773314</v>
      </c>
      <c r="H747">
        <f>INDEX(DE_Base_Profile!$N$6:$Q$29,ROW()-737,MATCH(J721,DE_Base_Profile!$N$5:$Q$5,0))</f>
        <v>0</v>
      </c>
      <c r="I747">
        <f>(F722/365)*H747</f>
        <v>0</v>
      </c>
      <c r="J747">
        <f>(G747+I747)/(H722/365)</f>
        <v>0.0141771615403245</v>
      </c>
    </row>
    <row r="748" spans="1:10">
      <c r="A748">
        <f>DE_Base_Profile!H16</f>
        <v>10</v>
      </c>
      <c r="B748">
        <f>DE_Base_Profile!I16</f>
        <v>0.0474</v>
      </c>
      <c r="C748">
        <f>IF(DE_Base_Profile!J16=1,INDEX(DE_Lookups!$B$2:$B$4,MATCH(B721,DE_Lookups!$A$2:$A$4,0)),1)</f>
        <v>0.6</v>
      </c>
      <c r="D748">
        <f>IF(OR(D721="Air conditioning",D721="Heat pump (heating &amp; cooling)"),IF(DE_Base_Profile!K16=1,N722,1),1)*IF(OR(D721="Electric heating",D721="Heat pump (heating &amp; cooling)"),IF(DE_Base_Profile!L16=1,P722,1),1)</f>
        <v>1</v>
      </c>
      <c r="E748">
        <f t="shared" si="49"/>
        <v>0.02844</v>
      </c>
      <c r="F748">
        <f t="shared" si="50"/>
        <v>0.0344393315572778</v>
      </c>
      <c r="G748">
        <f>((L721+D722)/365)*F748</f>
        <v>0.330240165617732</v>
      </c>
      <c r="H748">
        <f>INDEX(DE_Base_Profile!$N$6:$Q$29,ROW()-737,MATCH(J721,DE_Base_Profile!$N$5:$Q$5,0))</f>
        <v>0</v>
      </c>
      <c r="I748">
        <f>(F722/365)*H748</f>
        <v>0</v>
      </c>
      <c r="J748">
        <f>(G748+I748)/(H722/365)</f>
        <v>0.015067207556309</v>
      </c>
    </row>
    <row r="749" spans="1:10">
      <c r="A749">
        <f>DE_Base_Profile!H17</f>
        <v>11</v>
      </c>
      <c r="B749">
        <f>DE_Base_Profile!I17</f>
        <v>0.0518</v>
      </c>
      <c r="C749">
        <f>IF(DE_Base_Profile!J17=1,INDEX(DE_Lookups!$B$2:$B$4,MATCH(B721,DE_Lookups!$A$2:$A$4,0)),1)</f>
        <v>0.6</v>
      </c>
      <c r="D749">
        <f>IF(OR(D721="Air conditioning",D721="Heat pump (heating &amp; cooling)"),IF(DE_Base_Profile!K17=1,N722,1),1)*IF(OR(D721="Electric heating",D721="Heat pump (heating &amp; cooling)"),IF(DE_Base_Profile!L17=1,P722,1),1)</f>
        <v>1</v>
      </c>
      <c r="E749">
        <f t="shared" si="49"/>
        <v>0.03108</v>
      </c>
      <c r="F749">
        <f t="shared" si="50"/>
        <v>0.0376362315330588</v>
      </c>
      <c r="G749">
        <f>((L721+D722)/365)*F749</f>
        <v>0.360895370864948</v>
      </c>
      <c r="H749">
        <f>INDEX(DE_Base_Profile!$N$6:$Q$29,ROW()-737,MATCH(J721,DE_Base_Profile!$N$5:$Q$5,0))</f>
        <v>0</v>
      </c>
      <c r="I749">
        <f>(F722/365)*H749</f>
        <v>0</v>
      </c>
      <c r="J749">
        <f>(G749+I749)/(H722/365)</f>
        <v>0.0164658512957132</v>
      </c>
    </row>
    <row r="750" spans="1:10">
      <c r="A750">
        <f>DE_Base_Profile!H18</f>
        <v>12</v>
      </c>
      <c r="B750">
        <f>DE_Base_Profile!I18</f>
        <v>0.0513</v>
      </c>
      <c r="C750">
        <f>IF(DE_Base_Profile!J18=1,INDEX(DE_Lookups!$B$2:$B$4,MATCH(B721,DE_Lookups!$A$2:$A$4,0)),1)</f>
        <v>0.6</v>
      </c>
      <c r="D750">
        <f>IF(OR(D721="Air conditioning",D721="Heat pump (heating &amp; cooling)"),IF(DE_Base_Profile!K18=1,N722,1),1)*IF(OR(D721="Electric heating",D721="Heat pump (heating &amp; cooling)"),IF(DE_Base_Profile!L18=1,P722,1),1)</f>
        <v>1</v>
      </c>
      <c r="E750">
        <f t="shared" si="49"/>
        <v>0.03078</v>
      </c>
      <c r="F750">
        <f t="shared" si="50"/>
        <v>0.0372729474449019</v>
      </c>
      <c r="G750">
        <f>((L721+D722)/365)*F750</f>
        <v>0.357411824814128</v>
      </c>
      <c r="H750">
        <f>INDEX(DE_Base_Profile!$N$6:$Q$29,ROW()-737,MATCH(J721,DE_Base_Profile!$N$5:$Q$5,0))</f>
        <v>0</v>
      </c>
      <c r="I750">
        <f>(F722/365)*H750</f>
        <v>0</v>
      </c>
      <c r="J750">
        <f>(G750+I750)/(H722/365)</f>
        <v>0.0163069145071446</v>
      </c>
    </row>
    <row r="751" spans="1:10">
      <c r="A751">
        <f>DE_Base_Profile!H19</f>
        <v>13</v>
      </c>
      <c r="B751">
        <f>DE_Base_Profile!I19</f>
        <v>0.0481</v>
      </c>
      <c r="C751">
        <f>IF(DE_Base_Profile!J19=1,INDEX(DE_Lookups!$B$2:$B$4,MATCH(B721,DE_Lookups!$A$2:$A$4,0)),1)</f>
        <v>0.6</v>
      </c>
      <c r="D751">
        <f>IF(OR(D721="Air conditioning",D721="Heat pump (heating &amp; cooling)"),IF(DE_Base_Profile!K19=1,N722,1),1)*IF(OR(D721="Electric heating",D721="Heat pump (heating &amp; cooling)"),IF(DE_Base_Profile!L19=1,P722,1),1)</f>
        <v>1</v>
      </c>
      <c r="E751">
        <f t="shared" si="49"/>
        <v>0.02886</v>
      </c>
      <c r="F751">
        <f t="shared" si="50"/>
        <v>0.0349479292806975</v>
      </c>
      <c r="G751">
        <f>((L721+D722)/365)*F751</f>
        <v>0.33511713008888</v>
      </c>
      <c r="H751">
        <f>INDEX(DE_Base_Profile!$N$6:$Q$29,ROW()-737,MATCH(J721,DE_Base_Profile!$N$5:$Q$5,0))</f>
        <v>0</v>
      </c>
      <c r="I751">
        <f>(F722/365)*H751</f>
        <v>0</v>
      </c>
      <c r="J751">
        <f>(G751+I751)/(H722/365)</f>
        <v>0.0152897190603052</v>
      </c>
    </row>
    <row r="752" spans="1:10">
      <c r="A752">
        <f>DE_Base_Profile!H20</f>
        <v>14</v>
      </c>
      <c r="B752">
        <f>DE_Base_Profile!I20</f>
        <v>0.0459</v>
      </c>
      <c r="C752">
        <f>IF(DE_Base_Profile!J20=1,INDEX(DE_Lookups!$B$2:$B$4,MATCH(B721,DE_Lookups!$A$2:$A$4,0)),1)</f>
        <v>0.6</v>
      </c>
      <c r="D752">
        <f>IF(OR(D721="Air conditioning",D721="Heat pump (heating &amp; cooling)"),IF(DE_Base_Profile!K20=1,N722,1),1)*IF(OR(D721="Electric heating",D721="Heat pump (heating &amp; cooling)"),IF(DE_Base_Profile!L20=1,P722,1),1)</f>
        <v>1</v>
      </c>
      <c r="E752">
        <f t="shared" si="49"/>
        <v>0.02754</v>
      </c>
      <c r="F752">
        <f t="shared" si="50"/>
        <v>0.033349479292807</v>
      </c>
      <c r="G752">
        <f>((L721+D722)/365)*F752</f>
        <v>0.319789527465272</v>
      </c>
      <c r="H752">
        <f>INDEX(DE_Base_Profile!$N$6:$Q$29,ROW()-737,MATCH(J721,DE_Base_Profile!$N$5:$Q$5,0))</f>
        <v>0</v>
      </c>
      <c r="I752">
        <f>(F722/365)*H752</f>
        <v>0</v>
      </c>
      <c r="J752">
        <f>(G752+I752)/(H722/365)</f>
        <v>0.0145903971906031</v>
      </c>
    </row>
    <row r="753" spans="1:16">
      <c r="A753">
        <f>DE_Base_Profile!H21</f>
        <v>15</v>
      </c>
      <c r="B753">
        <f>DE_Base_Profile!I21</f>
        <v>0.0454</v>
      </c>
      <c r="C753">
        <f>IF(DE_Base_Profile!J21=1,INDEX(DE_Lookups!$B$2:$B$4,MATCH(B721,DE_Lookups!$A$2:$A$4,0)),1)</f>
        <v>0.6</v>
      </c>
      <c r="D753">
        <f>IF(OR(D721="Air conditioning",D721="Heat pump (heating &amp; cooling)"),IF(DE_Base_Profile!K21=1,N722,1),1)*IF(OR(D721="Electric heating",D721="Heat pump (heating &amp; cooling)"),IF(DE_Base_Profile!L21=1,P722,1),1)</f>
        <v>1</v>
      </c>
      <c r="E753">
        <f t="shared" si="49"/>
        <v>0.02724</v>
      </c>
      <c r="F753">
        <f t="shared" si="50"/>
        <v>0.03298619520465</v>
      </c>
      <c r="G753">
        <f>((L721+D722)/365)*F753</f>
        <v>0.316305981414452</v>
      </c>
      <c r="H753">
        <f>INDEX(DE_Base_Profile!$N$6:$Q$29,ROW()-737,MATCH(J721,DE_Base_Profile!$N$5:$Q$5,0))</f>
        <v>0</v>
      </c>
      <c r="I753">
        <f>(F722/365)*H753</f>
        <v>0</v>
      </c>
      <c r="J753">
        <f>(G753+I753)/(H722/365)</f>
        <v>0.0144314604020344</v>
      </c>
    </row>
    <row r="754" spans="1:16">
      <c r="A754">
        <f>DE_Base_Profile!H22</f>
        <v>16</v>
      </c>
      <c r="B754">
        <f>DE_Base_Profile!I22</f>
        <v>0.0475</v>
      </c>
      <c r="C754">
        <f>IF(DE_Base_Profile!J22=1,INDEX(DE_Lookups!$B$2:$B$4,MATCH(B721,DE_Lookups!$A$2:$A$4,0)),1)</f>
        <v>0.6</v>
      </c>
      <c r="D754">
        <f>IF(OR(D721="Air conditioning",D721="Heat pump (heating &amp; cooling)"),IF(DE_Base_Profile!K22=1,N722,1),1)*IF(OR(D721="Electric heating",D721="Heat pump (heating &amp; cooling)"),IF(DE_Base_Profile!L22=1,P722,1),1)</f>
        <v>1</v>
      </c>
      <c r="E754">
        <f t="shared" si="49"/>
        <v>0.0285</v>
      </c>
      <c r="F754">
        <f t="shared" si="50"/>
        <v>0.0345119883749092</v>
      </c>
      <c r="G754">
        <f>((L721+D722)/365)*F754</f>
        <v>0.330936874827896</v>
      </c>
      <c r="H754">
        <f>INDEX(DE_Base_Profile!$N$6:$Q$29,ROW()-737,MATCH(J721,DE_Base_Profile!$N$5:$Q$5,0))</f>
        <v>0</v>
      </c>
      <c r="I754">
        <f>(F722/365)*H754</f>
        <v>0</v>
      </c>
      <c r="J754">
        <f>(G754+I754)/(H722/365)</f>
        <v>0.0150989949140228</v>
      </c>
    </row>
    <row r="755" spans="1:16">
      <c r="A755">
        <f>DE_Base_Profile!H23</f>
        <v>17</v>
      </c>
      <c r="B755">
        <f>DE_Base_Profile!I23</f>
        <v>0.0535</v>
      </c>
      <c r="C755">
        <f>IF(DE_Base_Profile!J23=1,INDEX(DE_Lookups!$B$2:$B$4,MATCH(B721,DE_Lookups!$A$2:$A$4,0)),1)</f>
        <v>0.6</v>
      </c>
      <c r="D755">
        <f>IF(OR(D721="Air conditioning",D721="Heat pump (heating &amp; cooling)"),IF(DE_Base_Profile!K23=1,N722,1),1)*IF(OR(D721="Electric heating",D721="Heat pump (heating &amp; cooling)"),IF(DE_Base_Profile!L23=1,P722,1),1)</f>
        <v>1</v>
      </c>
      <c r="E755">
        <f t="shared" si="49"/>
        <v>0.0321</v>
      </c>
      <c r="F755">
        <f t="shared" si="50"/>
        <v>0.0388713974327924</v>
      </c>
      <c r="G755">
        <f>((L721+D722)/365)*F755</f>
        <v>0.372739427437736</v>
      </c>
      <c r="H755">
        <f>INDEX(DE_Base_Profile!$N$6:$Q$29,ROW()-737,MATCH(J721,DE_Base_Profile!$N$5:$Q$5,0))</f>
        <v>0</v>
      </c>
      <c r="I755">
        <f>(F722/365)*H755</f>
        <v>0</v>
      </c>
      <c r="J755">
        <f>(G755+I755)/(H722/365)</f>
        <v>0.0170062363768467</v>
      </c>
    </row>
    <row r="756" spans="1:16">
      <c r="A756">
        <f>DE_Base_Profile!H24</f>
        <v>18</v>
      </c>
      <c r="B756">
        <f>DE_Base_Profile!I24</f>
        <v>0.0587</v>
      </c>
      <c r="C756">
        <f>IF(DE_Base_Profile!J24=1,INDEX(DE_Lookups!$B$2:$B$4,MATCH(B721,DE_Lookups!$A$2:$A$4,0)),1)</f>
        <v>1</v>
      </c>
      <c r="D756">
        <f>IF(OR(D721="Air conditioning",D721="Heat pump (heating &amp; cooling)"),IF(DE_Base_Profile!K24=1,N722,1),1)*IF(OR(D721="Electric heating",D721="Heat pump (heating &amp; cooling)"),IF(DE_Base_Profile!L24=1,P722,1),1)</f>
        <v>1</v>
      </c>
      <c r="E756">
        <f t="shared" si="49"/>
        <v>0.0587</v>
      </c>
      <c r="F756">
        <f t="shared" si="50"/>
        <v>0.0710825865827077</v>
      </c>
      <c r="G756">
        <f>((L721+D722)/365)*F756</f>
        <v>0.681613843943772</v>
      </c>
      <c r="H756">
        <f>INDEX(DE_Base_Profile!$N$6:$Q$29,ROW()-737,MATCH(J721,DE_Base_Profile!$N$5:$Q$5,0))</f>
        <v>0</v>
      </c>
      <c r="I756">
        <f>(F722/365)*H756</f>
        <v>0</v>
      </c>
      <c r="J756">
        <f>(G756+I756)/(H722/365)</f>
        <v>0.0310986316299346</v>
      </c>
    </row>
    <row r="757" spans="1:16">
      <c r="A757">
        <f>DE_Base_Profile!H25</f>
        <v>19</v>
      </c>
      <c r="B757">
        <f>DE_Base_Profile!I25</f>
        <v>0.0591</v>
      </c>
      <c r="C757">
        <f>IF(DE_Base_Profile!J25=1,INDEX(DE_Lookups!$B$2:$B$4,MATCH(B721,DE_Lookups!$A$2:$A$4,0)),1)</f>
        <v>1</v>
      </c>
      <c r="D757">
        <f>IF(OR(D721="Air conditioning",D721="Heat pump (heating &amp; cooling)"),IF(DE_Base_Profile!K25=1,N722,1),1)*IF(OR(D721="Electric heating",D721="Heat pump (heating &amp; cooling)"),IF(DE_Base_Profile!L25=1,P722,1),1)</f>
        <v>1</v>
      </c>
      <c r="E757">
        <f t="shared" si="49"/>
        <v>0.0591</v>
      </c>
      <c r="F757">
        <f t="shared" si="50"/>
        <v>0.0715669653669169</v>
      </c>
      <c r="G757">
        <f>((L721+D722)/365)*F757</f>
        <v>0.686258572011532</v>
      </c>
      <c r="H757">
        <f>INDEX(DE_Base_Profile!$N$6:$Q$29,ROW()-737,MATCH(J721,DE_Base_Profile!$N$5:$Q$5,0))</f>
        <v>0</v>
      </c>
      <c r="I757">
        <f>(F722/365)*H757</f>
        <v>0</v>
      </c>
      <c r="J757">
        <f>(G757+I757)/(H722/365)</f>
        <v>0.0313105473480262</v>
      </c>
    </row>
    <row r="758" spans="1:16">
      <c r="A758">
        <f>DE_Base_Profile!H26</f>
        <v>20</v>
      </c>
      <c r="B758">
        <f>DE_Base_Profile!I26</f>
        <v>0.0556</v>
      </c>
      <c r="C758">
        <f>IF(DE_Base_Profile!J26=1,INDEX(DE_Lookups!$B$2:$B$4,MATCH(B721,DE_Lookups!$A$2:$A$4,0)),1)</f>
        <v>1</v>
      </c>
      <c r="D758">
        <f>IF(OR(D721="Air conditioning",D721="Heat pump (heating &amp; cooling)"),IF(DE_Base_Profile!K26=1,N722,1),1)*IF(OR(D721="Electric heating",D721="Heat pump (heating &amp; cooling)"),IF(DE_Base_Profile!L26=1,P722,1),1)</f>
        <v>1</v>
      </c>
      <c r="E758">
        <f t="shared" si="49"/>
        <v>0.0556</v>
      </c>
      <c r="F758">
        <f t="shared" si="50"/>
        <v>0.067328651005086</v>
      </c>
      <c r="G758">
        <f>((L721+D722)/365)*F758</f>
        <v>0.645617201418633</v>
      </c>
      <c r="H758">
        <f>INDEX(DE_Base_Profile!$N$6:$Q$29,ROW()-737,MATCH(J721,DE_Base_Profile!$N$5:$Q$5,0))</f>
        <v>0</v>
      </c>
      <c r="I758">
        <f>(F722/365)*H758</f>
        <v>0</v>
      </c>
      <c r="J758">
        <f>(G758+I758)/(H722/365)</f>
        <v>0.0294562848147251</v>
      </c>
    </row>
    <row r="759" spans="1:16">
      <c r="A759">
        <f>DE_Base_Profile!H27</f>
        <v>21</v>
      </c>
      <c r="B759">
        <f>DE_Base_Profile!I27</f>
        <v>0.0508</v>
      </c>
      <c r="C759">
        <f>IF(DE_Base_Profile!J27=1,INDEX(DE_Lookups!$B$2:$B$4,MATCH(B721,DE_Lookups!$A$2:$A$4,0)),1)</f>
        <v>1</v>
      </c>
      <c r="D759">
        <f>IF(OR(D721="Air conditioning",D721="Heat pump (heating &amp; cooling)"),IF(DE_Base_Profile!K27=1,N722,1),1)*IF(OR(D721="Electric heating",D721="Heat pump (heating &amp; cooling)"),IF(DE_Base_Profile!L27=1,P722,1),1)</f>
        <v>1</v>
      </c>
      <c r="E759">
        <f t="shared" si="49"/>
        <v>0.0508</v>
      </c>
      <c r="F759">
        <f t="shared" si="50"/>
        <v>0.061516105594575</v>
      </c>
      <c r="G759">
        <f>((L721+D722)/365)*F759</f>
        <v>0.589880464605513</v>
      </c>
      <c r="H759">
        <f>INDEX(DE_Base_Profile!$N$6:$Q$29,ROW()-737,MATCH(J721,DE_Base_Profile!$N$5:$Q$5,0))</f>
        <v>0</v>
      </c>
      <c r="I759">
        <f>(F722/365)*H759</f>
        <v>0</v>
      </c>
      <c r="J759">
        <f>(G759+I759)/(H722/365)</f>
        <v>0.0269132961976265</v>
      </c>
    </row>
    <row r="760" spans="1:16">
      <c r="A760">
        <f>DE_Base_Profile!H28</f>
        <v>22</v>
      </c>
      <c r="B760">
        <f>DE_Base_Profile!I28</f>
        <v>0.0451</v>
      </c>
      <c r="C760">
        <f>IF(DE_Base_Profile!J28=1,INDEX(DE_Lookups!$B$2:$B$4,MATCH(B721,DE_Lookups!$A$2:$A$4,0)),1)</f>
        <v>1</v>
      </c>
      <c r="D760">
        <f>IF(OR(D721="Air conditioning",D721="Heat pump (heating &amp; cooling)"),IF(DE_Base_Profile!K28=1,N722,1),1)*IF(OR(D721="Electric heating",D721="Heat pump (heating &amp; cooling)"),IF(DE_Base_Profile!L28=1,P722,1),1)</f>
        <v>1</v>
      </c>
      <c r="E760">
        <f t="shared" si="49"/>
        <v>0.0451</v>
      </c>
      <c r="F760">
        <f t="shared" si="50"/>
        <v>0.0546137079195931</v>
      </c>
      <c r="G760">
        <f>((L721+D722)/365)*F760</f>
        <v>0.523693089639934</v>
      </c>
      <c r="H760">
        <f>INDEX(DE_Base_Profile!$N$6:$Q$29,ROW()-737,MATCH(J721,DE_Base_Profile!$N$5:$Q$5,0))</f>
        <v>0.125</v>
      </c>
      <c r="I760">
        <f>(F722/365)*H760</f>
        <v>1.54109589041096</v>
      </c>
      <c r="J760">
        <f>(G760+I760)/(H722/365)</f>
        <v>0.094205997214822</v>
      </c>
    </row>
    <row r="761" spans="1:16">
      <c r="A761">
        <f>DE_Base_Profile!H29</f>
        <v>23</v>
      </c>
      <c r="B761">
        <f>DE_Base_Profile!I29</f>
        <v>0.0366</v>
      </c>
      <c r="C761">
        <f>IF(DE_Base_Profile!J29=1,INDEX(DE_Lookups!$B$2:$B$4,MATCH(B721,DE_Lookups!$A$2:$A$4,0)),1)</f>
        <v>1</v>
      </c>
      <c r="D761">
        <f>IF(OR(D721="Air conditioning",D721="Heat pump (heating &amp; cooling)"),IF(DE_Base_Profile!K29=1,N722,1),1)*IF(OR(D721="Electric heating",D721="Heat pump (heating &amp; cooling)"),IF(DE_Base_Profile!L29=1,P722,1),1)</f>
        <v>1</v>
      </c>
      <c r="E761">
        <f t="shared" si="49"/>
        <v>0.0366</v>
      </c>
      <c r="F761">
        <f t="shared" si="50"/>
        <v>0.0443206587551465</v>
      </c>
      <c r="G761">
        <f>((L721+D722)/365)*F761</f>
        <v>0.424992618200035</v>
      </c>
      <c r="H761">
        <f>INDEX(DE_Base_Profile!$N$6:$Q$29,ROW()-737,MATCH(J721,DE_Base_Profile!$N$5:$Q$5,0))</f>
        <v>0.125</v>
      </c>
      <c r="I761">
        <f>(F722/365)*H761</f>
        <v>1.54109589041096</v>
      </c>
      <c r="J761">
        <f>(G761+I761)/(H722/365)</f>
        <v>0.0897027882053766</v>
      </c>
    </row>
    <row r="766" spans="1:16">
      <c r="A766" t="s">
        <v>51</v>
      </c>
      <c r="B766" t="str">
        <f>DE_Option_Monthly!C21</f>
        <v>Mostly away during the day</v>
      </c>
      <c r="C766" t="s">
        <v>188</v>
      </c>
      <c r="D766" t="str">
        <f>DE_Option_Monthly!D21</f>
        <v>No heating or cooling system</v>
      </c>
      <c r="E766" t="s">
        <v>68</v>
      </c>
      <c r="F766" t="str">
        <f>DE_Option_Monthly!E21</f>
        <v>Medium</v>
      </c>
      <c r="G766" t="s">
        <v>98</v>
      </c>
      <c r="H766" t="str">
        <f>DE_Option_Monthly!F21</f>
        <v>10,000 km</v>
      </c>
      <c r="I766" t="s">
        <v>289</v>
      </c>
      <c r="J766" t="str">
        <f>DE_Option_Monthly!G21</f>
        <v>Mostly overnight</v>
      </c>
      <c r="K766" t="s">
        <v>290</v>
      </c>
      <c r="L766">
        <f>DE_Option_Monthly!$B$1</f>
        <v>3500</v>
      </c>
    </row>
    <row r="767" spans="1:16">
      <c r="A767" t="s">
        <v>291</v>
      </c>
      <c r="B767">
        <f>INDEX(DE_Lookups!$E$2:$E$5,MATCH(F766,DE_Lookups!$D$2:$D$5,0))</f>
        <v>1</v>
      </c>
      <c r="C767" t="s">
        <v>292</v>
      </c>
      <c r="D767">
        <f>IF(OR(D766="Electric heating",D766="Heat pump (heating &amp; cooling)"),INDEX(DE_Lookups!$L$2:$L$5,MATCH(D766,DE_Lookups!$K$2:$K$5,0))*B767,0)</f>
        <v>0</v>
      </c>
      <c r="E767" t="s">
        <v>293</v>
      </c>
      <c r="F767">
        <f>INDEX(DE_Lookups!$O$2:$O$7,MATCH(H766,DE_Lookups!$N$2:$N$7,0))*0.18</f>
        <v>1800</v>
      </c>
      <c r="G767" t="s">
        <v>294</v>
      </c>
      <c r="H767">
        <f>L766+D767+F767</f>
        <v>5300</v>
      </c>
      <c r="I767" t="s">
        <v>295</v>
      </c>
      <c r="J767">
        <f>INDEX(DE_Lookups!$F$2:$F$5,MATCH(F766,DE_Lookups!$D$2:$D$5,0))</f>
        <v>1.1</v>
      </c>
      <c r="K767" t="s">
        <v>296</v>
      </c>
      <c r="L767">
        <f>INDEX(DE_Lookups!$G$2:$G$5,MATCH(F766,DE_Lookups!$D$2:$D$5,0))</f>
        <v>1.15</v>
      </c>
      <c r="M767" t="s">
        <v>297</v>
      </c>
      <c r="N767">
        <f>INDEX(DE_Lookups!$H$2:$H$5,MATCH(F766,DE_Lookups!$D$2:$D$5,0))</f>
        <v>1.2</v>
      </c>
      <c r="O767" t="s">
        <v>298</v>
      </c>
      <c r="P767">
        <f>INDEX(DE_Lookups!$I$2:$I$5,MATCH(F766,DE_Lookups!$D$2:$D$5,0))</f>
        <v>1.15</v>
      </c>
    </row>
    <row r="769" spans="1:10">
      <c r="A769" t="str">
        <f>DE_Base_Profile!A6</f>
        <v>1月</v>
      </c>
      <c r="B769">
        <f>DE_Base_Profile!B6</f>
        <v>0.0789</v>
      </c>
      <c r="C769">
        <f>L766*B769</f>
        <v>276.15</v>
      </c>
      <c r="D769">
        <f>1+IF(OR(D766="Air conditioning",D766="Heat pump (heating &amp; cooling)"),IF(DE_Base_Profile!D6=1,J767-1,0),0)+IF(OR(D766="Electric heating",D766="Heat pump (heating &amp; cooling)"),IF(DE_Base_Profile!E6=1,L767-1,0),0)</f>
        <v>1</v>
      </c>
      <c r="E769">
        <f t="shared" ref="E769:E780" si="51">C769*D769</f>
        <v>276.15</v>
      </c>
      <c r="F769">
        <f>IF(D766="Electric heating",IF(DE_Base_Profile!E6=1,B769*L767,0),IF(D766="Heat pump (heating &amp; cooling)",IF(DE_Base_Profile!D6=1,B769*J767,0)+IF(DE_Base_Profile!E6=1,B769*L767,0),0))</f>
        <v>0</v>
      </c>
      <c r="G769">
        <f>IF(SUM($F$769:$F$780)=0,0,D767*F769/SUM($F$769:$F$780))</f>
        <v>0</v>
      </c>
      <c r="H769">
        <f>F767/12</f>
        <v>150</v>
      </c>
      <c r="I769">
        <f>E769/SUM($E$769:$E$780)*L766+G769+H769</f>
        <v>426.15</v>
      </c>
      <c r="J769">
        <f>I769/H767</f>
        <v>0.0804056603773585</v>
      </c>
    </row>
    <row r="770" spans="1:10">
      <c r="A770" t="str">
        <f>DE_Base_Profile!A7</f>
        <v>2月</v>
      </c>
      <c r="B770">
        <f>DE_Base_Profile!B7</f>
        <v>0.0791</v>
      </c>
      <c r="C770">
        <f>L766*B770</f>
        <v>276.85</v>
      </c>
      <c r="D770">
        <f>1+IF(OR(D766="Air conditioning",D766="Heat pump (heating &amp; cooling)"),IF(DE_Base_Profile!D7=1,J767-1,0),0)+IF(OR(D766="Electric heating",D766="Heat pump (heating &amp; cooling)"),IF(DE_Base_Profile!E7=1,L767-1,0),0)</f>
        <v>1</v>
      </c>
      <c r="E770">
        <f t="shared" si="51"/>
        <v>276.85</v>
      </c>
      <c r="F770">
        <f>IF(D766="Electric heating",IF(DE_Base_Profile!E7=1,B770*L767,0),IF(D766="Heat pump (heating &amp; cooling)",IF(DE_Base_Profile!D7=1,B770*J767,0)+IF(DE_Base_Profile!E7=1,B770*L767,0),0))</f>
        <v>0</v>
      </c>
      <c r="G770">
        <f>IF(SUM($F$769:$F$780)=0,0,D767*F770/SUM($F$769:$F$780))</f>
        <v>0</v>
      </c>
      <c r="H770">
        <f>F767/12</f>
        <v>150</v>
      </c>
      <c r="I770">
        <f>E770/SUM($E$769:$E$780)*L766+G770+H770</f>
        <v>426.85</v>
      </c>
      <c r="J770">
        <f>I770/H767</f>
        <v>0.0805377358490566</v>
      </c>
    </row>
    <row r="771" spans="1:10">
      <c r="A771" t="str">
        <f>DE_Base_Profile!A8</f>
        <v>3月</v>
      </c>
      <c r="B771">
        <f>DE_Base_Profile!B8</f>
        <v>0.0773</v>
      </c>
      <c r="C771">
        <f>L766*B771</f>
        <v>270.55</v>
      </c>
      <c r="D771">
        <f>1+IF(OR(D766="Air conditioning",D766="Heat pump (heating &amp; cooling)"),IF(DE_Base_Profile!D8=1,J767-1,0),0)+IF(OR(D766="Electric heating",D766="Heat pump (heating &amp; cooling)"),IF(DE_Base_Profile!E8=1,L767-1,0),0)</f>
        <v>1</v>
      </c>
      <c r="E771">
        <f t="shared" si="51"/>
        <v>270.55</v>
      </c>
      <c r="F771">
        <f>IF(D766="Electric heating",IF(DE_Base_Profile!E8=1,B771*L767,0),IF(D766="Heat pump (heating &amp; cooling)",IF(DE_Base_Profile!D8=1,B771*J767,0)+IF(DE_Base_Profile!E8=1,B771*L767,0),0))</f>
        <v>0</v>
      </c>
      <c r="G771">
        <f>IF(SUM($F$769:$F$780)=0,0,D767*F771/SUM($F$769:$F$780))</f>
        <v>0</v>
      </c>
      <c r="H771">
        <f>F767/12</f>
        <v>150</v>
      </c>
      <c r="I771">
        <f>E771/SUM($E$769:$E$780)*L766+G771+H771</f>
        <v>420.55</v>
      </c>
      <c r="J771">
        <f>I771/H767</f>
        <v>0.0793490566037736</v>
      </c>
    </row>
    <row r="772" spans="1:10">
      <c r="A772" t="str">
        <f>DE_Base_Profile!A9</f>
        <v>4月</v>
      </c>
      <c r="B772">
        <f>DE_Base_Profile!B9</f>
        <v>0.0822</v>
      </c>
      <c r="C772">
        <f>L766*B772</f>
        <v>287.7</v>
      </c>
      <c r="D772">
        <f>1+IF(OR(D766="Air conditioning",D766="Heat pump (heating &amp; cooling)"),IF(DE_Base_Profile!D9=1,J767-1,0),0)+IF(OR(D766="Electric heating",D766="Heat pump (heating &amp; cooling)"),IF(DE_Base_Profile!E9=1,L767-1,0),0)</f>
        <v>1</v>
      </c>
      <c r="E772">
        <f t="shared" si="51"/>
        <v>287.7</v>
      </c>
      <c r="F772">
        <f>IF(D766="Electric heating",IF(DE_Base_Profile!E9=1,B772*L767,0),IF(D766="Heat pump (heating &amp; cooling)",IF(DE_Base_Profile!D9=1,B772*J767,0)+IF(DE_Base_Profile!E9=1,B772*L767,0),0))</f>
        <v>0</v>
      </c>
      <c r="G772">
        <f>IF(SUM($F$769:$F$780)=0,0,D767*F772/SUM($F$769:$F$780))</f>
        <v>0</v>
      </c>
      <c r="H772">
        <f>F767/12</f>
        <v>150</v>
      </c>
      <c r="I772">
        <f>E772/SUM($E$769:$E$780)*L766+G772+H772</f>
        <v>437.7</v>
      </c>
      <c r="J772">
        <f>I772/H767</f>
        <v>0.0825849056603773</v>
      </c>
    </row>
    <row r="773" spans="1:10">
      <c r="A773" t="str">
        <f>DE_Base_Profile!A10</f>
        <v>5月</v>
      </c>
      <c r="B773">
        <f>DE_Base_Profile!B10</f>
        <v>0.0839</v>
      </c>
      <c r="C773">
        <f>L766*B773</f>
        <v>293.65</v>
      </c>
      <c r="D773">
        <f>1+IF(OR(D766="Air conditioning",D766="Heat pump (heating &amp; cooling)"),IF(DE_Base_Profile!D10=1,J767-1,0),0)+IF(OR(D766="Electric heating",D766="Heat pump (heating &amp; cooling)"),IF(DE_Base_Profile!E10=1,L767-1,0),0)</f>
        <v>1</v>
      </c>
      <c r="E773">
        <f t="shared" si="51"/>
        <v>293.65</v>
      </c>
      <c r="F773">
        <f>IF(D766="Electric heating",IF(DE_Base_Profile!E10=1,B773*L767,0),IF(D766="Heat pump (heating &amp; cooling)",IF(DE_Base_Profile!D10=1,B773*J767,0)+IF(DE_Base_Profile!E10=1,B773*L767,0),0))</f>
        <v>0</v>
      </c>
      <c r="G773">
        <f>IF(SUM($F$769:$F$780)=0,0,D767*F773/SUM($F$769:$F$780))</f>
        <v>0</v>
      </c>
      <c r="H773">
        <f>F767/12</f>
        <v>150</v>
      </c>
      <c r="I773">
        <f>E773/SUM($E$769:$E$780)*L766+G773+H773</f>
        <v>443.65</v>
      </c>
      <c r="J773">
        <f>I773/H767</f>
        <v>0.0837075471698113</v>
      </c>
    </row>
    <row r="774" spans="1:10">
      <c r="A774" t="str">
        <f>DE_Base_Profile!A11</f>
        <v>6月</v>
      </c>
      <c r="B774">
        <f>DE_Base_Profile!B11</f>
        <v>0.0876</v>
      </c>
      <c r="C774">
        <f>L766*B774</f>
        <v>306.6</v>
      </c>
      <c r="D774">
        <f>1+IF(OR(D766="Air conditioning",D766="Heat pump (heating &amp; cooling)"),IF(DE_Base_Profile!D11=1,J767-1,0),0)+IF(OR(D766="Electric heating",D766="Heat pump (heating &amp; cooling)"),IF(DE_Base_Profile!E11=1,L767-1,0),0)</f>
        <v>1</v>
      </c>
      <c r="E774">
        <f t="shared" si="51"/>
        <v>306.6</v>
      </c>
      <c r="F774">
        <f>IF(D766="Electric heating",IF(DE_Base_Profile!E11=1,B774*L767,0),IF(D766="Heat pump (heating &amp; cooling)",IF(DE_Base_Profile!D11=1,B774*J767,0)+IF(DE_Base_Profile!E11=1,B774*L767,0),0))</f>
        <v>0</v>
      </c>
      <c r="G774">
        <f>IF(SUM($F$769:$F$780)=0,0,D767*F774/SUM($F$769:$F$780))</f>
        <v>0</v>
      </c>
      <c r="H774">
        <f>F767/12</f>
        <v>150</v>
      </c>
      <c r="I774">
        <f>E774/SUM($E$769:$E$780)*L766+G774+H774</f>
        <v>456.6</v>
      </c>
      <c r="J774">
        <f>I774/H767</f>
        <v>0.0861509433962264</v>
      </c>
    </row>
    <row r="775" spans="1:10">
      <c r="A775" t="str">
        <f>DE_Base_Profile!A12</f>
        <v>7月</v>
      </c>
      <c r="B775">
        <f>DE_Base_Profile!B12</f>
        <v>0.0917</v>
      </c>
      <c r="C775">
        <f>L766*B775</f>
        <v>320.95</v>
      </c>
      <c r="D775">
        <f>1+IF(OR(D766="Air conditioning",D766="Heat pump (heating &amp; cooling)"),IF(DE_Base_Profile!D12=1,J767-1,0),0)+IF(OR(D766="Electric heating",D766="Heat pump (heating &amp; cooling)"),IF(DE_Base_Profile!E12=1,L767-1,0),0)</f>
        <v>1</v>
      </c>
      <c r="E775">
        <f t="shared" si="51"/>
        <v>320.95</v>
      </c>
      <c r="F775">
        <f>IF(D766="Electric heating",IF(DE_Base_Profile!E12=1,B775*L767,0),IF(D766="Heat pump (heating &amp; cooling)",IF(DE_Base_Profile!D12=1,B775*J767,0)+IF(DE_Base_Profile!E12=1,B775*L767,0),0))</f>
        <v>0</v>
      </c>
      <c r="G775">
        <f>IF(SUM($F$769:$F$780)=0,0,D767*F775/SUM($F$769:$F$780))</f>
        <v>0</v>
      </c>
      <c r="H775">
        <f>F767/12</f>
        <v>150</v>
      </c>
      <c r="I775">
        <f>E775/SUM($E$769:$E$780)*L766+G775+H775</f>
        <v>470.95</v>
      </c>
      <c r="J775">
        <f>I775/H767</f>
        <v>0.0888584905660377</v>
      </c>
    </row>
    <row r="776" spans="1:10">
      <c r="A776" t="str">
        <f>DE_Base_Profile!A13</f>
        <v>8月</v>
      </c>
      <c r="B776">
        <f>DE_Base_Profile!B13</f>
        <v>0.0887</v>
      </c>
      <c r="C776">
        <f>L766*B776</f>
        <v>310.45</v>
      </c>
      <c r="D776">
        <f>1+IF(OR(D766="Air conditioning",D766="Heat pump (heating &amp; cooling)"),IF(DE_Base_Profile!D13=1,J767-1,0),0)+IF(OR(D766="Electric heating",D766="Heat pump (heating &amp; cooling)"),IF(DE_Base_Profile!E13=1,L767-1,0),0)</f>
        <v>1</v>
      </c>
      <c r="E776">
        <f t="shared" si="51"/>
        <v>310.45</v>
      </c>
      <c r="F776">
        <f>IF(D766="Electric heating",IF(DE_Base_Profile!E13=1,B776*L767,0),IF(D766="Heat pump (heating &amp; cooling)",IF(DE_Base_Profile!D13=1,B776*J767,0)+IF(DE_Base_Profile!E13=1,B776*L767,0),0))</f>
        <v>0</v>
      </c>
      <c r="G776">
        <f>IF(SUM($F$769:$F$780)=0,0,D767*F776/SUM($F$769:$F$780))</f>
        <v>0</v>
      </c>
      <c r="H776">
        <f>F767/12</f>
        <v>150</v>
      </c>
      <c r="I776">
        <f>E776/SUM($E$769:$E$780)*L766+G776+H776</f>
        <v>460.45</v>
      </c>
      <c r="J776">
        <f>I776/H767</f>
        <v>0.086877358490566</v>
      </c>
    </row>
    <row r="777" spans="1:10">
      <c r="A777" t="str">
        <f>DE_Base_Profile!A14</f>
        <v>9月</v>
      </c>
      <c r="B777">
        <f>DE_Base_Profile!B14</f>
        <v>0.0853</v>
      </c>
      <c r="C777">
        <f>L766*B777</f>
        <v>298.55</v>
      </c>
      <c r="D777">
        <f>1+IF(OR(D766="Air conditioning",D766="Heat pump (heating &amp; cooling)"),IF(DE_Base_Profile!D14=1,J767-1,0),0)+IF(OR(D766="Electric heating",D766="Heat pump (heating &amp; cooling)"),IF(DE_Base_Profile!E14=1,L767-1,0),0)</f>
        <v>1</v>
      </c>
      <c r="E777">
        <f t="shared" si="51"/>
        <v>298.55</v>
      </c>
      <c r="F777">
        <f>IF(D766="Electric heating",IF(DE_Base_Profile!E14=1,B777*L767,0),IF(D766="Heat pump (heating &amp; cooling)",IF(DE_Base_Profile!D14=1,B777*J767,0)+IF(DE_Base_Profile!E14=1,B777*L767,0),0))</f>
        <v>0</v>
      </c>
      <c r="G777">
        <f>IF(SUM($F$769:$F$780)=0,0,D767*F777/SUM($F$769:$F$780))</f>
        <v>0</v>
      </c>
      <c r="H777">
        <f>F767/12</f>
        <v>150</v>
      </c>
      <c r="I777">
        <f>E777/SUM($E$769:$E$780)*L766+G777+H777</f>
        <v>448.55</v>
      </c>
      <c r="J777">
        <f>I777/H767</f>
        <v>0.0846320754716981</v>
      </c>
    </row>
    <row r="778" spans="1:10">
      <c r="A778" t="str">
        <f>DE_Base_Profile!A15</f>
        <v>10月</v>
      </c>
      <c r="B778">
        <f>DE_Base_Profile!B15</f>
        <v>0.0838</v>
      </c>
      <c r="C778">
        <f>L766*B778</f>
        <v>293.3</v>
      </c>
      <c r="D778">
        <f>1+IF(OR(D766="Air conditioning",D766="Heat pump (heating &amp; cooling)"),IF(DE_Base_Profile!D15=1,J767-1,0),0)+IF(OR(D766="Electric heating",D766="Heat pump (heating &amp; cooling)"),IF(DE_Base_Profile!E15=1,L767-1,0),0)</f>
        <v>1</v>
      </c>
      <c r="E778">
        <f t="shared" si="51"/>
        <v>293.3</v>
      </c>
      <c r="F778">
        <f>IF(D766="Electric heating",IF(DE_Base_Profile!E15=1,B778*L767,0),IF(D766="Heat pump (heating &amp; cooling)",IF(DE_Base_Profile!D15=1,B778*J767,0)+IF(DE_Base_Profile!E15=1,B778*L767,0),0))</f>
        <v>0</v>
      </c>
      <c r="G778">
        <f>IF(SUM($F$769:$F$780)=0,0,D767*F778/SUM($F$769:$F$780))</f>
        <v>0</v>
      </c>
      <c r="H778">
        <f>F767/12</f>
        <v>150</v>
      </c>
      <c r="I778">
        <f>E778/SUM($E$769:$E$780)*L766+G778+H778</f>
        <v>443.3</v>
      </c>
      <c r="J778">
        <f>I778/H767</f>
        <v>0.0836415094339623</v>
      </c>
    </row>
    <row r="779" spans="1:10">
      <c r="A779" t="str">
        <f>DE_Base_Profile!A16</f>
        <v>11月</v>
      </c>
      <c r="B779">
        <f>DE_Base_Profile!B16</f>
        <v>0.0819</v>
      </c>
      <c r="C779">
        <f>L766*B779</f>
        <v>286.65</v>
      </c>
      <c r="D779">
        <f>1+IF(OR(D766="Air conditioning",D766="Heat pump (heating &amp; cooling)"),IF(DE_Base_Profile!D16=1,J767-1,0),0)+IF(OR(D766="Electric heating",D766="Heat pump (heating &amp; cooling)"),IF(DE_Base_Profile!E16=1,L767-1,0),0)</f>
        <v>1</v>
      </c>
      <c r="E779">
        <f t="shared" si="51"/>
        <v>286.65</v>
      </c>
      <c r="F779">
        <f>IF(D766="Electric heating",IF(DE_Base_Profile!E16=1,B779*L767,0),IF(D766="Heat pump (heating &amp; cooling)",IF(DE_Base_Profile!D16=1,B779*J767,0)+IF(DE_Base_Profile!E16=1,B779*L767,0),0))</f>
        <v>0</v>
      </c>
      <c r="G779">
        <f>IF(SUM($F$769:$F$780)=0,0,D767*F779/SUM($F$769:$F$780))</f>
        <v>0</v>
      </c>
      <c r="H779">
        <f>F767/12</f>
        <v>150</v>
      </c>
      <c r="I779">
        <f>E779/SUM($E$769:$E$780)*L766+G779+H779</f>
        <v>436.65</v>
      </c>
      <c r="J779">
        <f>I779/H767</f>
        <v>0.0823867924528302</v>
      </c>
    </row>
    <row r="780" spans="1:10">
      <c r="A780" t="str">
        <f>DE_Base_Profile!A17</f>
        <v>12月</v>
      </c>
      <c r="B780">
        <f>DE_Base_Profile!B17</f>
        <v>0.0796</v>
      </c>
      <c r="C780">
        <f>L766*B780</f>
        <v>278.6</v>
      </c>
      <c r="D780">
        <f>1+IF(OR(D766="Air conditioning",D766="Heat pump (heating &amp; cooling)"),IF(DE_Base_Profile!D17=1,J767-1,0),0)+IF(OR(D766="Electric heating",D766="Heat pump (heating &amp; cooling)"),IF(DE_Base_Profile!E17=1,L767-1,0),0)</f>
        <v>1</v>
      </c>
      <c r="E780">
        <f t="shared" si="51"/>
        <v>278.6</v>
      </c>
      <c r="F780">
        <f>IF(D766="Electric heating",IF(DE_Base_Profile!E17=1,B780*L767,0),IF(D766="Heat pump (heating &amp; cooling)",IF(DE_Base_Profile!D17=1,B780*J767,0)+IF(DE_Base_Profile!E17=1,B780*L767,0),0))</f>
        <v>0</v>
      </c>
      <c r="G780">
        <f>IF(SUM($F$769:$F$780)=0,0,D767*F780/SUM($F$769:$F$780))</f>
        <v>0</v>
      </c>
      <c r="H780">
        <f>F767/12</f>
        <v>150</v>
      </c>
      <c r="I780">
        <f>E780/SUM($E$769:$E$780)*L766+G780+H780</f>
        <v>428.6</v>
      </c>
      <c r="J780">
        <f>I780/H767</f>
        <v>0.0808679245283019</v>
      </c>
    </row>
    <row r="783" spans="1:10">
      <c r="A783">
        <f>DE_Base_Profile!H6</f>
        <v>0</v>
      </c>
      <c r="B783">
        <f>DE_Base_Profile!I6</f>
        <v>0.0301</v>
      </c>
      <c r="C783">
        <f>IF(DE_Base_Profile!J6=1,INDEX(DE_Lookups!$B$2:$B$4,MATCH(B766,DE_Lookups!$A$2:$A$4,0)),1)</f>
        <v>1</v>
      </c>
      <c r="D783">
        <f>IF(OR(D766="Air conditioning",D766="Heat pump (heating &amp; cooling)"),IF(DE_Base_Profile!K6=1,N767,1),1)*IF(OR(D766="Electric heating",D766="Heat pump (heating &amp; cooling)"),IF(DE_Base_Profile!L6=1,P767,1),1)</f>
        <v>1</v>
      </c>
      <c r="E783">
        <f t="shared" ref="E783:E806" si="52">B783*C783*D783</f>
        <v>0.0301</v>
      </c>
      <c r="F783">
        <f t="shared" ref="F783:F806" si="53">E783/SUM($E$783:$E$806)</f>
        <v>0.0364495035117462</v>
      </c>
      <c r="G783">
        <f>((L766+D767)/365)*F783</f>
        <v>0.349515787098936</v>
      </c>
      <c r="H783">
        <f>INDEX(DE_Base_Profile!$N$6:$Q$29,ROW()-782,MATCH(J766,DE_Base_Profile!$N$5:$Q$5,0))</f>
        <v>0.125</v>
      </c>
      <c r="I783">
        <f>(F767/365)*H783</f>
        <v>0.616438356164384</v>
      </c>
      <c r="J783">
        <f>(G783+I783)/(H767/365)</f>
        <v>0.0665232570360588</v>
      </c>
    </row>
    <row r="784" spans="1:10">
      <c r="A784">
        <f>DE_Base_Profile!H7</f>
        <v>1</v>
      </c>
      <c r="B784">
        <f>DE_Base_Profile!I7</f>
        <v>0.0258</v>
      </c>
      <c r="C784">
        <f>IF(DE_Base_Profile!J7=1,INDEX(DE_Lookups!$B$2:$B$4,MATCH(B766,DE_Lookups!$A$2:$A$4,0)),1)</f>
        <v>1</v>
      </c>
      <c r="D784">
        <f>IF(OR(D766="Air conditioning",D766="Heat pump (heating &amp; cooling)"),IF(DE_Base_Profile!K7=1,N767,1),1)*IF(OR(D766="Electric heating",D766="Heat pump (heating &amp; cooling)"),IF(DE_Base_Profile!L7=1,P767,1),1)</f>
        <v>1</v>
      </c>
      <c r="E784">
        <f t="shared" si="52"/>
        <v>0.0258</v>
      </c>
      <c r="F784">
        <f t="shared" si="53"/>
        <v>0.0312424315814967</v>
      </c>
      <c r="G784">
        <f>((L766+D767)/365)*F784</f>
        <v>0.299584960370517</v>
      </c>
      <c r="H784">
        <f>INDEX(DE_Base_Profile!$N$6:$Q$29,ROW()-782,MATCH(J766,DE_Base_Profile!$N$5:$Q$5,0))</f>
        <v>0.125</v>
      </c>
      <c r="I784">
        <f>(F767/365)*H784</f>
        <v>0.616438356164384</v>
      </c>
      <c r="J784">
        <f>(G784+I784)/(H767/365)</f>
        <v>0.0630846246292903</v>
      </c>
    </row>
    <row r="785" spans="1:10">
      <c r="A785">
        <f>DE_Base_Profile!H8</f>
        <v>2</v>
      </c>
      <c r="B785">
        <f>DE_Base_Profile!I8</f>
        <v>0.0239</v>
      </c>
      <c r="C785">
        <f>IF(DE_Base_Profile!J8=1,INDEX(DE_Lookups!$B$2:$B$4,MATCH(B766,DE_Lookups!$A$2:$A$4,0)),1)</f>
        <v>1</v>
      </c>
      <c r="D785">
        <f>IF(OR(D766="Air conditioning",D766="Heat pump (heating &amp; cooling)"),IF(DE_Base_Profile!K8=1,N767,1),1)*IF(OR(D766="Electric heating",D766="Heat pump (heating &amp; cooling)"),IF(DE_Base_Profile!L8=1,P767,1),1)</f>
        <v>1</v>
      </c>
      <c r="E785">
        <f t="shared" si="52"/>
        <v>0.0239</v>
      </c>
      <c r="F785">
        <f t="shared" si="53"/>
        <v>0.0289416323565028</v>
      </c>
      <c r="G785">
        <f>((L766+D767)/365)*F785</f>
        <v>0.277522502048657</v>
      </c>
      <c r="H785">
        <f>INDEX(DE_Base_Profile!$N$6:$Q$29,ROW()-782,MATCH(J766,DE_Base_Profile!$N$5:$Q$5,0))</f>
        <v>0.125</v>
      </c>
      <c r="I785">
        <f>(F767/365)*H785</f>
        <v>0.616438356164384</v>
      </c>
      <c r="J785">
        <f>(G785+I785)/(H767/365)</f>
        <v>0.0615652289146717</v>
      </c>
    </row>
    <row r="786" spans="1:10">
      <c r="A786">
        <f>DE_Base_Profile!H9</f>
        <v>3</v>
      </c>
      <c r="B786">
        <f>DE_Base_Profile!I9</f>
        <v>0.0232</v>
      </c>
      <c r="C786">
        <f>IF(DE_Base_Profile!J9=1,INDEX(DE_Lookups!$B$2:$B$4,MATCH(B766,DE_Lookups!$A$2:$A$4,0)),1)</f>
        <v>1</v>
      </c>
      <c r="D786">
        <f>IF(OR(D766="Air conditioning",D766="Heat pump (heating &amp; cooling)"),IF(DE_Base_Profile!K9=1,N767,1),1)*IF(OR(D766="Electric heating",D766="Heat pump (heating &amp; cooling)"),IF(DE_Base_Profile!L9=1,P767,1),1)</f>
        <v>1</v>
      </c>
      <c r="E786">
        <f t="shared" si="52"/>
        <v>0.0232</v>
      </c>
      <c r="F786">
        <f t="shared" si="53"/>
        <v>0.0280939694841366</v>
      </c>
      <c r="G786">
        <f>((L766+D767)/365)*F786</f>
        <v>0.269394227930077</v>
      </c>
      <c r="H786">
        <f>INDEX(DE_Base_Profile!$N$6:$Q$29,ROW()-782,MATCH(J766,DE_Base_Profile!$N$5:$Q$5,0))</f>
        <v>0.125</v>
      </c>
      <c r="I786">
        <f>(F767/365)*H786</f>
        <v>0.616438356164384</v>
      </c>
      <c r="J786">
        <f>(G786+I786)/(H767/365)</f>
        <v>0.0610054515461279</v>
      </c>
    </row>
    <row r="787" spans="1:10">
      <c r="A787">
        <f>DE_Base_Profile!H10</f>
        <v>4</v>
      </c>
      <c r="B787">
        <f>DE_Base_Profile!I10</f>
        <v>0.0236</v>
      </c>
      <c r="C787">
        <f>IF(DE_Base_Profile!J10=1,INDEX(DE_Lookups!$B$2:$B$4,MATCH(B766,DE_Lookups!$A$2:$A$4,0)),1)</f>
        <v>1</v>
      </c>
      <c r="D787">
        <f>IF(OR(D766="Air conditioning",D766="Heat pump (heating &amp; cooling)"),IF(DE_Base_Profile!K10=1,N767,1),1)*IF(OR(D766="Electric heating",D766="Heat pump (heating &amp; cooling)"),IF(DE_Base_Profile!L10=1,P767,1),1)</f>
        <v>1</v>
      </c>
      <c r="E787">
        <f t="shared" si="52"/>
        <v>0.0236</v>
      </c>
      <c r="F787">
        <f t="shared" si="53"/>
        <v>0.0285783482683458</v>
      </c>
      <c r="G787">
        <f>((L766+D767)/365)*F787</f>
        <v>0.274038955997837</v>
      </c>
      <c r="H787">
        <f>INDEX(DE_Base_Profile!$N$6:$Q$29,ROW()-782,MATCH(J766,DE_Base_Profile!$N$5:$Q$5,0))</f>
        <v>0.125</v>
      </c>
      <c r="I787">
        <f>(F767/365)*H787</f>
        <v>0.616438356164384</v>
      </c>
      <c r="J787">
        <f>(G787+I787)/(H767/365)</f>
        <v>0.0613253243281529</v>
      </c>
    </row>
    <row r="788" spans="1:10">
      <c r="A788">
        <f>DE_Base_Profile!H11</f>
        <v>5</v>
      </c>
      <c r="B788">
        <f>DE_Base_Profile!I11</f>
        <v>0.0252</v>
      </c>
      <c r="C788">
        <f>IF(DE_Base_Profile!J11=1,INDEX(DE_Lookups!$B$2:$B$4,MATCH(B766,DE_Lookups!$A$2:$A$4,0)),1)</f>
        <v>1</v>
      </c>
      <c r="D788">
        <f>IF(OR(D766="Air conditioning",D766="Heat pump (heating &amp; cooling)"),IF(DE_Base_Profile!K11=1,N767,1),1)*IF(OR(D766="Electric heating",D766="Heat pump (heating &amp; cooling)"),IF(DE_Base_Profile!L11=1,P767,1),1)</f>
        <v>1</v>
      </c>
      <c r="E788">
        <f t="shared" si="52"/>
        <v>0.0252</v>
      </c>
      <c r="F788">
        <f t="shared" si="53"/>
        <v>0.0305158634051829</v>
      </c>
      <c r="G788">
        <f>((L766+D767)/365)*F788</f>
        <v>0.292617868268877</v>
      </c>
      <c r="H788">
        <f>INDEX(DE_Base_Profile!$N$6:$Q$29,ROW()-782,MATCH(J766,DE_Base_Profile!$N$5:$Q$5,0))</f>
        <v>0.125</v>
      </c>
      <c r="I788">
        <f>(F767/365)*H788</f>
        <v>0.616438356164384</v>
      </c>
      <c r="J788">
        <f>(G788+I788)/(H767/365)</f>
        <v>0.0626048154562528</v>
      </c>
    </row>
    <row r="789" spans="1:10">
      <c r="A789">
        <f>DE_Base_Profile!H12</f>
        <v>6</v>
      </c>
      <c r="B789">
        <f>DE_Base_Profile!I12</f>
        <v>0.03</v>
      </c>
      <c r="C789">
        <f>IF(DE_Base_Profile!J12=1,INDEX(DE_Lookups!$B$2:$B$4,MATCH(B766,DE_Lookups!$A$2:$A$4,0)),1)</f>
        <v>1</v>
      </c>
      <c r="D789">
        <f>IF(OR(D766="Air conditioning",D766="Heat pump (heating &amp; cooling)"),IF(DE_Base_Profile!K12=1,N767,1),1)*IF(OR(D766="Electric heating",D766="Heat pump (heating &amp; cooling)"),IF(DE_Base_Profile!L12=1,P767,1),1)</f>
        <v>1</v>
      </c>
      <c r="E789">
        <f t="shared" si="52"/>
        <v>0.03</v>
      </c>
      <c r="F789">
        <f t="shared" si="53"/>
        <v>0.0363284088156939</v>
      </c>
      <c r="G789">
        <f>((L766+D767)/365)*F789</f>
        <v>0.348354605081996</v>
      </c>
      <c r="H789">
        <f>INDEX(DE_Base_Profile!$N$6:$Q$29,ROW()-782,MATCH(J766,DE_Base_Profile!$N$5:$Q$5,0))</f>
        <v>0</v>
      </c>
      <c r="I789">
        <f>(F767/365)*H789</f>
        <v>0</v>
      </c>
      <c r="J789">
        <f>(G789+I789)/(H767/365)</f>
        <v>0.0239904586518733</v>
      </c>
    </row>
    <row r="790" spans="1:10">
      <c r="A790">
        <f>DE_Base_Profile!H13</f>
        <v>7</v>
      </c>
      <c r="B790">
        <f>DE_Base_Profile!I13</f>
        <v>0.0358</v>
      </c>
      <c r="C790">
        <f>IF(DE_Base_Profile!J13=1,INDEX(DE_Lookups!$B$2:$B$4,MATCH(B766,DE_Lookups!$A$2:$A$4,0)),1)</f>
        <v>1</v>
      </c>
      <c r="D790">
        <f>IF(OR(D766="Air conditioning",D766="Heat pump (heating &amp; cooling)"),IF(DE_Base_Profile!K13=1,N767,1),1)*IF(OR(D766="Electric heating",D766="Heat pump (heating &amp; cooling)"),IF(DE_Base_Profile!L13=1,P767,1),1)</f>
        <v>1</v>
      </c>
      <c r="E790">
        <f t="shared" si="52"/>
        <v>0.0358</v>
      </c>
      <c r="F790">
        <f t="shared" si="53"/>
        <v>0.043351901186728</v>
      </c>
      <c r="G790">
        <f>((L766+D767)/365)*F790</f>
        <v>0.415703162064515</v>
      </c>
      <c r="H790">
        <f>INDEX(DE_Base_Profile!$N$6:$Q$29,ROW()-782,MATCH(J766,DE_Base_Profile!$N$5:$Q$5,0))</f>
        <v>0</v>
      </c>
      <c r="I790">
        <f>(F767/365)*H790</f>
        <v>0</v>
      </c>
      <c r="J790">
        <f>(G790+I790)/(H767/365)</f>
        <v>0.0286286139912355</v>
      </c>
    </row>
    <row r="791" spans="1:10">
      <c r="A791">
        <f>DE_Base_Profile!H14</f>
        <v>8</v>
      </c>
      <c r="B791">
        <f>DE_Base_Profile!I14</f>
        <v>0.041</v>
      </c>
      <c r="C791">
        <f>IF(DE_Base_Profile!J14=1,INDEX(DE_Lookups!$B$2:$B$4,MATCH(B766,DE_Lookups!$A$2:$A$4,0)),1)</f>
        <v>1</v>
      </c>
      <c r="D791">
        <f>IF(OR(D766="Air conditioning",D766="Heat pump (heating &amp; cooling)"),IF(DE_Base_Profile!K14=1,N767,1),1)*IF(OR(D766="Electric heating",D766="Heat pump (heating &amp; cooling)"),IF(DE_Base_Profile!L14=1,P767,1),1)</f>
        <v>1</v>
      </c>
      <c r="E791">
        <f t="shared" si="52"/>
        <v>0.041</v>
      </c>
      <c r="F791">
        <f t="shared" si="53"/>
        <v>0.0496488253814483</v>
      </c>
      <c r="G791">
        <f>((L766+D767)/365)*F791</f>
        <v>0.476084626945395</v>
      </c>
      <c r="H791">
        <f>INDEX(DE_Base_Profile!$N$6:$Q$29,ROW()-782,MATCH(J766,DE_Base_Profile!$N$5:$Q$5,0))</f>
        <v>0</v>
      </c>
      <c r="I791">
        <f>(F767/365)*H791</f>
        <v>0</v>
      </c>
      <c r="J791">
        <f>(G791+I791)/(H767/365)</f>
        <v>0.0327869601575602</v>
      </c>
    </row>
    <row r="792" spans="1:10">
      <c r="A792">
        <f>DE_Base_Profile!H15</f>
        <v>9</v>
      </c>
      <c r="B792">
        <f>DE_Base_Profile!I15</f>
        <v>0.0446</v>
      </c>
      <c r="C792">
        <f>IF(DE_Base_Profile!J15=1,INDEX(DE_Lookups!$B$2:$B$4,MATCH(B766,DE_Lookups!$A$2:$A$4,0)),1)</f>
        <v>0.6</v>
      </c>
      <c r="D792">
        <f>IF(OR(D766="Air conditioning",D766="Heat pump (heating &amp; cooling)"),IF(DE_Base_Profile!K15=1,N767,1),1)*IF(OR(D766="Electric heating",D766="Heat pump (heating &amp; cooling)"),IF(DE_Base_Profile!L15=1,P767,1),1)</f>
        <v>1</v>
      </c>
      <c r="E792">
        <f t="shared" si="52"/>
        <v>0.02676</v>
      </c>
      <c r="F792">
        <f t="shared" si="53"/>
        <v>0.0324049406635989</v>
      </c>
      <c r="G792">
        <f>((L766+D767)/365)*F792</f>
        <v>0.31073230773314</v>
      </c>
      <c r="H792">
        <f>INDEX(DE_Base_Profile!$N$6:$Q$29,ROW()-782,MATCH(J766,DE_Base_Profile!$N$5:$Q$5,0))</f>
        <v>0</v>
      </c>
      <c r="I792">
        <f>(F767/365)*H792</f>
        <v>0</v>
      </c>
      <c r="J792">
        <f>(G792+I792)/(H767/365)</f>
        <v>0.021399489117471</v>
      </c>
    </row>
    <row r="793" spans="1:10">
      <c r="A793">
        <f>DE_Base_Profile!H16</f>
        <v>10</v>
      </c>
      <c r="B793">
        <f>DE_Base_Profile!I16</f>
        <v>0.0474</v>
      </c>
      <c r="C793">
        <f>IF(DE_Base_Profile!J16=1,INDEX(DE_Lookups!$B$2:$B$4,MATCH(B766,DE_Lookups!$A$2:$A$4,0)),1)</f>
        <v>0.6</v>
      </c>
      <c r="D793">
        <f>IF(OR(D766="Air conditioning",D766="Heat pump (heating &amp; cooling)"),IF(DE_Base_Profile!K16=1,N767,1),1)*IF(OR(D766="Electric heating",D766="Heat pump (heating &amp; cooling)"),IF(DE_Base_Profile!L16=1,P767,1),1)</f>
        <v>1</v>
      </c>
      <c r="E793">
        <f t="shared" si="52"/>
        <v>0.02844</v>
      </c>
      <c r="F793">
        <f t="shared" si="53"/>
        <v>0.0344393315572778</v>
      </c>
      <c r="G793">
        <f>((L766+D767)/365)*F793</f>
        <v>0.330240165617732</v>
      </c>
      <c r="H793">
        <f>INDEX(DE_Base_Profile!$N$6:$Q$29,ROW()-782,MATCH(J766,DE_Base_Profile!$N$5:$Q$5,0))</f>
        <v>0</v>
      </c>
      <c r="I793">
        <f>(F767/365)*H793</f>
        <v>0</v>
      </c>
      <c r="J793">
        <f>(G793+I793)/(H767/365)</f>
        <v>0.0227429548019759</v>
      </c>
    </row>
    <row r="794" spans="1:10">
      <c r="A794">
        <f>DE_Base_Profile!H17</f>
        <v>11</v>
      </c>
      <c r="B794">
        <f>DE_Base_Profile!I17</f>
        <v>0.0518</v>
      </c>
      <c r="C794">
        <f>IF(DE_Base_Profile!J17=1,INDEX(DE_Lookups!$B$2:$B$4,MATCH(B766,DE_Lookups!$A$2:$A$4,0)),1)</f>
        <v>0.6</v>
      </c>
      <c r="D794">
        <f>IF(OR(D766="Air conditioning",D766="Heat pump (heating &amp; cooling)"),IF(DE_Base_Profile!K17=1,N767,1),1)*IF(OR(D766="Electric heating",D766="Heat pump (heating &amp; cooling)"),IF(DE_Base_Profile!L17=1,P767,1),1)</f>
        <v>1</v>
      </c>
      <c r="E794">
        <f t="shared" si="52"/>
        <v>0.03108</v>
      </c>
      <c r="F794">
        <f t="shared" si="53"/>
        <v>0.0376362315330588</v>
      </c>
      <c r="G794">
        <f>((L766+D767)/365)*F794</f>
        <v>0.360895370864948</v>
      </c>
      <c r="H794">
        <f>INDEX(DE_Base_Profile!$N$6:$Q$29,ROW()-782,MATCH(J766,DE_Base_Profile!$N$5:$Q$5,0))</f>
        <v>0</v>
      </c>
      <c r="I794">
        <f>(F767/365)*H794</f>
        <v>0</v>
      </c>
      <c r="J794">
        <f>(G794+I794)/(H767/365)</f>
        <v>0.0248541151633407</v>
      </c>
    </row>
    <row r="795" spans="1:10">
      <c r="A795">
        <f>DE_Base_Profile!H18</f>
        <v>12</v>
      </c>
      <c r="B795">
        <f>DE_Base_Profile!I18</f>
        <v>0.0513</v>
      </c>
      <c r="C795">
        <f>IF(DE_Base_Profile!J18=1,INDEX(DE_Lookups!$B$2:$B$4,MATCH(B766,DE_Lookups!$A$2:$A$4,0)),1)</f>
        <v>0.6</v>
      </c>
      <c r="D795">
        <f>IF(OR(D766="Air conditioning",D766="Heat pump (heating &amp; cooling)"),IF(DE_Base_Profile!K18=1,N767,1),1)*IF(OR(D766="Electric heating",D766="Heat pump (heating &amp; cooling)"),IF(DE_Base_Profile!L18=1,P767,1),1)</f>
        <v>1</v>
      </c>
      <c r="E795">
        <f t="shared" si="52"/>
        <v>0.03078</v>
      </c>
      <c r="F795">
        <f t="shared" si="53"/>
        <v>0.0372729474449019</v>
      </c>
      <c r="G795">
        <f>((L766+D767)/365)*F795</f>
        <v>0.357411824814128</v>
      </c>
      <c r="H795">
        <f>INDEX(DE_Base_Profile!$N$6:$Q$29,ROW()-782,MATCH(J766,DE_Base_Profile!$N$5:$Q$5,0))</f>
        <v>0</v>
      </c>
      <c r="I795">
        <f>(F767/365)*H795</f>
        <v>0</v>
      </c>
      <c r="J795">
        <f>(G795+I795)/(H767/365)</f>
        <v>0.024614210576822</v>
      </c>
    </row>
    <row r="796" spans="1:10">
      <c r="A796">
        <f>DE_Base_Profile!H19</f>
        <v>13</v>
      </c>
      <c r="B796">
        <f>DE_Base_Profile!I19</f>
        <v>0.0481</v>
      </c>
      <c r="C796">
        <f>IF(DE_Base_Profile!J19=1,INDEX(DE_Lookups!$B$2:$B$4,MATCH(B766,DE_Lookups!$A$2:$A$4,0)),1)</f>
        <v>0.6</v>
      </c>
      <c r="D796">
        <f>IF(OR(D766="Air conditioning",D766="Heat pump (heating &amp; cooling)"),IF(DE_Base_Profile!K19=1,N767,1),1)*IF(OR(D766="Electric heating",D766="Heat pump (heating &amp; cooling)"),IF(DE_Base_Profile!L19=1,P767,1),1)</f>
        <v>1</v>
      </c>
      <c r="E796">
        <f t="shared" si="52"/>
        <v>0.02886</v>
      </c>
      <c r="F796">
        <f t="shared" si="53"/>
        <v>0.0349479292806975</v>
      </c>
      <c r="G796">
        <f>((L766+D767)/365)*F796</f>
        <v>0.33511713008888</v>
      </c>
      <c r="H796">
        <f>INDEX(DE_Base_Profile!$N$6:$Q$29,ROW()-782,MATCH(J766,DE_Base_Profile!$N$5:$Q$5,0))</f>
        <v>0</v>
      </c>
      <c r="I796">
        <f>(F767/365)*H796</f>
        <v>0</v>
      </c>
      <c r="J796">
        <f>(G796+I796)/(H767/365)</f>
        <v>0.0230788212231021</v>
      </c>
    </row>
    <row r="797" spans="1:10">
      <c r="A797">
        <f>DE_Base_Profile!H20</f>
        <v>14</v>
      </c>
      <c r="B797">
        <f>DE_Base_Profile!I20</f>
        <v>0.0459</v>
      </c>
      <c r="C797">
        <f>IF(DE_Base_Profile!J20=1,INDEX(DE_Lookups!$B$2:$B$4,MATCH(B766,DE_Lookups!$A$2:$A$4,0)),1)</f>
        <v>0.6</v>
      </c>
      <c r="D797">
        <f>IF(OR(D766="Air conditioning",D766="Heat pump (heating &amp; cooling)"),IF(DE_Base_Profile!K20=1,N767,1),1)*IF(OR(D766="Electric heating",D766="Heat pump (heating &amp; cooling)"),IF(DE_Base_Profile!L20=1,P767,1),1)</f>
        <v>1</v>
      </c>
      <c r="E797">
        <f t="shared" si="52"/>
        <v>0.02754</v>
      </c>
      <c r="F797">
        <f t="shared" si="53"/>
        <v>0.033349479292807</v>
      </c>
      <c r="G797">
        <f>((L766+D767)/365)*F797</f>
        <v>0.319789527465272</v>
      </c>
      <c r="H797">
        <f>INDEX(DE_Base_Profile!$N$6:$Q$29,ROW()-782,MATCH(J766,DE_Base_Profile!$N$5:$Q$5,0))</f>
        <v>0</v>
      </c>
      <c r="I797">
        <f>(F767/365)*H797</f>
        <v>0</v>
      </c>
      <c r="J797">
        <f>(G797+I797)/(H767/365)</f>
        <v>0.0220232410424197</v>
      </c>
    </row>
    <row r="798" spans="1:10">
      <c r="A798">
        <f>DE_Base_Profile!H21</f>
        <v>15</v>
      </c>
      <c r="B798">
        <f>DE_Base_Profile!I21</f>
        <v>0.0454</v>
      </c>
      <c r="C798">
        <f>IF(DE_Base_Profile!J21=1,INDEX(DE_Lookups!$B$2:$B$4,MATCH(B766,DE_Lookups!$A$2:$A$4,0)),1)</f>
        <v>0.6</v>
      </c>
      <c r="D798">
        <f>IF(OR(D766="Air conditioning",D766="Heat pump (heating &amp; cooling)"),IF(DE_Base_Profile!K21=1,N767,1),1)*IF(OR(D766="Electric heating",D766="Heat pump (heating &amp; cooling)"),IF(DE_Base_Profile!L21=1,P767,1),1)</f>
        <v>1</v>
      </c>
      <c r="E798">
        <f t="shared" si="52"/>
        <v>0.02724</v>
      </c>
      <c r="F798">
        <f t="shared" si="53"/>
        <v>0.03298619520465</v>
      </c>
      <c r="G798">
        <f>((L766+D767)/365)*F798</f>
        <v>0.316305981414452</v>
      </c>
      <c r="H798">
        <f>INDEX(DE_Base_Profile!$N$6:$Q$29,ROW()-782,MATCH(J766,DE_Base_Profile!$N$5:$Q$5,0))</f>
        <v>0</v>
      </c>
      <c r="I798">
        <f>(F767/365)*H798</f>
        <v>0</v>
      </c>
      <c r="J798">
        <f>(G798+I798)/(H767/365)</f>
        <v>0.021783336455901</v>
      </c>
    </row>
    <row r="799" spans="1:10">
      <c r="A799">
        <f>DE_Base_Profile!H22</f>
        <v>16</v>
      </c>
      <c r="B799">
        <f>DE_Base_Profile!I22</f>
        <v>0.0475</v>
      </c>
      <c r="C799">
        <f>IF(DE_Base_Profile!J22=1,INDEX(DE_Lookups!$B$2:$B$4,MATCH(B766,DE_Lookups!$A$2:$A$4,0)),1)</f>
        <v>0.6</v>
      </c>
      <c r="D799">
        <f>IF(OR(D766="Air conditioning",D766="Heat pump (heating &amp; cooling)"),IF(DE_Base_Profile!K22=1,N767,1),1)*IF(OR(D766="Electric heating",D766="Heat pump (heating &amp; cooling)"),IF(DE_Base_Profile!L22=1,P767,1),1)</f>
        <v>1</v>
      </c>
      <c r="E799">
        <f t="shared" si="52"/>
        <v>0.0285</v>
      </c>
      <c r="F799">
        <f t="shared" si="53"/>
        <v>0.0345119883749092</v>
      </c>
      <c r="G799">
        <f>((L766+D767)/365)*F799</f>
        <v>0.330936874827896</v>
      </c>
      <c r="H799">
        <f>INDEX(DE_Base_Profile!$N$6:$Q$29,ROW()-782,MATCH(J766,DE_Base_Profile!$N$5:$Q$5,0))</f>
        <v>0</v>
      </c>
      <c r="I799">
        <f>(F767/365)*H799</f>
        <v>0</v>
      </c>
      <c r="J799">
        <f>(G799+I799)/(H767/365)</f>
        <v>0.0227909357192796</v>
      </c>
    </row>
    <row r="800" spans="1:10">
      <c r="A800">
        <f>DE_Base_Profile!H23</f>
        <v>17</v>
      </c>
      <c r="B800">
        <f>DE_Base_Profile!I23</f>
        <v>0.0535</v>
      </c>
      <c r="C800">
        <f>IF(DE_Base_Profile!J23=1,INDEX(DE_Lookups!$B$2:$B$4,MATCH(B766,DE_Lookups!$A$2:$A$4,0)),1)</f>
        <v>0.6</v>
      </c>
      <c r="D800">
        <f>IF(OR(D766="Air conditioning",D766="Heat pump (heating &amp; cooling)"),IF(DE_Base_Profile!K23=1,N767,1),1)*IF(OR(D766="Electric heating",D766="Heat pump (heating &amp; cooling)"),IF(DE_Base_Profile!L23=1,P767,1),1)</f>
        <v>1</v>
      </c>
      <c r="E800">
        <f t="shared" si="52"/>
        <v>0.0321</v>
      </c>
      <c r="F800">
        <f t="shared" si="53"/>
        <v>0.0388713974327924</v>
      </c>
      <c r="G800">
        <f>((L766+D767)/365)*F800</f>
        <v>0.372739427437736</v>
      </c>
      <c r="H800">
        <f>INDEX(DE_Base_Profile!$N$6:$Q$29,ROW()-782,MATCH(J766,DE_Base_Profile!$N$5:$Q$5,0))</f>
        <v>0</v>
      </c>
      <c r="I800">
        <f>(F767/365)*H800</f>
        <v>0</v>
      </c>
      <c r="J800">
        <f>(G800+I800)/(H767/365)</f>
        <v>0.0256697907575044</v>
      </c>
    </row>
    <row r="801" spans="1:16">
      <c r="A801">
        <f>DE_Base_Profile!H24</f>
        <v>18</v>
      </c>
      <c r="B801">
        <f>DE_Base_Profile!I24</f>
        <v>0.0587</v>
      </c>
      <c r="C801">
        <f>IF(DE_Base_Profile!J24=1,INDEX(DE_Lookups!$B$2:$B$4,MATCH(B766,DE_Lookups!$A$2:$A$4,0)),1)</f>
        <v>1</v>
      </c>
      <c r="D801">
        <f>IF(OR(D766="Air conditioning",D766="Heat pump (heating &amp; cooling)"),IF(DE_Base_Profile!K24=1,N767,1),1)*IF(OR(D766="Electric heating",D766="Heat pump (heating &amp; cooling)"),IF(DE_Base_Profile!L24=1,P767,1),1)</f>
        <v>1</v>
      </c>
      <c r="E801">
        <f t="shared" si="52"/>
        <v>0.0587</v>
      </c>
      <c r="F801">
        <f t="shared" si="53"/>
        <v>0.0710825865827077</v>
      </c>
      <c r="G801">
        <f>((L766+D767)/365)*F801</f>
        <v>0.681613843943772</v>
      </c>
      <c r="H801">
        <f>INDEX(DE_Base_Profile!$N$6:$Q$29,ROW()-782,MATCH(J766,DE_Base_Profile!$N$5:$Q$5,0))</f>
        <v>0</v>
      </c>
      <c r="I801">
        <f>(F767/365)*H801</f>
        <v>0</v>
      </c>
      <c r="J801">
        <f>(G801+I801)/(H767/365)</f>
        <v>0.0469413307621654</v>
      </c>
    </row>
    <row r="802" spans="1:16">
      <c r="A802">
        <f>DE_Base_Profile!H25</f>
        <v>19</v>
      </c>
      <c r="B802">
        <f>DE_Base_Profile!I25</f>
        <v>0.0591</v>
      </c>
      <c r="C802">
        <f>IF(DE_Base_Profile!J25=1,INDEX(DE_Lookups!$B$2:$B$4,MATCH(B766,DE_Lookups!$A$2:$A$4,0)),1)</f>
        <v>1</v>
      </c>
      <c r="D802">
        <f>IF(OR(D766="Air conditioning",D766="Heat pump (heating &amp; cooling)"),IF(DE_Base_Profile!K25=1,N767,1),1)*IF(OR(D766="Electric heating",D766="Heat pump (heating &amp; cooling)"),IF(DE_Base_Profile!L25=1,P767,1),1)</f>
        <v>1</v>
      </c>
      <c r="E802">
        <f t="shared" si="52"/>
        <v>0.0591</v>
      </c>
      <c r="F802">
        <f t="shared" si="53"/>
        <v>0.0715669653669169</v>
      </c>
      <c r="G802">
        <f>((L766+D767)/365)*F802</f>
        <v>0.686258572011532</v>
      </c>
      <c r="H802">
        <f>INDEX(DE_Base_Profile!$N$6:$Q$29,ROW()-782,MATCH(J766,DE_Base_Profile!$N$5:$Q$5,0))</f>
        <v>0</v>
      </c>
      <c r="I802">
        <f>(F767/365)*H802</f>
        <v>0</v>
      </c>
      <c r="J802">
        <f>(G802+I802)/(H767/365)</f>
        <v>0.0472612035441904</v>
      </c>
    </row>
    <row r="803" spans="1:16">
      <c r="A803">
        <f>DE_Base_Profile!H26</f>
        <v>20</v>
      </c>
      <c r="B803">
        <f>DE_Base_Profile!I26</f>
        <v>0.0556</v>
      </c>
      <c r="C803">
        <f>IF(DE_Base_Profile!J26=1,INDEX(DE_Lookups!$B$2:$B$4,MATCH(B766,DE_Lookups!$A$2:$A$4,0)),1)</f>
        <v>1</v>
      </c>
      <c r="D803">
        <f>IF(OR(D766="Air conditioning",D766="Heat pump (heating &amp; cooling)"),IF(DE_Base_Profile!K26=1,N767,1),1)*IF(OR(D766="Electric heating",D766="Heat pump (heating &amp; cooling)"),IF(DE_Base_Profile!L26=1,P767,1),1)</f>
        <v>1</v>
      </c>
      <c r="E803">
        <f t="shared" si="52"/>
        <v>0.0556</v>
      </c>
      <c r="F803">
        <f t="shared" si="53"/>
        <v>0.067328651005086</v>
      </c>
      <c r="G803">
        <f>((L766+D767)/365)*F803</f>
        <v>0.645617201418633</v>
      </c>
      <c r="H803">
        <f>INDEX(DE_Base_Profile!$N$6:$Q$29,ROW()-782,MATCH(J766,DE_Base_Profile!$N$5:$Q$5,0))</f>
        <v>0</v>
      </c>
      <c r="I803">
        <f>(F767/365)*H803</f>
        <v>0</v>
      </c>
      <c r="J803">
        <f>(G803+I803)/(H767/365)</f>
        <v>0.0444623167014719</v>
      </c>
    </row>
    <row r="804" spans="1:16">
      <c r="A804">
        <f>DE_Base_Profile!H27</f>
        <v>21</v>
      </c>
      <c r="B804">
        <f>DE_Base_Profile!I27</f>
        <v>0.0508</v>
      </c>
      <c r="C804">
        <f>IF(DE_Base_Profile!J27=1,INDEX(DE_Lookups!$B$2:$B$4,MATCH(B766,DE_Lookups!$A$2:$A$4,0)),1)</f>
        <v>1</v>
      </c>
      <c r="D804">
        <f>IF(OR(D766="Air conditioning",D766="Heat pump (heating &amp; cooling)"),IF(DE_Base_Profile!K27=1,N767,1),1)*IF(OR(D766="Electric heating",D766="Heat pump (heating &amp; cooling)"),IF(DE_Base_Profile!L27=1,P767,1),1)</f>
        <v>1</v>
      </c>
      <c r="E804">
        <f t="shared" si="52"/>
        <v>0.0508</v>
      </c>
      <c r="F804">
        <f t="shared" si="53"/>
        <v>0.061516105594575</v>
      </c>
      <c r="G804">
        <f>((L766+D767)/365)*F804</f>
        <v>0.589880464605513</v>
      </c>
      <c r="H804">
        <f>INDEX(DE_Base_Profile!$N$6:$Q$29,ROW()-782,MATCH(J766,DE_Base_Profile!$N$5:$Q$5,0))</f>
        <v>0</v>
      </c>
      <c r="I804">
        <f>(F767/365)*H804</f>
        <v>0</v>
      </c>
      <c r="J804">
        <f>(G804+I804)/(H767/365)</f>
        <v>0.0406238433171721</v>
      </c>
    </row>
    <row r="805" spans="1:16">
      <c r="A805">
        <f>DE_Base_Profile!H28</f>
        <v>22</v>
      </c>
      <c r="B805">
        <f>DE_Base_Profile!I28</f>
        <v>0.0451</v>
      </c>
      <c r="C805">
        <f>IF(DE_Base_Profile!J28=1,INDEX(DE_Lookups!$B$2:$B$4,MATCH(B766,DE_Lookups!$A$2:$A$4,0)),1)</f>
        <v>1</v>
      </c>
      <c r="D805">
        <f>IF(OR(D766="Air conditioning",D766="Heat pump (heating &amp; cooling)"),IF(DE_Base_Profile!K28=1,N767,1),1)*IF(OR(D766="Electric heating",D766="Heat pump (heating &amp; cooling)"),IF(DE_Base_Profile!L28=1,P767,1),1)</f>
        <v>1</v>
      </c>
      <c r="E805">
        <f t="shared" si="52"/>
        <v>0.0451</v>
      </c>
      <c r="F805">
        <f t="shared" si="53"/>
        <v>0.0546137079195931</v>
      </c>
      <c r="G805">
        <f>((L766+D767)/365)*F805</f>
        <v>0.523693089639934</v>
      </c>
      <c r="H805">
        <f>INDEX(DE_Base_Profile!$N$6:$Q$29,ROW()-782,MATCH(J766,DE_Base_Profile!$N$5:$Q$5,0))</f>
        <v>0.125</v>
      </c>
      <c r="I805">
        <f>(F767/365)*H805</f>
        <v>0.616438356164384</v>
      </c>
      <c r="J805">
        <f>(G805+I805)/(H767/365)</f>
        <v>0.0785184863619955</v>
      </c>
    </row>
    <row r="806" spans="1:16">
      <c r="A806">
        <f>DE_Base_Profile!H29</f>
        <v>23</v>
      </c>
      <c r="B806">
        <f>DE_Base_Profile!I29</f>
        <v>0.0366</v>
      </c>
      <c r="C806">
        <f>IF(DE_Base_Profile!J29=1,INDEX(DE_Lookups!$B$2:$B$4,MATCH(B766,DE_Lookups!$A$2:$A$4,0)),1)</f>
        <v>1</v>
      </c>
      <c r="D806">
        <f>IF(OR(D766="Air conditioning",D766="Heat pump (heating &amp; cooling)"),IF(DE_Base_Profile!K29=1,N767,1),1)*IF(OR(D766="Electric heating",D766="Heat pump (heating &amp; cooling)"),IF(DE_Base_Profile!L29=1,P767,1),1)</f>
        <v>1</v>
      </c>
      <c r="E806">
        <f t="shared" si="52"/>
        <v>0.0366</v>
      </c>
      <c r="F806">
        <f t="shared" si="53"/>
        <v>0.0443206587551465</v>
      </c>
      <c r="G806">
        <f>((L766+D767)/365)*F806</f>
        <v>0.424992618200035</v>
      </c>
      <c r="H806">
        <f>INDEX(DE_Base_Profile!$N$6:$Q$29,ROW()-782,MATCH(J766,DE_Base_Profile!$N$5:$Q$5,0))</f>
        <v>0.125</v>
      </c>
      <c r="I806">
        <f>(F767/365)*H806</f>
        <v>0.616438356164384</v>
      </c>
      <c r="J806">
        <f>(G806+I806)/(H767/365)</f>
        <v>0.0717211897439647</v>
      </c>
    </row>
    <row r="811" spans="1:16">
      <c r="A811" t="s">
        <v>51</v>
      </c>
      <c r="B811" t="str">
        <f>DE_Option_Monthly!C22</f>
        <v>Mostly away during the day</v>
      </c>
      <c r="C811" t="s">
        <v>188</v>
      </c>
      <c r="D811" t="str">
        <f>DE_Option_Monthly!D22</f>
        <v>No heating or cooling system</v>
      </c>
      <c r="E811" t="s">
        <v>68</v>
      </c>
      <c r="F811" t="str">
        <f>DE_Option_Monthly!E22</f>
        <v>Medium</v>
      </c>
      <c r="G811" t="s">
        <v>98</v>
      </c>
      <c r="H811" t="str">
        <f>DE_Option_Monthly!F22</f>
        <v>10,000 km</v>
      </c>
      <c r="I811" t="s">
        <v>289</v>
      </c>
      <c r="J811" t="str">
        <f>DE_Option_Monthly!G22</f>
        <v>Mixed day and night</v>
      </c>
      <c r="K811" t="s">
        <v>290</v>
      </c>
      <c r="L811">
        <f>DE_Option_Monthly!$B$1</f>
        <v>3500</v>
      </c>
    </row>
    <row r="812" spans="1:16">
      <c r="A812" t="s">
        <v>291</v>
      </c>
      <c r="B812">
        <f>INDEX(DE_Lookups!$E$2:$E$5,MATCH(F811,DE_Lookups!$D$2:$D$5,0))</f>
        <v>1</v>
      </c>
      <c r="C812" t="s">
        <v>292</v>
      </c>
      <c r="D812">
        <f>IF(OR(D811="Electric heating",D811="Heat pump (heating &amp; cooling)"),INDEX(DE_Lookups!$L$2:$L$5,MATCH(D811,DE_Lookups!$K$2:$K$5,0))*B812,0)</f>
        <v>0</v>
      </c>
      <c r="E812" t="s">
        <v>293</v>
      </c>
      <c r="F812">
        <f>INDEX(DE_Lookups!$O$2:$O$7,MATCH(H811,DE_Lookups!$N$2:$N$7,0))*0.18</f>
        <v>1800</v>
      </c>
      <c r="G812" t="s">
        <v>294</v>
      </c>
      <c r="H812">
        <f>L811+D812+F812</f>
        <v>5300</v>
      </c>
      <c r="I812" t="s">
        <v>295</v>
      </c>
      <c r="J812">
        <f>INDEX(DE_Lookups!$F$2:$F$5,MATCH(F811,DE_Lookups!$D$2:$D$5,0))</f>
        <v>1.1</v>
      </c>
      <c r="K812" t="s">
        <v>296</v>
      </c>
      <c r="L812">
        <f>INDEX(DE_Lookups!$G$2:$G$5,MATCH(F811,DE_Lookups!$D$2:$D$5,0))</f>
        <v>1.15</v>
      </c>
      <c r="M812" t="s">
        <v>297</v>
      </c>
      <c r="N812">
        <f>INDEX(DE_Lookups!$H$2:$H$5,MATCH(F811,DE_Lookups!$D$2:$D$5,0))</f>
        <v>1.2</v>
      </c>
      <c r="O812" t="s">
        <v>298</v>
      </c>
      <c r="P812">
        <f>INDEX(DE_Lookups!$I$2:$I$5,MATCH(F811,DE_Lookups!$D$2:$D$5,0))</f>
        <v>1.15</v>
      </c>
    </row>
    <row r="814" spans="1:16">
      <c r="A814" t="str">
        <f>DE_Base_Profile!A6</f>
        <v>1月</v>
      </c>
      <c r="B814">
        <f>DE_Base_Profile!B6</f>
        <v>0.0789</v>
      </c>
      <c r="C814">
        <f>L811*B814</f>
        <v>276.15</v>
      </c>
      <c r="D814">
        <f>1+IF(OR(D811="Air conditioning",D811="Heat pump (heating &amp; cooling)"),IF(DE_Base_Profile!D6=1,J812-1,0),0)+IF(OR(D811="Electric heating",D811="Heat pump (heating &amp; cooling)"),IF(DE_Base_Profile!E6=1,L812-1,0),0)</f>
        <v>1</v>
      </c>
      <c r="E814">
        <f t="shared" ref="E814:E825" si="54">C814*D814</f>
        <v>276.15</v>
      </c>
      <c r="F814">
        <f>IF(D811="Electric heating",IF(DE_Base_Profile!E6=1,B814*L812,0),IF(D811="Heat pump (heating &amp; cooling)",IF(DE_Base_Profile!D6=1,B814*J812,0)+IF(DE_Base_Profile!E6=1,B814*L812,0),0))</f>
        <v>0</v>
      </c>
      <c r="G814">
        <f>IF(SUM($F$814:$F$825)=0,0,D812*F814/SUM($F$814:$F$825))</f>
        <v>0</v>
      </c>
      <c r="H814">
        <f>F812/12</f>
        <v>150</v>
      </c>
      <c r="I814">
        <f>E814/SUM($E$814:$E$825)*L811+G814+H814</f>
        <v>426.15</v>
      </c>
      <c r="J814">
        <f>I814/H812</f>
        <v>0.0804056603773585</v>
      </c>
    </row>
    <row r="815" spans="1:16">
      <c r="A815" t="str">
        <f>DE_Base_Profile!A7</f>
        <v>2月</v>
      </c>
      <c r="B815">
        <f>DE_Base_Profile!B7</f>
        <v>0.0791</v>
      </c>
      <c r="C815">
        <f>L811*B815</f>
        <v>276.85</v>
      </c>
      <c r="D815">
        <f>1+IF(OR(D811="Air conditioning",D811="Heat pump (heating &amp; cooling)"),IF(DE_Base_Profile!D7=1,J812-1,0),0)+IF(OR(D811="Electric heating",D811="Heat pump (heating &amp; cooling)"),IF(DE_Base_Profile!E7=1,L812-1,0),0)</f>
        <v>1</v>
      </c>
      <c r="E815">
        <f t="shared" si="54"/>
        <v>276.85</v>
      </c>
      <c r="F815">
        <f>IF(D811="Electric heating",IF(DE_Base_Profile!E7=1,B815*L812,0),IF(D811="Heat pump (heating &amp; cooling)",IF(DE_Base_Profile!D7=1,B815*J812,0)+IF(DE_Base_Profile!E7=1,B815*L812,0),0))</f>
        <v>0</v>
      </c>
      <c r="G815">
        <f>IF(SUM($F$814:$F$825)=0,0,D812*F815/SUM($F$814:$F$825))</f>
        <v>0</v>
      </c>
      <c r="H815">
        <f>F812/12</f>
        <v>150</v>
      </c>
      <c r="I815">
        <f>E815/SUM($E$814:$E$825)*L811+G815+H815</f>
        <v>426.85</v>
      </c>
      <c r="J815">
        <f>I815/H812</f>
        <v>0.0805377358490566</v>
      </c>
    </row>
    <row r="816" spans="1:16">
      <c r="A816" t="str">
        <f>DE_Base_Profile!A8</f>
        <v>3月</v>
      </c>
      <c r="B816">
        <f>DE_Base_Profile!B8</f>
        <v>0.0773</v>
      </c>
      <c r="C816">
        <f>L811*B816</f>
        <v>270.55</v>
      </c>
      <c r="D816">
        <f>1+IF(OR(D811="Air conditioning",D811="Heat pump (heating &amp; cooling)"),IF(DE_Base_Profile!D8=1,J812-1,0),0)+IF(OR(D811="Electric heating",D811="Heat pump (heating &amp; cooling)"),IF(DE_Base_Profile!E8=1,L812-1,0),0)</f>
        <v>1</v>
      </c>
      <c r="E816">
        <f t="shared" si="54"/>
        <v>270.55</v>
      </c>
      <c r="F816">
        <f>IF(D811="Electric heating",IF(DE_Base_Profile!E8=1,B816*L812,0),IF(D811="Heat pump (heating &amp; cooling)",IF(DE_Base_Profile!D8=1,B816*J812,0)+IF(DE_Base_Profile!E8=1,B816*L812,0),0))</f>
        <v>0</v>
      </c>
      <c r="G816">
        <f>IF(SUM($F$814:$F$825)=0,0,D812*F816/SUM($F$814:$F$825))</f>
        <v>0</v>
      </c>
      <c r="H816">
        <f>F812/12</f>
        <v>150</v>
      </c>
      <c r="I816">
        <f>E816/SUM($E$814:$E$825)*L811+G816+H816</f>
        <v>420.55</v>
      </c>
      <c r="J816">
        <f>I816/H812</f>
        <v>0.0793490566037736</v>
      </c>
    </row>
    <row r="817" spans="1:10">
      <c r="A817" t="str">
        <f>DE_Base_Profile!A9</f>
        <v>4月</v>
      </c>
      <c r="B817">
        <f>DE_Base_Profile!B9</f>
        <v>0.0822</v>
      </c>
      <c r="C817">
        <f>L811*B817</f>
        <v>287.7</v>
      </c>
      <c r="D817">
        <f>1+IF(OR(D811="Air conditioning",D811="Heat pump (heating &amp; cooling)"),IF(DE_Base_Profile!D9=1,J812-1,0),0)+IF(OR(D811="Electric heating",D811="Heat pump (heating &amp; cooling)"),IF(DE_Base_Profile!E9=1,L812-1,0),0)</f>
        <v>1</v>
      </c>
      <c r="E817">
        <f t="shared" si="54"/>
        <v>287.7</v>
      </c>
      <c r="F817">
        <f>IF(D811="Electric heating",IF(DE_Base_Profile!E9=1,B817*L812,0),IF(D811="Heat pump (heating &amp; cooling)",IF(DE_Base_Profile!D9=1,B817*J812,0)+IF(DE_Base_Profile!E9=1,B817*L812,0),0))</f>
        <v>0</v>
      </c>
      <c r="G817">
        <f>IF(SUM($F$814:$F$825)=0,0,D812*F817/SUM($F$814:$F$825))</f>
        <v>0</v>
      </c>
      <c r="H817">
        <f>F812/12</f>
        <v>150</v>
      </c>
      <c r="I817">
        <f>E817/SUM($E$814:$E$825)*L811+G817+H817</f>
        <v>437.7</v>
      </c>
      <c r="J817">
        <f>I817/H812</f>
        <v>0.0825849056603773</v>
      </c>
    </row>
    <row r="818" spans="1:10">
      <c r="A818" t="str">
        <f>DE_Base_Profile!A10</f>
        <v>5月</v>
      </c>
      <c r="B818">
        <f>DE_Base_Profile!B10</f>
        <v>0.0839</v>
      </c>
      <c r="C818">
        <f>L811*B818</f>
        <v>293.65</v>
      </c>
      <c r="D818">
        <f>1+IF(OR(D811="Air conditioning",D811="Heat pump (heating &amp; cooling)"),IF(DE_Base_Profile!D10=1,J812-1,0),0)+IF(OR(D811="Electric heating",D811="Heat pump (heating &amp; cooling)"),IF(DE_Base_Profile!E10=1,L812-1,0),0)</f>
        <v>1</v>
      </c>
      <c r="E818">
        <f t="shared" si="54"/>
        <v>293.65</v>
      </c>
      <c r="F818">
        <f>IF(D811="Electric heating",IF(DE_Base_Profile!E10=1,B818*L812,0),IF(D811="Heat pump (heating &amp; cooling)",IF(DE_Base_Profile!D10=1,B818*J812,0)+IF(DE_Base_Profile!E10=1,B818*L812,0),0))</f>
        <v>0</v>
      </c>
      <c r="G818">
        <f>IF(SUM($F$814:$F$825)=0,0,D812*F818/SUM($F$814:$F$825))</f>
        <v>0</v>
      </c>
      <c r="H818">
        <f>F812/12</f>
        <v>150</v>
      </c>
      <c r="I818">
        <f>E818/SUM($E$814:$E$825)*L811+G818+H818</f>
        <v>443.65</v>
      </c>
      <c r="J818">
        <f>I818/H812</f>
        <v>0.0837075471698113</v>
      </c>
    </row>
    <row r="819" spans="1:10">
      <c r="A819" t="str">
        <f>DE_Base_Profile!A11</f>
        <v>6月</v>
      </c>
      <c r="B819">
        <f>DE_Base_Profile!B11</f>
        <v>0.0876</v>
      </c>
      <c r="C819">
        <f>L811*B819</f>
        <v>306.6</v>
      </c>
      <c r="D819">
        <f>1+IF(OR(D811="Air conditioning",D811="Heat pump (heating &amp; cooling)"),IF(DE_Base_Profile!D11=1,J812-1,0),0)+IF(OR(D811="Electric heating",D811="Heat pump (heating &amp; cooling)"),IF(DE_Base_Profile!E11=1,L812-1,0),0)</f>
        <v>1</v>
      </c>
      <c r="E819">
        <f t="shared" si="54"/>
        <v>306.6</v>
      </c>
      <c r="F819">
        <f>IF(D811="Electric heating",IF(DE_Base_Profile!E11=1,B819*L812,0),IF(D811="Heat pump (heating &amp; cooling)",IF(DE_Base_Profile!D11=1,B819*J812,0)+IF(DE_Base_Profile!E11=1,B819*L812,0),0))</f>
        <v>0</v>
      </c>
      <c r="G819">
        <f>IF(SUM($F$814:$F$825)=0,0,D812*F819/SUM($F$814:$F$825))</f>
        <v>0</v>
      </c>
      <c r="H819">
        <f>F812/12</f>
        <v>150</v>
      </c>
      <c r="I819">
        <f>E819/SUM($E$814:$E$825)*L811+G819+H819</f>
        <v>456.6</v>
      </c>
      <c r="J819">
        <f>I819/H812</f>
        <v>0.0861509433962264</v>
      </c>
    </row>
    <row r="820" spans="1:10">
      <c r="A820" t="str">
        <f>DE_Base_Profile!A12</f>
        <v>7月</v>
      </c>
      <c r="B820">
        <f>DE_Base_Profile!B12</f>
        <v>0.0917</v>
      </c>
      <c r="C820">
        <f>L811*B820</f>
        <v>320.95</v>
      </c>
      <c r="D820">
        <f>1+IF(OR(D811="Air conditioning",D811="Heat pump (heating &amp; cooling)"),IF(DE_Base_Profile!D12=1,J812-1,0),0)+IF(OR(D811="Electric heating",D811="Heat pump (heating &amp; cooling)"),IF(DE_Base_Profile!E12=1,L812-1,0),0)</f>
        <v>1</v>
      </c>
      <c r="E820">
        <f t="shared" si="54"/>
        <v>320.95</v>
      </c>
      <c r="F820">
        <f>IF(D811="Electric heating",IF(DE_Base_Profile!E12=1,B820*L812,0),IF(D811="Heat pump (heating &amp; cooling)",IF(DE_Base_Profile!D12=1,B820*J812,0)+IF(DE_Base_Profile!E12=1,B820*L812,0),0))</f>
        <v>0</v>
      </c>
      <c r="G820">
        <f>IF(SUM($F$814:$F$825)=0,0,D812*F820/SUM($F$814:$F$825))</f>
        <v>0</v>
      </c>
      <c r="H820">
        <f>F812/12</f>
        <v>150</v>
      </c>
      <c r="I820">
        <f>E820/SUM($E$814:$E$825)*L811+G820+H820</f>
        <v>470.95</v>
      </c>
      <c r="J820">
        <f>I820/H812</f>
        <v>0.0888584905660377</v>
      </c>
    </row>
    <row r="821" spans="1:10">
      <c r="A821" t="str">
        <f>DE_Base_Profile!A13</f>
        <v>8月</v>
      </c>
      <c r="B821">
        <f>DE_Base_Profile!B13</f>
        <v>0.0887</v>
      </c>
      <c r="C821">
        <f>L811*B821</f>
        <v>310.45</v>
      </c>
      <c r="D821">
        <f>1+IF(OR(D811="Air conditioning",D811="Heat pump (heating &amp; cooling)"),IF(DE_Base_Profile!D13=1,J812-1,0),0)+IF(OR(D811="Electric heating",D811="Heat pump (heating &amp; cooling)"),IF(DE_Base_Profile!E13=1,L812-1,0),0)</f>
        <v>1</v>
      </c>
      <c r="E821">
        <f t="shared" si="54"/>
        <v>310.45</v>
      </c>
      <c r="F821">
        <f>IF(D811="Electric heating",IF(DE_Base_Profile!E13=1,B821*L812,0),IF(D811="Heat pump (heating &amp; cooling)",IF(DE_Base_Profile!D13=1,B821*J812,0)+IF(DE_Base_Profile!E13=1,B821*L812,0),0))</f>
        <v>0</v>
      </c>
      <c r="G821">
        <f>IF(SUM($F$814:$F$825)=0,0,D812*F821/SUM($F$814:$F$825))</f>
        <v>0</v>
      </c>
      <c r="H821">
        <f>F812/12</f>
        <v>150</v>
      </c>
      <c r="I821">
        <f>E821/SUM($E$814:$E$825)*L811+G821+H821</f>
        <v>460.45</v>
      </c>
      <c r="J821">
        <f>I821/H812</f>
        <v>0.086877358490566</v>
      </c>
    </row>
    <row r="822" spans="1:10">
      <c r="A822" t="str">
        <f>DE_Base_Profile!A14</f>
        <v>9月</v>
      </c>
      <c r="B822">
        <f>DE_Base_Profile!B14</f>
        <v>0.0853</v>
      </c>
      <c r="C822">
        <f>L811*B822</f>
        <v>298.55</v>
      </c>
      <c r="D822">
        <f>1+IF(OR(D811="Air conditioning",D811="Heat pump (heating &amp; cooling)"),IF(DE_Base_Profile!D14=1,J812-1,0),0)+IF(OR(D811="Electric heating",D811="Heat pump (heating &amp; cooling)"),IF(DE_Base_Profile!E14=1,L812-1,0),0)</f>
        <v>1</v>
      </c>
      <c r="E822">
        <f t="shared" si="54"/>
        <v>298.55</v>
      </c>
      <c r="F822">
        <f>IF(D811="Electric heating",IF(DE_Base_Profile!E14=1,B822*L812,0),IF(D811="Heat pump (heating &amp; cooling)",IF(DE_Base_Profile!D14=1,B822*J812,0)+IF(DE_Base_Profile!E14=1,B822*L812,0),0))</f>
        <v>0</v>
      </c>
      <c r="G822">
        <f>IF(SUM($F$814:$F$825)=0,0,D812*F822/SUM($F$814:$F$825))</f>
        <v>0</v>
      </c>
      <c r="H822">
        <f>F812/12</f>
        <v>150</v>
      </c>
      <c r="I822">
        <f>E822/SUM($E$814:$E$825)*L811+G822+H822</f>
        <v>448.55</v>
      </c>
      <c r="J822">
        <f>I822/H812</f>
        <v>0.0846320754716981</v>
      </c>
    </row>
    <row r="823" spans="1:10">
      <c r="A823" t="str">
        <f>DE_Base_Profile!A15</f>
        <v>10月</v>
      </c>
      <c r="B823">
        <f>DE_Base_Profile!B15</f>
        <v>0.0838</v>
      </c>
      <c r="C823">
        <f>L811*B823</f>
        <v>293.3</v>
      </c>
      <c r="D823">
        <f>1+IF(OR(D811="Air conditioning",D811="Heat pump (heating &amp; cooling)"),IF(DE_Base_Profile!D15=1,J812-1,0),0)+IF(OR(D811="Electric heating",D811="Heat pump (heating &amp; cooling)"),IF(DE_Base_Profile!E15=1,L812-1,0),0)</f>
        <v>1</v>
      </c>
      <c r="E823">
        <f t="shared" si="54"/>
        <v>293.3</v>
      </c>
      <c r="F823">
        <f>IF(D811="Electric heating",IF(DE_Base_Profile!E15=1,B823*L812,0),IF(D811="Heat pump (heating &amp; cooling)",IF(DE_Base_Profile!D15=1,B823*J812,0)+IF(DE_Base_Profile!E15=1,B823*L812,0),0))</f>
        <v>0</v>
      </c>
      <c r="G823">
        <f>IF(SUM($F$814:$F$825)=0,0,D812*F823/SUM($F$814:$F$825))</f>
        <v>0</v>
      </c>
      <c r="H823">
        <f>F812/12</f>
        <v>150</v>
      </c>
      <c r="I823">
        <f>E823/SUM($E$814:$E$825)*L811+G823+H823</f>
        <v>443.3</v>
      </c>
      <c r="J823">
        <f>I823/H812</f>
        <v>0.0836415094339623</v>
      </c>
    </row>
    <row r="824" spans="1:10">
      <c r="A824" t="str">
        <f>DE_Base_Profile!A16</f>
        <v>11月</v>
      </c>
      <c r="B824">
        <f>DE_Base_Profile!B16</f>
        <v>0.0819</v>
      </c>
      <c r="C824">
        <f>L811*B824</f>
        <v>286.65</v>
      </c>
      <c r="D824">
        <f>1+IF(OR(D811="Air conditioning",D811="Heat pump (heating &amp; cooling)"),IF(DE_Base_Profile!D16=1,J812-1,0),0)+IF(OR(D811="Electric heating",D811="Heat pump (heating &amp; cooling)"),IF(DE_Base_Profile!E16=1,L812-1,0),0)</f>
        <v>1</v>
      </c>
      <c r="E824">
        <f t="shared" si="54"/>
        <v>286.65</v>
      </c>
      <c r="F824">
        <f>IF(D811="Electric heating",IF(DE_Base_Profile!E16=1,B824*L812,0),IF(D811="Heat pump (heating &amp; cooling)",IF(DE_Base_Profile!D16=1,B824*J812,0)+IF(DE_Base_Profile!E16=1,B824*L812,0),0))</f>
        <v>0</v>
      </c>
      <c r="G824">
        <f>IF(SUM($F$814:$F$825)=0,0,D812*F824/SUM($F$814:$F$825))</f>
        <v>0</v>
      </c>
      <c r="H824">
        <f>F812/12</f>
        <v>150</v>
      </c>
      <c r="I824">
        <f>E824/SUM($E$814:$E$825)*L811+G824+H824</f>
        <v>436.65</v>
      </c>
      <c r="J824">
        <f>I824/H812</f>
        <v>0.0823867924528302</v>
      </c>
    </row>
    <row r="825" spans="1:10">
      <c r="A825" t="str">
        <f>DE_Base_Profile!A17</f>
        <v>12月</v>
      </c>
      <c r="B825">
        <f>DE_Base_Profile!B17</f>
        <v>0.0796</v>
      </c>
      <c r="C825">
        <f>L811*B825</f>
        <v>278.6</v>
      </c>
      <c r="D825">
        <f>1+IF(OR(D811="Air conditioning",D811="Heat pump (heating &amp; cooling)"),IF(DE_Base_Profile!D17=1,J812-1,0),0)+IF(OR(D811="Electric heating",D811="Heat pump (heating &amp; cooling)"),IF(DE_Base_Profile!E17=1,L812-1,0),0)</f>
        <v>1</v>
      </c>
      <c r="E825">
        <f t="shared" si="54"/>
        <v>278.6</v>
      </c>
      <c r="F825">
        <f>IF(D811="Electric heating",IF(DE_Base_Profile!E17=1,B825*L812,0),IF(D811="Heat pump (heating &amp; cooling)",IF(DE_Base_Profile!D17=1,B825*J812,0)+IF(DE_Base_Profile!E17=1,B825*L812,0),0))</f>
        <v>0</v>
      </c>
      <c r="G825">
        <f>IF(SUM($F$814:$F$825)=0,0,D812*F825/SUM($F$814:$F$825))</f>
        <v>0</v>
      </c>
      <c r="H825">
        <f>F812/12</f>
        <v>150</v>
      </c>
      <c r="I825">
        <f>E825/SUM($E$814:$E$825)*L811+G825+H825</f>
        <v>428.6</v>
      </c>
      <c r="J825">
        <f>I825/H812</f>
        <v>0.0808679245283019</v>
      </c>
    </row>
    <row r="828" spans="1:10">
      <c r="A828">
        <f>DE_Base_Profile!H6</f>
        <v>0</v>
      </c>
      <c r="B828">
        <f>DE_Base_Profile!I6</f>
        <v>0.0301</v>
      </c>
      <c r="C828">
        <f>IF(DE_Base_Profile!J6=1,INDEX(DE_Lookups!$B$2:$B$4,MATCH(B811,DE_Lookups!$A$2:$A$4,0)),1)</f>
        <v>1</v>
      </c>
      <c r="D828">
        <f>IF(OR(D811="Air conditioning",D811="Heat pump (heating &amp; cooling)"),IF(DE_Base_Profile!K6=1,N812,1),1)*IF(OR(D811="Electric heating",D811="Heat pump (heating &amp; cooling)"),IF(DE_Base_Profile!L6=1,P812,1),1)</f>
        <v>1</v>
      </c>
      <c r="E828">
        <f t="shared" ref="E828:E851" si="55">B828*C828*D828</f>
        <v>0.0301</v>
      </c>
      <c r="F828">
        <f t="shared" ref="F828:F851" si="56">E828/SUM($E$828:$E$851)</f>
        <v>0.0364495035117462</v>
      </c>
      <c r="G828">
        <f>((L811+D812)/365)*F828</f>
        <v>0.349515787098936</v>
      </c>
      <c r="H828">
        <f>INDEX(DE_Base_Profile!$N$6:$Q$29,ROW()-827,MATCH(J811,DE_Base_Profile!$N$5:$Q$5,0))</f>
        <v>0.075</v>
      </c>
      <c r="I828">
        <f>(F812/365)*H828</f>
        <v>0.36986301369863</v>
      </c>
      <c r="J828">
        <f>(G828+I828)/(H812/365)</f>
        <v>0.0495421249605871</v>
      </c>
    </row>
    <row r="829" spans="1:10">
      <c r="A829">
        <f>DE_Base_Profile!H7</f>
        <v>1</v>
      </c>
      <c r="B829">
        <f>DE_Base_Profile!I7</f>
        <v>0.0258</v>
      </c>
      <c r="C829">
        <f>IF(DE_Base_Profile!J7=1,INDEX(DE_Lookups!$B$2:$B$4,MATCH(B811,DE_Lookups!$A$2:$A$4,0)),1)</f>
        <v>1</v>
      </c>
      <c r="D829">
        <f>IF(OR(D811="Air conditioning",D811="Heat pump (heating &amp; cooling)"),IF(DE_Base_Profile!K7=1,N812,1),1)*IF(OR(D811="Electric heating",D811="Heat pump (heating &amp; cooling)"),IF(DE_Base_Profile!L7=1,P812,1),1)</f>
        <v>1</v>
      </c>
      <c r="E829">
        <f t="shared" si="55"/>
        <v>0.0258</v>
      </c>
      <c r="F829">
        <f t="shared" si="56"/>
        <v>0.0312424315814967</v>
      </c>
      <c r="G829">
        <f>((L811+D812)/365)*F829</f>
        <v>0.299584960370517</v>
      </c>
      <c r="H829">
        <f>INDEX(DE_Base_Profile!$N$6:$Q$29,ROW()-827,MATCH(J811,DE_Base_Profile!$N$5:$Q$5,0))</f>
        <v>0.075</v>
      </c>
      <c r="I829">
        <f>(F812/365)*H829</f>
        <v>0.36986301369863</v>
      </c>
      <c r="J829">
        <f>(G829+I829)/(H812/365)</f>
        <v>0.0461034925538186</v>
      </c>
    </row>
    <row r="830" spans="1:10">
      <c r="A830">
        <f>DE_Base_Profile!H8</f>
        <v>2</v>
      </c>
      <c r="B830">
        <f>DE_Base_Profile!I8</f>
        <v>0.0239</v>
      </c>
      <c r="C830">
        <f>IF(DE_Base_Profile!J8=1,INDEX(DE_Lookups!$B$2:$B$4,MATCH(B811,DE_Lookups!$A$2:$A$4,0)),1)</f>
        <v>1</v>
      </c>
      <c r="D830">
        <f>IF(OR(D811="Air conditioning",D811="Heat pump (heating &amp; cooling)"),IF(DE_Base_Profile!K8=1,N812,1),1)*IF(OR(D811="Electric heating",D811="Heat pump (heating &amp; cooling)"),IF(DE_Base_Profile!L8=1,P812,1),1)</f>
        <v>1</v>
      </c>
      <c r="E830">
        <f t="shared" si="55"/>
        <v>0.0239</v>
      </c>
      <c r="F830">
        <f t="shared" si="56"/>
        <v>0.0289416323565028</v>
      </c>
      <c r="G830">
        <f>((L811+D812)/365)*F830</f>
        <v>0.277522502048657</v>
      </c>
      <c r="H830">
        <f>INDEX(DE_Base_Profile!$N$6:$Q$29,ROW()-827,MATCH(J811,DE_Base_Profile!$N$5:$Q$5,0))</f>
        <v>0.075</v>
      </c>
      <c r="I830">
        <f>(F812/365)*H830</f>
        <v>0.36986301369863</v>
      </c>
      <c r="J830">
        <f>(G830+I830)/(H812/365)</f>
        <v>0.0445840968392</v>
      </c>
    </row>
    <row r="831" spans="1:10">
      <c r="A831">
        <f>DE_Base_Profile!H9</f>
        <v>3</v>
      </c>
      <c r="B831">
        <f>DE_Base_Profile!I9</f>
        <v>0.0232</v>
      </c>
      <c r="C831">
        <f>IF(DE_Base_Profile!J9=1,INDEX(DE_Lookups!$B$2:$B$4,MATCH(B811,DE_Lookups!$A$2:$A$4,0)),1)</f>
        <v>1</v>
      </c>
      <c r="D831">
        <f>IF(OR(D811="Air conditioning",D811="Heat pump (heating &amp; cooling)"),IF(DE_Base_Profile!K9=1,N812,1),1)*IF(OR(D811="Electric heating",D811="Heat pump (heating &amp; cooling)"),IF(DE_Base_Profile!L9=1,P812,1),1)</f>
        <v>1</v>
      </c>
      <c r="E831">
        <f t="shared" si="55"/>
        <v>0.0232</v>
      </c>
      <c r="F831">
        <f t="shared" si="56"/>
        <v>0.0280939694841366</v>
      </c>
      <c r="G831">
        <f>((L811+D812)/365)*F831</f>
        <v>0.269394227930077</v>
      </c>
      <c r="H831">
        <f>INDEX(DE_Base_Profile!$N$6:$Q$29,ROW()-827,MATCH(J811,DE_Base_Profile!$N$5:$Q$5,0))</f>
        <v>0.075</v>
      </c>
      <c r="I831">
        <f>(F812/365)*H831</f>
        <v>0.36986301369863</v>
      </c>
      <c r="J831">
        <f>(G831+I831)/(H812/365)</f>
        <v>0.0440243194706562</v>
      </c>
    </row>
    <row r="832" spans="1:10">
      <c r="A832">
        <f>DE_Base_Profile!H10</f>
        <v>4</v>
      </c>
      <c r="B832">
        <f>DE_Base_Profile!I10</f>
        <v>0.0236</v>
      </c>
      <c r="C832">
        <f>IF(DE_Base_Profile!J10=1,INDEX(DE_Lookups!$B$2:$B$4,MATCH(B811,DE_Lookups!$A$2:$A$4,0)),1)</f>
        <v>1</v>
      </c>
      <c r="D832">
        <f>IF(OR(D811="Air conditioning",D811="Heat pump (heating &amp; cooling)"),IF(DE_Base_Profile!K10=1,N812,1),1)*IF(OR(D811="Electric heating",D811="Heat pump (heating &amp; cooling)"),IF(DE_Base_Profile!L10=1,P812,1),1)</f>
        <v>1</v>
      </c>
      <c r="E832">
        <f t="shared" si="55"/>
        <v>0.0236</v>
      </c>
      <c r="F832">
        <f t="shared" si="56"/>
        <v>0.0285783482683458</v>
      </c>
      <c r="G832">
        <f>((L811+D812)/365)*F832</f>
        <v>0.274038955997837</v>
      </c>
      <c r="H832">
        <f>INDEX(DE_Base_Profile!$N$6:$Q$29,ROW()-827,MATCH(J811,DE_Base_Profile!$N$5:$Q$5,0))</f>
        <v>0.075</v>
      </c>
      <c r="I832">
        <f>(F812/365)*H832</f>
        <v>0.36986301369863</v>
      </c>
      <c r="J832">
        <f>(G832+I832)/(H812/365)</f>
        <v>0.0443441922526812</v>
      </c>
    </row>
    <row r="833" spans="1:10">
      <c r="A833">
        <f>DE_Base_Profile!H11</f>
        <v>5</v>
      </c>
      <c r="B833">
        <f>DE_Base_Profile!I11</f>
        <v>0.0252</v>
      </c>
      <c r="C833">
        <f>IF(DE_Base_Profile!J11=1,INDEX(DE_Lookups!$B$2:$B$4,MATCH(B811,DE_Lookups!$A$2:$A$4,0)),1)</f>
        <v>1</v>
      </c>
      <c r="D833">
        <f>IF(OR(D811="Air conditioning",D811="Heat pump (heating &amp; cooling)"),IF(DE_Base_Profile!K11=1,N812,1),1)*IF(OR(D811="Electric heating",D811="Heat pump (heating &amp; cooling)"),IF(DE_Base_Profile!L11=1,P812,1),1)</f>
        <v>1</v>
      </c>
      <c r="E833">
        <f t="shared" si="55"/>
        <v>0.0252</v>
      </c>
      <c r="F833">
        <f t="shared" si="56"/>
        <v>0.0305158634051829</v>
      </c>
      <c r="G833">
        <f>((L811+D812)/365)*F833</f>
        <v>0.292617868268877</v>
      </c>
      <c r="H833">
        <f>INDEX(DE_Base_Profile!$N$6:$Q$29,ROW()-827,MATCH(J811,DE_Base_Profile!$N$5:$Q$5,0))</f>
        <v>0.075</v>
      </c>
      <c r="I833">
        <f>(F812/365)*H833</f>
        <v>0.36986301369863</v>
      </c>
      <c r="J833">
        <f>(G833+I833)/(H812/365)</f>
        <v>0.0456236833807811</v>
      </c>
    </row>
    <row r="834" spans="1:10">
      <c r="A834">
        <f>DE_Base_Profile!H12</f>
        <v>6</v>
      </c>
      <c r="B834">
        <f>DE_Base_Profile!I12</f>
        <v>0.03</v>
      </c>
      <c r="C834">
        <f>IF(DE_Base_Profile!J12=1,INDEX(DE_Lookups!$B$2:$B$4,MATCH(B811,DE_Lookups!$A$2:$A$4,0)),1)</f>
        <v>1</v>
      </c>
      <c r="D834">
        <f>IF(OR(D811="Air conditioning",D811="Heat pump (heating &amp; cooling)"),IF(DE_Base_Profile!K12=1,N812,1),1)*IF(OR(D811="Electric heating",D811="Heat pump (heating &amp; cooling)"),IF(DE_Base_Profile!L12=1,P812,1),1)</f>
        <v>1</v>
      </c>
      <c r="E834">
        <f t="shared" si="55"/>
        <v>0.03</v>
      </c>
      <c r="F834">
        <f t="shared" si="56"/>
        <v>0.0363284088156939</v>
      </c>
      <c r="G834">
        <f>((L811+D812)/365)*F834</f>
        <v>0.348354605081996</v>
      </c>
      <c r="H834">
        <f>INDEX(DE_Base_Profile!$N$6:$Q$29,ROW()-827,MATCH(J811,DE_Base_Profile!$N$5:$Q$5,0))</f>
        <v>0</v>
      </c>
      <c r="I834">
        <f>(F812/365)*H834</f>
        <v>0</v>
      </c>
      <c r="J834">
        <f>(G834+I834)/(H812/365)</f>
        <v>0.0239904586518733</v>
      </c>
    </row>
    <row r="835" spans="1:10">
      <c r="A835">
        <f>DE_Base_Profile!H13</f>
        <v>7</v>
      </c>
      <c r="B835">
        <f>DE_Base_Profile!I13</f>
        <v>0.0358</v>
      </c>
      <c r="C835">
        <f>IF(DE_Base_Profile!J13=1,INDEX(DE_Lookups!$B$2:$B$4,MATCH(B811,DE_Lookups!$A$2:$A$4,0)),1)</f>
        <v>1</v>
      </c>
      <c r="D835">
        <f>IF(OR(D811="Air conditioning",D811="Heat pump (heating &amp; cooling)"),IF(DE_Base_Profile!K13=1,N812,1),1)*IF(OR(D811="Electric heating",D811="Heat pump (heating &amp; cooling)"),IF(DE_Base_Profile!L13=1,P812,1),1)</f>
        <v>1</v>
      </c>
      <c r="E835">
        <f t="shared" si="55"/>
        <v>0.0358</v>
      </c>
      <c r="F835">
        <f t="shared" si="56"/>
        <v>0.043351901186728</v>
      </c>
      <c r="G835">
        <f>((L811+D812)/365)*F835</f>
        <v>0.415703162064515</v>
      </c>
      <c r="H835">
        <f>INDEX(DE_Base_Profile!$N$6:$Q$29,ROW()-827,MATCH(J811,DE_Base_Profile!$N$5:$Q$5,0))</f>
        <v>0</v>
      </c>
      <c r="I835">
        <f>(F812/365)*H835</f>
        <v>0</v>
      </c>
      <c r="J835">
        <f>(G835+I835)/(H812/365)</f>
        <v>0.0286286139912355</v>
      </c>
    </row>
    <row r="836" spans="1:10">
      <c r="A836">
        <f>DE_Base_Profile!H14</f>
        <v>8</v>
      </c>
      <c r="B836">
        <f>DE_Base_Profile!I14</f>
        <v>0.041</v>
      </c>
      <c r="C836">
        <f>IF(DE_Base_Profile!J14=1,INDEX(DE_Lookups!$B$2:$B$4,MATCH(B811,DE_Lookups!$A$2:$A$4,0)),1)</f>
        <v>1</v>
      </c>
      <c r="D836">
        <f>IF(OR(D811="Air conditioning",D811="Heat pump (heating &amp; cooling)"),IF(DE_Base_Profile!K14=1,N812,1),1)*IF(OR(D811="Electric heating",D811="Heat pump (heating &amp; cooling)"),IF(DE_Base_Profile!L14=1,P812,1),1)</f>
        <v>1</v>
      </c>
      <c r="E836">
        <f t="shared" si="55"/>
        <v>0.041</v>
      </c>
      <c r="F836">
        <f t="shared" si="56"/>
        <v>0.0496488253814483</v>
      </c>
      <c r="G836">
        <f>((L811+D812)/365)*F836</f>
        <v>0.476084626945395</v>
      </c>
      <c r="H836">
        <f>INDEX(DE_Base_Profile!$N$6:$Q$29,ROW()-827,MATCH(J811,DE_Base_Profile!$N$5:$Q$5,0))</f>
        <v>0</v>
      </c>
      <c r="I836">
        <f>(F812/365)*H836</f>
        <v>0</v>
      </c>
      <c r="J836">
        <f>(G836+I836)/(H812/365)</f>
        <v>0.0327869601575602</v>
      </c>
    </row>
    <row r="837" spans="1:10">
      <c r="A837">
        <f>DE_Base_Profile!H15</f>
        <v>9</v>
      </c>
      <c r="B837">
        <f>DE_Base_Profile!I15</f>
        <v>0.0446</v>
      </c>
      <c r="C837">
        <f>IF(DE_Base_Profile!J15=1,INDEX(DE_Lookups!$B$2:$B$4,MATCH(B811,DE_Lookups!$A$2:$A$4,0)),1)</f>
        <v>0.6</v>
      </c>
      <c r="D837">
        <f>IF(OR(D811="Air conditioning",D811="Heat pump (heating &amp; cooling)"),IF(DE_Base_Profile!K15=1,N812,1),1)*IF(OR(D811="Electric heating",D811="Heat pump (heating &amp; cooling)"),IF(DE_Base_Profile!L15=1,P812,1),1)</f>
        <v>1</v>
      </c>
      <c r="E837">
        <f t="shared" si="55"/>
        <v>0.02676</v>
      </c>
      <c r="F837">
        <f t="shared" si="56"/>
        <v>0.0324049406635989</v>
      </c>
      <c r="G837">
        <f>((L811+D812)/365)*F837</f>
        <v>0.31073230773314</v>
      </c>
      <c r="H837">
        <f>INDEX(DE_Base_Profile!$N$6:$Q$29,ROW()-827,MATCH(J811,DE_Base_Profile!$N$5:$Q$5,0))</f>
        <v>0</v>
      </c>
      <c r="I837">
        <f>(F812/365)*H837</f>
        <v>0</v>
      </c>
      <c r="J837">
        <f>(G837+I837)/(H812/365)</f>
        <v>0.021399489117471</v>
      </c>
    </row>
    <row r="838" spans="1:10">
      <c r="A838">
        <f>DE_Base_Profile!H16</f>
        <v>10</v>
      </c>
      <c r="B838">
        <f>DE_Base_Profile!I16</f>
        <v>0.0474</v>
      </c>
      <c r="C838">
        <f>IF(DE_Base_Profile!J16=1,INDEX(DE_Lookups!$B$2:$B$4,MATCH(B811,DE_Lookups!$A$2:$A$4,0)),1)</f>
        <v>0.6</v>
      </c>
      <c r="D838">
        <f>IF(OR(D811="Air conditioning",D811="Heat pump (heating &amp; cooling)"),IF(DE_Base_Profile!K16=1,N812,1),1)*IF(OR(D811="Electric heating",D811="Heat pump (heating &amp; cooling)"),IF(DE_Base_Profile!L16=1,P812,1),1)</f>
        <v>1</v>
      </c>
      <c r="E838">
        <f t="shared" si="55"/>
        <v>0.02844</v>
      </c>
      <c r="F838">
        <f t="shared" si="56"/>
        <v>0.0344393315572778</v>
      </c>
      <c r="G838">
        <f>((L811+D812)/365)*F838</f>
        <v>0.330240165617732</v>
      </c>
      <c r="H838">
        <f>INDEX(DE_Base_Profile!$N$6:$Q$29,ROW()-827,MATCH(J811,DE_Base_Profile!$N$5:$Q$5,0))</f>
        <v>0.0666666666666667</v>
      </c>
      <c r="I838">
        <f>(F812/365)*H838</f>
        <v>0.328767123287671</v>
      </c>
      <c r="J838">
        <f>(G838+I838)/(H812/365)</f>
        <v>0.0453844642359382</v>
      </c>
    </row>
    <row r="839" spans="1:10">
      <c r="A839">
        <f>DE_Base_Profile!H17</f>
        <v>11</v>
      </c>
      <c r="B839">
        <f>DE_Base_Profile!I17</f>
        <v>0.0518</v>
      </c>
      <c r="C839">
        <f>IF(DE_Base_Profile!J17=1,INDEX(DE_Lookups!$B$2:$B$4,MATCH(B811,DE_Lookups!$A$2:$A$4,0)),1)</f>
        <v>0.6</v>
      </c>
      <c r="D839">
        <f>IF(OR(D811="Air conditioning",D811="Heat pump (heating &amp; cooling)"),IF(DE_Base_Profile!K17=1,N812,1),1)*IF(OR(D811="Electric heating",D811="Heat pump (heating &amp; cooling)"),IF(DE_Base_Profile!L17=1,P812,1),1)</f>
        <v>1</v>
      </c>
      <c r="E839">
        <f t="shared" si="55"/>
        <v>0.03108</v>
      </c>
      <c r="F839">
        <f t="shared" si="56"/>
        <v>0.0376362315330588</v>
      </c>
      <c r="G839">
        <f>((L811+D812)/365)*F839</f>
        <v>0.360895370864948</v>
      </c>
      <c r="H839">
        <f>INDEX(DE_Base_Profile!$N$6:$Q$29,ROW()-827,MATCH(J811,DE_Base_Profile!$N$5:$Q$5,0))</f>
        <v>0.0666666666666667</v>
      </c>
      <c r="I839">
        <f>(F812/365)*H839</f>
        <v>0.328767123287671</v>
      </c>
      <c r="J839">
        <f>(G839+I839)/(H812/365)</f>
        <v>0.047495624597303</v>
      </c>
    </row>
    <row r="840" spans="1:10">
      <c r="A840">
        <f>DE_Base_Profile!H18</f>
        <v>12</v>
      </c>
      <c r="B840">
        <f>DE_Base_Profile!I18</f>
        <v>0.0513</v>
      </c>
      <c r="C840">
        <f>IF(DE_Base_Profile!J18=1,INDEX(DE_Lookups!$B$2:$B$4,MATCH(B811,DE_Lookups!$A$2:$A$4,0)),1)</f>
        <v>0.6</v>
      </c>
      <c r="D840">
        <f>IF(OR(D811="Air conditioning",D811="Heat pump (heating &amp; cooling)"),IF(DE_Base_Profile!K18=1,N812,1),1)*IF(OR(D811="Electric heating",D811="Heat pump (heating &amp; cooling)"),IF(DE_Base_Profile!L18=1,P812,1),1)</f>
        <v>1</v>
      </c>
      <c r="E840">
        <f t="shared" si="55"/>
        <v>0.03078</v>
      </c>
      <c r="F840">
        <f t="shared" si="56"/>
        <v>0.0372729474449019</v>
      </c>
      <c r="G840">
        <f>((L811+D812)/365)*F840</f>
        <v>0.357411824814128</v>
      </c>
      <c r="H840">
        <f>INDEX(DE_Base_Profile!$N$6:$Q$29,ROW()-827,MATCH(J811,DE_Base_Profile!$N$5:$Q$5,0))</f>
        <v>0.0666666666666667</v>
      </c>
      <c r="I840">
        <f>(F812/365)*H840</f>
        <v>0.328767123287671</v>
      </c>
      <c r="J840">
        <f>(G840+I840)/(H812/365)</f>
        <v>0.0472557200107843</v>
      </c>
    </row>
    <row r="841" spans="1:10">
      <c r="A841">
        <f>DE_Base_Profile!H19</f>
        <v>13</v>
      </c>
      <c r="B841">
        <f>DE_Base_Profile!I19</f>
        <v>0.0481</v>
      </c>
      <c r="C841">
        <f>IF(DE_Base_Profile!J19=1,INDEX(DE_Lookups!$B$2:$B$4,MATCH(B811,DE_Lookups!$A$2:$A$4,0)),1)</f>
        <v>0.6</v>
      </c>
      <c r="D841">
        <f>IF(OR(D811="Air conditioning",D811="Heat pump (heating &amp; cooling)"),IF(DE_Base_Profile!K19=1,N812,1),1)*IF(OR(D811="Electric heating",D811="Heat pump (heating &amp; cooling)"),IF(DE_Base_Profile!L19=1,P812,1),1)</f>
        <v>1</v>
      </c>
      <c r="E841">
        <f t="shared" si="55"/>
        <v>0.02886</v>
      </c>
      <c r="F841">
        <f t="shared" si="56"/>
        <v>0.0349479292806975</v>
      </c>
      <c r="G841">
        <f>((L811+D812)/365)*F841</f>
        <v>0.33511713008888</v>
      </c>
      <c r="H841">
        <f>INDEX(DE_Base_Profile!$N$6:$Q$29,ROW()-827,MATCH(J811,DE_Base_Profile!$N$5:$Q$5,0))</f>
        <v>0.0666666666666667</v>
      </c>
      <c r="I841">
        <f>(F812/365)*H841</f>
        <v>0.328767123287671</v>
      </c>
      <c r="J841">
        <f>(G841+I841)/(H812/365)</f>
        <v>0.0457203306570644</v>
      </c>
    </row>
    <row r="842" spans="1:10">
      <c r="A842">
        <f>DE_Base_Profile!H20</f>
        <v>14</v>
      </c>
      <c r="B842">
        <f>DE_Base_Profile!I20</f>
        <v>0.0459</v>
      </c>
      <c r="C842">
        <f>IF(DE_Base_Profile!J20=1,INDEX(DE_Lookups!$B$2:$B$4,MATCH(B811,DE_Lookups!$A$2:$A$4,0)),1)</f>
        <v>0.6</v>
      </c>
      <c r="D842">
        <f>IF(OR(D811="Air conditioning",D811="Heat pump (heating &amp; cooling)"),IF(DE_Base_Profile!K20=1,N812,1),1)*IF(OR(D811="Electric heating",D811="Heat pump (heating &amp; cooling)"),IF(DE_Base_Profile!L20=1,P812,1),1)</f>
        <v>1</v>
      </c>
      <c r="E842">
        <f t="shared" si="55"/>
        <v>0.02754</v>
      </c>
      <c r="F842">
        <f t="shared" si="56"/>
        <v>0.033349479292807</v>
      </c>
      <c r="G842">
        <f>((L811+D812)/365)*F842</f>
        <v>0.319789527465272</v>
      </c>
      <c r="H842">
        <f>INDEX(DE_Base_Profile!$N$6:$Q$29,ROW()-827,MATCH(J811,DE_Base_Profile!$N$5:$Q$5,0))</f>
        <v>0.0666666666666667</v>
      </c>
      <c r="I842">
        <f>(F812/365)*H842</f>
        <v>0.328767123287671</v>
      </c>
      <c r="J842">
        <f>(G842+I842)/(H812/365)</f>
        <v>0.044664750476382</v>
      </c>
    </row>
    <row r="843" spans="1:10">
      <c r="A843">
        <f>DE_Base_Profile!H21</f>
        <v>15</v>
      </c>
      <c r="B843">
        <f>DE_Base_Profile!I21</f>
        <v>0.0454</v>
      </c>
      <c r="C843">
        <f>IF(DE_Base_Profile!J21=1,INDEX(DE_Lookups!$B$2:$B$4,MATCH(B811,DE_Lookups!$A$2:$A$4,0)),1)</f>
        <v>0.6</v>
      </c>
      <c r="D843">
        <f>IF(OR(D811="Air conditioning",D811="Heat pump (heating &amp; cooling)"),IF(DE_Base_Profile!K21=1,N812,1),1)*IF(OR(D811="Electric heating",D811="Heat pump (heating &amp; cooling)"),IF(DE_Base_Profile!L21=1,P812,1),1)</f>
        <v>1</v>
      </c>
      <c r="E843">
        <f t="shared" si="55"/>
        <v>0.02724</v>
      </c>
      <c r="F843">
        <f t="shared" si="56"/>
        <v>0.03298619520465</v>
      </c>
      <c r="G843">
        <f>((L811+D812)/365)*F843</f>
        <v>0.316305981414452</v>
      </c>
      <c r="H843">
        <f>INDEX(DE_Base_Profile!$N$6:$Q$29,ROW()-827,MATCH(J811,DE_Base_Profile!$N$5:$Q$5,0))</f>
        <v>0.0666666666666667</v>
      </c>
      <c r="I843">
        <f>(F812/365)*H843</f>
        <v>0.328767123287671</v>
      </c>
      <c r="J843">
        <f>(G843+I843)/(H812/365)</f>
        <v>0.0444248458898632</v>
      </c>
    </row>
    <row r="844" spans="1:10">
      <c r="A844">
        <f>DE_Base_Profile!H22</f>
        <v>16</v>
      </c>
      <c r="B844">
        <f>DE_Base_Profile!I22</f>
        <v>0.0475</v>
      </c>
      <c r="C844">
        <f>IF(DE_Base_Profile!J22=1,INDEX(DE_Lookups!$B$2:$B$4,MATCH(B811,DE_Lookups!$A$2:$A$4,0)),1)</f>
        <v>0.6</v>
      </c>
      <c r="D844">
        <f>IF(OR(D811="Air conditioning",D811="Heat pump (heating &amp; cooling)"),IF(DE_Base_Profile!K22=1,N812,1),1)*IF(OR(D811="Electric heating",D811="Heat pump (heating &amp; cooling)"),IF(DE_Base_Profile!L22=1,P812,1),1)</f>
        <v>1</v>
      </c>
      <c r="E844">
        <f t="shared" si="55"/>
        <v>0.0285</v>
      </c>
      <c r="F844">
        <f t="shared" si="56"/>
        <v>0.0345119883749092</v>
      </c>
      <c r="G844">
        <f>((L811+D812)/365)*F844</f>
        <v>0.330936874827896</v>
      </c>
      <c r="H844">
        <f>INDEX(DE_Base_Profile!$N$6:$Q$29,ROW()-827,MATCH(J811,DE_Base_Profile!$N$5:$Q$5,0))</f>
        <v>0</v>
      </c>
      <c r="I844">
        <f>(F812/365)*H844</f>
        <v>0</v>
      </c>
      <c r="J844">
        <f>(G844+I844)/(H812/365)</f>
        <v>0.0227909357192796</v>
      </c>
    </row>
    <row r="845" spans="1:10">
      <c r="A845">
        <f>DE_Base_Profile!H23</f>
        <v>17</v>
      </c>
      <c r="B845">
        <f>DE_Base_Profile!I23</f>
        <v>0.0535</v>
      </c>
      <c r="C845">
        <f>IF(DE_Base_Profile!J23=1,INDEX(DE_Lookups!$B$2:$B$4,MATCH(B811,DE_Lookups!$A$2:$A$4,0)),1)</f>
        <v>0.6</v>
      </c>
      <c r="D845">
        <f>IF(OR(D811="Air conditioning",D811="Heat pump (heating &amp; cooling)"),IF(DE_Base_Profile!K23=1,N812,1),1)*IF(OR(D811="Electric heating",D811="Heat pump (heating &amp; cooling)"),IF(DE_Base_Profile!L23=1,P812,1),1)</f>
        <v>1</v>
      </c>
      <c r="E845">
        <f t="shared" si="55"/>
        <v>0.0321</v>
      </c>
      <c r="F845">
        <f t="shared" si="56"/>
        <v>0.0388713974327924</v>
      </c>
      <c r="G845">
        <f>((L811+D812)/365)*F845</f>
        <v>0.372739427437736</v>
      </c>
      <c r="H845">
        <f>INDEX(DE_Base_Profile!$N$6:$Q$29,ROW()-827,MATCH(J811,DE_Base_Profile!$N$5:$Q$5,0))</f>
        <v>0</v>
      </c>
      <c r="I845">
        <f>(F812/365)*H845</f>
        <v>0</v>
      </c>
      <c r="J845">
        <f>(G845+I845)/(H812/365)</f>
        <v>0.0256697907575044</v>
      </c>
    </row>
    <row r="846" spans="1:10">
      <c r="A846">
        <f>DE_Base_Profile!H24</f>
        <v>18</v>
      </c>
      <c r="B846">
        <f>DE_Base_Profile!I24</f>
        <v>0.0587</v>
      </c>
      <c r="C846">
        <f>IF(DE_Base_Profile!J24=1,INDEX(DE_Lookups!$B$2:$B$4,MATCH(B811,DE_Lookups!$A$2:$A$4,0)),1)</f>
        <v>1</v>
      </c>
      <c r="D846">
        <f>IF(OR(D811="Air conditioning",D811="Heat pump (heating &amp; cooling)"),IF(DE_Base_Profile!K24=1,N812,1),1)*IF(OR(D811="Electric heating",D811="Heat pump (heating &amp; cooling)"),IF(DE_Base_Profile!L24=1,P812,1),1)</f>
        <v>1</v>
      </c>
      <c r="E846">
        <f t="shared" si="55"/>
        <v>0.0587</v>
      </c>
      <c r="F846">
        <f t="shared" si="56"/>
        <v>0.0710825865827077</v>
      </c>
      <c r="G846">
        <f>((L811+D812)/365)*F846</f>
        <v>0.681613843943772</v>
      </c>
      <c r="H846">
        <f>INDEX(DE_Base_Profile!$N$6:$Q$29,ROW()-827,MATCH(J811,DE_Base_Profile!$N$5:$Q$5,0))</f>
        <v>0</v>
      </c>
      <c r="I846">
        <f>(F812/365)*H846</f>
        <v>0</v>
      </c>
      <c r="J846">
        <f>(G846+I846)/(H812/365)</f>
        <v>0.0469413307621654</v>
      </c>
    </row>
    <row r="847" spans="1:10">
      <c r="A847">
        <f>DE_Base_Profile!H25</f>
        <v>19</v>
      </c>
      <c r="B847">
        <f>DE_Base_Profile!I25</f>
        <v>0.0591</v>
      </c>
      <c r="C847">
        <f>IF(DE_Base_Profile!J25=1,INDEX(DE_Lookups!$B$2:$B$4,MATCH(B811,DE_Lookups!$A$2:$A$4,0)),1)</f>
        <v>1</v>
      </c>
      <c r="D847">
        <f>IF(OR(D811="Air conditioning",D811="Heat pump (heating &amp; cooling)"),IF(DE_Base_Profile!K25=1,N812,1),1)*IF(OR(D811="Electric heating",D811="Heat pump (heating &amp; cooling)"),IF(DE_Base_Profile!L25=1,P812,1),1)</f>
        <v>1</v>
      </c>
      <c r="E847">
        <f t="shared" si="55"/>
        <v>0.0591</v>
      </c>
      <c r="F847">
        <f t="shared" si="56"/>
        <v>0.0715669653669169</v>
      </c>
      <c r="G847">
        <f>((L811+D812)/365)*F847</f>
        <v>0.686258572011532</v>
      </c>
      <c r="H847">
        <f>INDEX(DE_Base_Profile!$N$6:$Q$29,ROW()-827,MATCH(J811,DE_Base_Profile!$N$5:$Q$5,0))</f>
        <v>0</v>
      </c>
      <c r="I847">
        <f>(F812/365)*H847</f>
        <v>0</v>
      </c>
      <c r="J847">
        <f>(G847+I847)/(H812/365)</f>
        <v>0.0472612035441904</v>
      </c>
    </row>
    <row r="848" spans="1:10">
      <c r="A848">
        <f>DE_Base_Profile!H26</f>
        <v>20</v>
      </c>
      <c r="B848">
        <f>DE_Base_Profile!I26</f>
        <v>0.0556</v>
      </c>
      <c r="C848">
        <f>IF(DE_Base_Profile!J26=1,INDEX(DE_Lookups!$B$2:$B$4,MATCH(B811,DE_Lookups!$A$2:$A$4,0)),1)</f>
        <v>1</v>
      </c>
      <c r="D848">
        <f>IF(OR(D811="Air conditioning",D811="Heat pump (heating &amp; cooling)"),IF(DE_Base_Profile!K26=1,N812,1),1)*IF(OR(D811="Electric heating",D811="Heat pump (heating &amp; cooling)"),IF(DE_Base_Profile!L26=1,P812,1),1)</f>
        <v>1</v>
      </c>
      <c r="E848">
        <f t="shared" si="55"/>
        <v>0.0556</v>
      </c>
      <c r="F848">
        <f t="shared" si="56"/>
        <v>0.067328651005086</v>
      </c>
      <c r="G848">
        <f>((L811+D812)/365)*F848</f>
        <v>0.645617201418633</v>
      </c>
      <c r="H848">
        <f>INDEX(DE_Base_Profile!$N$6:$Q$29,ROW()-827,MATCH(J811,DE_Base_Profile!$N$5:$Q$5,0))</f>
        <v>0</v>
      </c>
      <c r="I848">
        <f>(F812/365)*H848</f>
        <v>0</v>
      </c>
      <c r="J848">
        <f>(G848+I848)/(H812/365)</f>
        <v>0.0444623167014719</v>
      </c>
    </row>
    <row r="849" spans="1:16">
      <c r="A849">
        <f>DE_Base_Profile!H27</f>
        <v>21</v>
      </c>
      <c r="B849">
        <f>DE_Base_Profile!I27</f>
        <v>0.0508</v>
      </c>
      <c r="C849">
        <f>IF(DE_Base_Profile!J27=1,INDEX(DE_Lookups!$B$2:$B$4,MATCH(B811,DE_Lookups!$A$2:$A$4,0)),1)</f>
        <v>1</v>
      </c>
      <c r="D849">
        <f>IF(OR(D811="Air conditioning",D811="Heat pump (heating &amp; cooling)"),IF(DE_Base_Profile!K27=1,N812,1),1)*IF(OR(D811="Electric heating",D811="Heat pump (heating &amp; cooling)"),IF(DE_Base_Profile!L27=1,P812,1),1)</f>
        <v>1</v>
      </c>
      <c r="E849">
        <f t="shared" si="55"/>
        <v>0.0508</v>
      </c>
      <c r="F849">
        <f t="shared" si="56"/>
        <v>0.061516105594575</v>
      </c>
      <c r="G849">
        <f>((L811+D812)/365)*F849</f>
        <v>0.589880464605513</v>
      </c>
      <c r="H849">
        <f>INDEX(DE_Base_Profile!$N$6:$Q$29,ROW()-827,MATCH(J811,DE_Base_Profile!$N$5:$Q$5,0))</f>
        <v>0</v>
      </c>
      <c r="I849">
        <f>(F812/365)*H849</f>
        <v>0</v>
      </c>
      <c r="J849">
        <f>(G849+I849)/(H812/365)</f>
        <v>0.0406238433171721</v>
      </c>
    </row>
    <row r="850" spans="1:16">
      <c r="A850">
        <f>DE_Base_Profile!H28</f>
        <v>22</v>
      </c>
      <c r="B850">
        <f>DE_Base_Profile!I28</f>
        <v>0.0451</v>
      </c>
      <c r="C850">
        <f>IF(DE_Base_Profile!J28=1,INDEX(DE_Lookups!$B$2:$B$4,MATCH(B811,DE_Lookups!$A$2:$A$4,0)),1)</f>
        <v>1</v>
      </c>
      <c r="D850">
        <f>IF(OR(D811="Air conditioning",D811="Heat pump (heating &amp; cooling)"),IF(DE_Base_Profile!K28=1,N812,1),1)*IF(OR(D811="Electric heating",D811="Heat pump (heating &amp; cooling)"),IF(DE_Base_Profile!L28=1,P812,1),1)</f>
        <v>1</v>
      </c>
      <c r="E850">
        <f t="shared" si="55"/>
        <v>0.0451</v>
      </c>
      <c r="F850">
        <f t="shared" si="56"/>
        <v>0.0546137079195931</v>
      </c>
      <c r="G850">
        <f>((L811+D812)/365)*F850</f>
        <v>0.523693089639934</v>
      </c>
      <c r="H850">
        <f>INDEX(DE_Base_Profile!$N$6:$Q$29,ROW()-827,MATCH(J811,DE_Base_Profile!$N$5:$Q$5,0))</f>
        <v>0.075</v>
      </c>
      <c r="I850">
        <f>(F812/365)*H850</f>
        <v>0.36986301369863</v>
      </c>
      <c r="J850">
        <f>(G850+I850)/(H812/365)</f>
        <v>0.0615373542865238</v>
      </c>
    </row>
    <row r="851" spans="1:16">
      <c r="A851">
        <f>DE_Base_Profile!H29</f>
        <v>23</v>
      </c>
      <c r="B851">
        <f>DE_Base_Profile!I29</f>
        <v>0.0366</v>
      </c>
      <c r="C851">
        <f>IF(DE_Base_Profile!J29=1,INDEX(DE_Lookups!$B$2:$B$4,MATCH(B811,DE_Lookups!$A$2:$A$4,0)),1)</f>
        <v>1</v>
      </c>
      <c r="D851">
        <f>IF(OR(D811="Air conditioning",D811="Heat pump (heating &amp; cooling)"),IF(DE_Base_Profile!K29=1,N812,1),1)*IF(OR(D811="Electric heating",D811="Heat pump (heating &amp; cooling)"),IF(DE_Base_Profile!L29=1,P812,1),1)</f>
        <v>1</v>
      </c>
      <c r="E851">
        <f t="shared" si="55"/>
        <v>0.0366</v>
      </c>
      <c r="F851">
        <f t="shared" si="56"/>
        <v>0.0443206587551465</v>
      </c>
      <c r="G851">
        <f>((L811+D812)/365)*F851</f>
        <v>0.424992618200035</v>
      </c>
      <c r="H851">
        <f>INDEX(DE_Base_Profile!$N$6:$Q$29,ROW()-827,MATCH(J811,DE_Base_Profile!$N$5:$Q$5,0))</f>
        <v>0.075</v>
      </c>
      <c r="I851">
        <f>(F812/365)*H851</f>
        <v>0.36986301369863</v>
      </c>
      <c r="J851">
        <f>(G851+I851)/(H812/365)</f>
        <v>0.054740057668493</v>
      </c>
    </row>
    <row r="856" spans="1:16">
      <c r="A856" t="s">
        <v>51</v>
      </c>
      <c r="B856" t="str">
        <f>DE_Option_Monthly!C23</f>
        <v>Mostly away during the day</v>
      </c>
      <c r="C856" t="s">
        <v>188</v>
      </c>
      <c r="D856" t="str">
        <f>DE_Option_Monthly!D23</f>
        <v>No heating or cooling system</v>
      </c>
      <c r="E856" t="s">
        <v>68</v>
      </c>
      <c r="F856" t="str">
        <f>DE_Option_Monthly!E23</f>
        <v>Medium</v>
      </c>
      <c r="G856" t="s">
        <v>98</v>
      </c>
      <c r="H856" t="str">
        <f>DE_Option_Monthly!F23</f>
        <v>10,000 km</v>
      </c>
      <c r="I856" t="s">
        <v>289</v>
      </c>
      <c r="J856" t="str">
        <f>DE_Option_Monthly!G23</f>
        <v>Mostly daytime</v>
      </c>
      <c r="K856" t="s">
        <v>290</v>
      </c>
      <c r="L856">
        <f>DE_Option_Monthly!$B$1</f>
        <v>3500</v>
      </c>
    </row>
    <row r="857" spans="1:16">
      <c r="A857" t="s">
        <v>291</v>
      </c>
      <c r="B857">
        <f>INDEX(DE_Lookups!$E$2:$E$5,MATCH(F856,DE_Lookups!$D$2:$D$5,0))</f>
        <v>1</v>
      </c>
      <c r="C857" t="s">
        <v>292</v>
      </c>
      <c r="D857">
        <f>IF(OR(D856="Electric heating",D856="Heat pump (heating &amp; cooling)"),INDEX(DE_Lookups!$L$2:$L$5,MATCH(D856,DE_Lookups!$K$2:$K$5,0))*B857,0)</f>
        <v>0</v>
      </c>
      <c r="E857" t="s">
        <v>293</v>
      </c>
      <c r="F857">
        <f>INDEX(DE_Lookups!$O$2:$O$7,MATCH(H856,DE_Lookups!$N$2:$N$7,0))*0.18</f>
        <v>1800</v>
      </c>
      <c r="G857" t="s">
        <v>294</v>
      </c>
      <c r="H857">
        <f>L856+D857+F857</f>
        <v>5300</v>
      </c>
      <c r="I857" t="s">
        <v>295</v>
      </c>
      <c r="J857">
        <f>INDEX(DE_Lookups!$F$2:$F$5,MATCH(F856,DE_Lookups!$D$2:$D$5,0))</f>
        <v>1.1</v>
      </c>
      <c r="K857" t="s">
        <v>296</v>
      </c>
      <c r="L857">
        <f>INDEX(DE_Lookups!$G$2:$G$5,MATCH(F856,DE_Lookups!$D$2:$D$5,0))</f>
        <v>1.15</v>
      </c>
      <c r="M857" t="s">
        <v>297</v>
      </c>
      <c r="N857">
        <f>INDEX(DE_Lookups!$H$2:$H$5,MATCH(F856,DE_Lookups!$D$2:$D$5,0))</f>
        <v>1.2</v>
      </c>
      <c r="O857" t="s">
        <v>298</v>
      </c>
      <c r="P857">
        <f>INDEX(DE_Lookups!$I$2:$I$5,MATCH(F856,DE_Lookups!$D$2:$D$5,0))</f>
        <v>1.15</v>
      </c>
    </row>
    <row r="859" spans="1:16">
      <c r="A859" t="str">
        <f>DE_Base_Profile!A6</f>
        <v>1月</v>
      </c>
      <c r="B859">
        <f>DE_Base_Profile!B6</f>
        <v>0.0789</v>
      </c>
      <c r="C859">
        <f>L856*B859</f>
        <v>276.15</v>
      </c>
      <c r="D859">
        <f>1+IF(OR(D856="Air conditioning",D856="Heat pump (heating &amp; cooling)"),IF(DE_Base_Profile!D6=1,J857-1,0),0)+IF(OR(D856="Electric heating",D856="Heat pump (heating &amp; cooling)"),IF(DE_Base_Profile!E6=1,L857-1,0),0)</f>
        <v>1</v>
      </c>
      <c r="E859">
        <f t="shared" ref="E859:E870" si="57">C859*D859</f>
        <v>276.15</v>
      </c>
      <c r="F859">
        <f>IF(D856="Electric heating",IF(DE_Base_Profile!E6=1,B859*L857,0),IF(D856="Heat pump (heating &amp; cooling)",IF(DE_Base_Profile!D6=1,B859*J857,0)+IF(DE_Base_Profile!E6=1,B859*L857,0),0))</f>
        <v>0</v>
      </c>
      <c r="G859">
        <f>IF(SUM($F$859:$F$870)=0,0,D857*F859/SUM($F$859:$F$870))</f>
        <v>0</v>
      </c>
      <c r="H859">
        <f>F857/12</f>
        <v>150</v>
      </c>
      <c r="I859">
        <f>E859/SUM($E$859:$E$870)*L856+G859+H859</f>
        <v>426.15</v>
      </c>
      <c r="J859">
        <f>I859/H857</f>
        <v>0.0804056603773585</v>
      </c>
    </row>
    <row r="860" spans="1:16">
      <c r="A860" t="str">
        <f>DE_Base_Profile!A7</f>
        <v>2月</v>
      </c>
      <c r="B860">
        <f>DE_Base_Profile!B7</f>
        <v>0.0791</v>
      </c>
      <c r="C860">
        <f>L856*B860</f>
        <v>276.85</v>
      </c>
      <c r="D860">
        <f>1+IF(OR(D856="Air conditioning",D856="Heat pump (heating &amp; cooling)"),IF(DE_Base_Profile!D7=1,J857-1,0),0)+IF(OR(D856="Electric heating",D856="Heat pump (heating &amp; cooling)"),IF(DE_Base_Profile!E7=1,L857-1,0),0)</f>
        <v>1</v>
      </c>
      <c r="E860">
        <f t="shared" si="57"/>
        <v>276.85</v>
      </c>
      <c r="F860">
        <f>IF(D856="Electric heating",IF(DE_Base_Profile!E7=1,B860*L857,0),IF(D856="Heat pump (heating &amp; cooling)",IF(DE_Base_Profile!D7=1,B860*J857,0)+IF(DE_Base_Profile!E7=1,B860*L857,0),0))</f>
        <v>0</v>
      </c>
      <c r="G860">
        <f>IF(SUM($F$859:$F$870)=0,0,D857*F860/SUM($F$859:$F$870))</f>
        <v>0</v>
      </c>
      <c r="H860">
        <f>F857/12</f>
        <v>150</v>
      </c>
      <c r="I860">
        <f>E860/SUM($E$859:$E$870)*L856+G860+H860</f>
        <v>426.85</v>
      </c>
      <c r="J860">
        <f>I860/H857</f>
        <v>0.0805377358490566</v>
      </c>
    </row>
    <row r="861" spans="1:16">
      <c r="A861" t="str">
        <f>DE_Base_Profile!A8</f>
        <v>3月</v>
      </c>
      <c r="B861">
        <f>DE_Base_Profile!B8</f>
        <v>0.0773</v>
      </c>
      <c r="C861">
        <f>L856*B861</f>
        <v>270.55</v>
      </c>
      <c r="D861">
        <f>1+IF(OR(D856="Air conditioning",D856="Heat pump (heating &amp; cooling)"),IF(DE_Base_Profile!D8=1,J857-1,0),0)+IF(OR(D856="Electric heating",D856="Heat pump (heating &amp; cooling)"),IF(DE_Base_Profile!E8=1,L857-1,0),0)</f>
        <v>1</v>
      </c>
      <c r="E861">
        <f t="shared" si="57"/>
        <v>270.55</v>
      </c>
      <c r="F861">
        <f>IF(D856="Electric heating",IF(DE_Base_Profile!E8=1,B861*L857,0),IF(D856="Heat pump (heating &amp; cooling)",IF(DE_Base_Profile!D8=1,B861*J857,0)+IF(DE_Base_Profile!E8=1,B861*L857,0),0))</f>
        <v>0</v>
      </c>
      <c r="G861">
        <f>IF(SUM($F$859:$F$870)=0,0,D857*F861/SUM($F$859:$F$870))</f>
        <v>0</v>
      </c>
      <c r="H861">
        <f>F857/12</f>
        <v>150</v>
      </c>
      <c r="I861">
        <f>E861/SUM($E$859:$E$870)*L856+G861+H861</f>
        <v>420.55</v>
      </c>
      <c r="J861">
        <f>I861/H857</f>
        <v>0.0793490566037736</v>
      </c>
    </row>
    <row r="862" spans="1:16">
      <c r="A862" t="str">
        <f>DE_Base_Profile!A9</f>
        <v>4月</v>
      </c>
      <c r="B862">
        <f>DE_Base_Profile!B9</f>
        <v>0.0822</v>
      </c>
      <c r="C862">
        <f>L856*B862</f>
        <v>287.7</v>
      </c>
      <c r="D862">
        <f>1+IF(OR(D856="Air conditioning",D856="Heat pump (heating &amp; cooling)"),IF(DE_Base_Profile!D9=1,J857-1,0),0)+IF(OR(D856="Electric heating",D856="Heat pump (heating &amp; cooling)"),IF(DE_Base_Profile!E9=1,L857-1,0),0)</f>
        <v>1</v>
      </c>
      <c r="E862">
        <f t="shared" si="57"/>
        <v>287.7</v>
      </c>
      <c r="F862">
        <f>IF(D856="Electric heating",IF(DE_Base_Profile!E9=1,B862*L857,0),IF(D856="Heat pump (heating &amp; cooling)",IF(DE_Base_Profile!D9=1,B862*J857,0)+IF(DE_Base_Profile!E9=1,B862*L857,0),0))</f>
        <v>0</v>
      </c>
      <c r="G862">
        <f>IF(SUM($F$859:$F$870)=0,0,D857*F862/SUM($F$859:$F$870))</f>
        <v>0</v>
      </c>
      <c r="H862">
        <f>F857/12</f>
        <v>150</v>
      </c>
      <c r="I862">
        <f>E862/SUM($E$859:$E$870)*L856+G862+H862</f>
        <v>437.7</v>
      </c>
      <c r="J862">
        <f>I862/H857</f>
        <v>0.0825849056603773</v>
      </c>
    </row>
    <row r="863" spans="1:16">
      <c r="A863" t="str">
        <f>DE_Base_Profile!A10</f>
        <v>5月</v>
      </c>
      <c r="B863">
        <f>DE_Base_Profile!B10</f>
        <v>0.0839</v>
      </c>
      <c r="C863">
        <f>L856*B863</f>
        <v>293.65</v>
      </c>
      <c r="D863">
        <f>1+IF(OR(D856="Air conditioning",D856="Heat pump (heating &amp; cooling)"),IF(DE_Base_Profile!D10=1,J857-1,0),0)+IF(OR(D856="Electric heating",D856="Heat pump (heating &amp; cooling)"),IF(DE_Base_Profile!E10=1,L857-1,0),0)</f>
        <v>1</v>
      </c>
      <c r="E863">
        <f t="shared" si="57"/>
        <v>293.65</v>
      </c>
      <c r="F863">
        <f>IF(D856="Electric heating",IF(DE_Base_Profile!E10=1,B863*L857,0),IF(D856="Heat pump (heating &amp; cooling)",IF(DE_Base_Profile!D10=1,B863*J857,0)+IF(DE_Base_Profile!E10=1,B863*L857,0),0))</f>
        <v>0</v>
      </c>
      <c r="G863">
        <f>IF(SUM($F$859:$F$870)=0,0,D857*F863/SUM($F$859:$F$870))</f>
        <v>0</v>
      </c>
      <c r="H863">
        <f>F857/12</f>
        <v>150</v>
      </c>
      <c r="I863">
        <f>E863/SUM($E$859:$E$870)*L856+G863+H863</f>
        <v>443.65</v>
      </c>
      <c r="J863">
        <f>I863/H857</f>
        <v>0.0837075471698113</v>
      </c>
    </row>
    <row r="864" spans="1:16">
      <c r="A864" t="str">
        <f>DE_Base_Profile!A11</f>
        <v>6月</v>
      </c>
      <c r="B864">
        <f>DE_Base_Profile!B11</f>
        <v>0.0876</v>
      </c>
      <c r="C864">
        <f>L856*B864</f>
        <v>306.6</v>
      </c>
      <c r="D864">
        <f>1+IF(OR(D856="Air conditioning",D856="Heat pump (heating &amp; cooling)"),IF(DE_Base_Profile!D11=1,J857-1,0),0)+IF(OR(D856="Electric heating",D856="Heat pump (heating &amp; cooling)"),IF(DE_Base_Profile!E11=1,L857-1,0),0)</f>
        <v>1</v>
      </c>
      <c r="E864">
        <f t="shared" si="57"/>
        <v>306.6</v>
      </c>
      <c r="F864">
        <f>IF(D856="Electric heating",IF(DE_Base_Profile!E11=1,B864*L857,0),IF(D856="Heat pump (heating &amp; cooling)",IF(DE_Base_Profile!D11=1,B864*J857,0)+IF(DE_Base_Profile!E11=1,B864*L857,0),0))</f>
        <v>0</v>
      </c>
      <c r="G864">
        <f>IF(SUM($F$859:$F$870)=0,0,D857*F864/SUM($F$859:$F$870))</f>
        <v>0</v>
      </c>
      <c r="H864">
        <f>F857/12</f>
        <v>150</v>
      </c>
      <c r="I864">
        <f>E864/SUM($E$859:$E$870)*L856+G864+H864</f>
        <v>456.6</v>
      </c>
      <c r="J864">
        <f>I864/H857</f>
        <v>0.0861509433962264</v>
      </c>
    </row>
    <row r="865" spans="1:10">
      <c r="A865" t="str">
        <f>DE_Base_Profile!A12</f>
        <v>7月</v>
      </c>
      <c r="B865">
        <f>DE_Base_Profile!B12</f>
        <v>0.0917</v>
      </c>
      <c r="C865">
        <f>L856*B865</f>
        <v>320.95</v>
      </c>
      <c r="D865">
        <f>1+IF(OR(D856="Air conditioning",D856="Heat pump (heating &amp; cooling)"),IF(DE_Base_Profile!D12=1,J857-1,0),0)+IF(OR(D856="Electric heating",D856="Heat pump (heating &amp; cooling)"),IF(DE_Base_Profile!E12=1,L857-1,0),0)</f>
        <v>1</v>
      </c>
      <c r="E865">
        <f t="shared" si="57"/>
        <v>320.95</v>
      </c>
      <c r="F865">
        <f>IF(D856="Electric heating",IF(DE_Base_Profile!E12=1,B865*L857,0),IF(D856="Heat pump (heating &amp; cooling)",IF(DE_Base_Profile!D12=1,B865*J857,0)+IF(DE_Base_Profile!E12=1,B865*L857,0),0))</f>
        <v>0</v>
      </c>
      <c r="G865">
        <f>IF(SUM($F$859:$F$870)=0,0,D857*F865/SUM($F$859:$F$870))</f>
        <v>0</v>
      </c>
      <c r="H865">
        <f>F857/12</f>
        <v>150</v>
      </c>
      <c r="I865">
        <f>E865/SUM($E$859:$E$870)*L856+G865+H865</f>
        <v>470.95</v>
      </c>
      <c r="J865">
        <f>I865/H857</f>
        <v>0.0888584905660377</v>
      </c>
    </row>
    <row r="866" spans="1:10">
      <c r="A866" t="str">
        <f>DE_Base_Profile!A13</f>
        <v>8月</v>
      </c>
      <c r="B866">
        <f>DE_Base_Profile!B13</f>
        <v>0.0887</v>
      </c>
      <c r="C866">
        <f>L856*B866</f>
        <v>310.45</v>
      </c>
      <c r="D866">
        <f>1+IF(OR(D856="Air conditioning",D856="Heat pump (heating &amp; cooling)"),IF(DE_Base_Profile!D13=1,J857-1,0),0)+IF(OR(D856="Electric heating",D856="Heat pump (heating &amp; cooling)"),IF(DE_Base_Profile!E13=1,L857-1,0),0)</f>
        <v>1</v>
      </c>
      <c r="E866">
        <f t="shared" si="57"/>
        <v>310.45</v>
      </c>
      <c r="F866">
        <f>IF(D856="Electric heating",IF(DE_Base_Profile!E13=1,B866*L857,0),IF(D856="Heat pump (heating &amp; cooling)",IF(DE_Base_Profile!D13=1,B866*J857,0)+IF(DE_Base_Profile!E13=1,B866*L857,0),0))</f>
        <v>0</v>
      </c>
      <c r="G866">
        <f>IF(SUM($F$859:$F$870)=0,0,D857*F866/SUM($F$859:$F$870))</f>
        <v>0</v>
      </c>
      <c r="H866">
        <f>F857/12</f>
        <v>150</v>
      </c>
      <c r="I866">
        <f>E866/SUM($E$859:$E$870)*L856+G866+H866</f>
        <v>460.45</v>
      </c>
      <c r="J866">
        <f>I866/H857</f>
        <v>0.086877358490566</v>
      </c>
    </row>
    <row r="867" spans="1:10">
      <c r="A867" t="str">
        <f>DE_Base_Profile!A14</f>
        <v>9月</v>
      </c>
      <c r="B867">
        <f>DE_Base_Profile!B14</f>
        <v>0.0853</v>
      </c>
      <c r="C867">
        <f>L856*B867</f>
        <v>298.55</v>
      </c>
      <c r="D867">
        <f>1+IF(OR(D856="Air conditioning",D856="Heat pump (heating &amp; cooling)"),IF(DE_Base_Profile!D14=1,J857-1,0),0)+IF(OR(D856="Electric heating",D856="Heat pump (heating &amp; cooling)"),IF(DE_Base_Profile!E14=1,L857-1,0),0)</f>
        <v>1</v>
      </c>
      <c r="E867">
        <f t="shared" si="57"/>
        <v>298.55</v>
      </c>
      <c r="F867">
        <f>IF(D856="Electric heating",IF(DE_Base_Profile!E14=1,B867*L857,0),IF(D856="Heat pump (heating &amp; cooling)",IF(DE_Base_Profile!D14=1,B867*J857,0)+IF(DE_Base_Profile!E14=1,B867*L857,0),0))</f>
        <v>0</v>
      </c>
      <c r="G867">
        <f>IF(SUM($F$859:$F$870)=0,0,D857*F867/SUM($F$859:$F$870))</f>
        <v>0</v>
      </c>
      <c r="H867">
        <f>F857/12</f>
        <v>150</v>
      </c>
      <c r="I867">
        <f>E867/SUM($E$859:$E$870)*L856+G867+H867</f>
        <v>448.55</v>
      </c>
      <c r="J867">
        <f>I867/H857</f>
        <v>0.0846320754716981</v>
      </c>
    </row>
    <row r="868" spans="1:10">
      <c r="A868" t="str">
        <f>DE_Base_Profile!A15</f>
        <v>10月</v>
      </c>
      <c r="B868">
        <f>DE_Base_Profile!B15</f>
        <v>0.0838</v>
      </c>
      <c r="C868">
        <f>L856*B868</f>
        <v>293.3</v>
      </c>
      <c r="D868">
        <f>1+IF(OR(D856="Air conditioning",D856="Heat pump (heating &amp; cooling)"),IF(DE_Base_Profile!D15=1,J857-1,0),0)+IF(OR(D856="Electric heating",D856="Heat pump (heating &amp; cooling)"),IF(DE_Base_Profile!E15=1,L857-1,0),0)</f>
        <v>1</v>
      </c>
      <c r="E868">
        <f t="shared" si="57"/>
        <v>293.3</v>
      </c>
      <c r="F868">
        <f>IF(D856="Electric heating",IF(DE_Base_Profile!E15=1,B868*L857,0),IF(D856="Heat pump (heating &amp; cooling)",IF(DE_Base_Profile!D15=1,B868*J857,0)+IF(DE_Base_Profile!E15=1,B868*L857,0),0))</f>
        <v>0</v>
      </c>
      <c r="G868">
        <f>IF(SUM($F$859:$F$870)=0,0,D857*F868/SUM($F$859:$F$870))</f>
        <v>0</v>
      </c>
      <c r="H868">
        <f>F857/12</f>
        <v>150</v>
      </c>
      <c r="I868">
        <f>E868/SUM($E$859:$E$870)*L856+G868+H868</f>
        <v>443.3</v>
      </c>
      <c r="J868">
        <f>I868/H857</f>
        <v>0.0836415094339623</v>
      </c>
    </row>
    <row r="869" spans="1:10">
      <c r="A869" t="str">
        <f>DE_Base_Profile!A16</f>
        <v>11月</v>
      </c>
      <c r="B869">
        <f>DE_Base_Profile!B16</f>
        <v>0.0819</v>
      </c>
      <c r="C869">
        <f>L856*B869</f>
        <v>286.65</v>
      </c>
      <c r="D869">
        <f>1+IF(OR(D856="Air conditioning",D856="Heat pump (heating &amp; cooling)"),IF(DE_Base_Profile!D16=1,J857-1,0),0)+IF(OR(D856="Electric heating",D856="Heat pump (heating &amp; cooling)"),IF(DE_Base_Profile!E16=1,L857-1,0),0)</f>
        <v>1</v>
      </c>
      <c r="E869">
        <f t="shared" si="57"/>
        <v>286.65</v>
      </c>
      <c r="F869">
        <f>IF(D856="Electric heating",IF(DE_Base_Profile!E16=1,B869*L857,0),IF(D856="Heat pump (heating &amp; cooling)",IF(DE_Base_Profile!D16=1,B869*J857,0)+IF(DE_Base_Profile!E16=1,B869*L857,0),0))</f>
        <v>0</v>
      </c>
      <c r="G869">
        <f>IF(SUM($F$859:$F$870)=0,0,D857*F869/SUM($F$859:$F$870))</f>
        <v>0</v>
      </c>
      <c r="H869">
        <f>F857/12</f>
        <v>150</v>
      </c>
      <c r="I869">
        <f>E869/SUM($E$859:$E$870)*L856+G869+H869</f>
        <v>436.65</v>
      </c>
      <c r="J869">
        <f>I869/H857</f>
        <v>0.0823867924528302</v>
      </c>
    </row>
    <row r="870" spans="1:10">
      <c r="A870" t="str">
        <f>DE_Base_Profile!A17</f>
        <v>12月</v>
      </c>
      <c r="B870">
        <f>DE_Base_Profile!B17</f>
        <v>0.0796</v>
      </c>
      <c r="C870">
        <f>L856*B870</f>
        <v>278.6</v>
      </c>
      <c r="D870">
        <f>1+IF(OR(D856="Air conditioning",D856="Heat pump (heating &amp; cooling)"),IF(DE_Base_Profile!D17=1,J857-1,0),0)+IF(OR(D856="Electric heating",D856="Heat pump (heating &amp; cooling)"),IF(DE_Base_Profile!E17=1,L857-1,0),0)</f>
        <v>1</v>
      </c>
      <c r="E870">
        <f t="shared" si="57"/>
        <v>278.6</v>
      </c>
      <c r="F870">
        <f>IF(D856="Electric heating",IF(DE_Base_Profile!E17=1,B870*L857,0),IF(D856="Heat pump (heating &amp; cooling)",IF(DE_Base_Profile!D17=1,B870*J857,0)+IF(DE_Base_Profile!E17=1,B870*L857,0),0))</f>
        <v>0</v>
      </c>
      <c r="G870">
        <f>IF(SUM($F$859:$F$870)=0,0,D857*F870/SUM($F$859:$F$870))</f>
        <v>0</v>
      </c>
      <c r="H870">
        <f>F857/12</f>
        <v>150</v>
      </c>
      <c r="I870">
        <f>E870/SUM($E$859:$E$870)*L856+G870+H870</f>
        <v>428.6</v>
      </c>
      <c r="J870">
        <f>I870/H857</f>
        <v>0.0808679245283019</v>
      </c>
    </row>
    <row r="873" spans="1:10">
      <c r="A873">
        <f>DE_Base_Profile!H6</f>
        <v>0</v>
      </c>
      <c r="B873">
        <f>DE_Base_Profile!I6</f>
        <v>0.0301</v>
      </c>
      <c r="C873">
        <f>IF(DE_Base_Profile!J6=1,INDEX(DE_Lookups!$B$2:$B$4,MATCH(B856,DE_Lookups!$A$2:$A$4,0)),1)</f>
        <v>1</v>
      </c>
      <c r="D873">
        <f>IF(OR(D856="Air conditioning",D856="Heat pump (heating &amp; cooling)"),IF(DE_Base_Profile!K6=1,N857,1),1)*IF(OR(D856="Electric heating",D856="Heat pump (heating &amp; cooling)"),IF(DE_Base_Profile!L6=1,P857,1),1)</f>
        <v>1</v>
      </c>
      <c r="E873">
        <f t="shared" ref="E873:E896" si="58">B873*C873*D873</f>
        <v>0.0301</v>
      </c>
      <c r="F873">
        <f t="shared" ref="F873:F896" si="59">E873/SUM($E$873:$E$896)</f>
        <v>0.0364495035117462</v>
      </c>
      <c r="G873">
        <f>((L856+D857)/365)*F873</f>
        <v>0.349515787098936</v>
      </c>
      <c r="H873">
        <f>INDEX(DE_Base_Profile!$N$6:$Q$29,ROW()-872,MATCH(J856,DE_Base_Profile!$N$5:$Q$5,0))</f>
        <v>0</v>
      </c>
      <c r="I873">
        <f>(F857/365)*H873</f>
        <v>0</v>
      </c>
      <c r="J873">
        <f>(G873+I873)/(H857/365)</f>
        <v>0.0240704268473796</v>
      </c>
    </row>
    <row r="874" spans="1:10">
      <c r="A874">
        <f>DE_Base_Profile!H7</f>
        <v>1</v>
      </c>
      <c r="B874">
        <f>DE_Base_Profile!I7</f>
        <v>0.0258</v>
      </c>
      <c r="C874">
        <f>IF(DE_Base_Profile!J7=1,INDEX(DE_Lookups!$B$2:$B$4,MATCH(B856,DE_Lookups!$A$2:$A$4,0)),1)</f>
        <v>1</v>
      </c>
      <c r="D874">
        <f>IF(OR(D856="Air conditioning",D856="Heat pump (heating &amp; cooling)"),IF(DE_Base_Profile!K7=1,N857,1),1)*IF(OR(D856="Electric heating",D856="Heat pump (heating &amp; cooling)"),IF(DE_Base_Profile!L7=1,P857,1),1)</f>
        <v>1</v>
      </c>
      <c r="E874">
        <f t="shared" si="58"/>
        <v>0.0258</v>
      </c>
      <c r="F874">
        <f t="shared" si="59"/>
        <v>0.0312424315814967</v>
      </c>
      <c r="G874">
        <f>((L856+D857)/365)*F874</f>
        <v>0.299584960370517</v>
      </c>
      <c r="H874">
        <f>INDEX(DE_Base_Profile!$N$6:$Q$29,ROW()-872,MATCH(J856,DE_Base_Profile!$N$5:$Q$5,0))</f>
        <v>0</v>
      </c>
      <c r="I874">
        <f>(F857/365)*H874</f>
        <v>0</v>
      </c>
      <c r="J874">
        <f>(G874+I874)/(H857/365)</f>
        <v>0.020631794440611</v>
      </c>
    </row>
    <row r="875" spans="1:10">
      <c r="A875">
        <f>DE_Base_Profile!H8</f>
        <v>2</v>
      </c>
      <c r="B875">
        <f>DE_Base_Profile!I8</f>
        <v>0.0239</v>
      </c>
      <c r="C875">
        <f>IF(DE_Base_Profile!J8=1,INDEX(DE_Lookups!$B$2:$B$4,MATCH(B856,DE_Lookups!$A$2:$A$4,0)),1)</f>
        <v>1</v>
      </c>
      <c r="D875">
        <f>IF(OR(D856="Air conditioning",D856="Heat pump (heating &amp; cooling)"),IF(DE_Base_Profile!K8=1,N857,1),1)*IF(OR(D856="Electric heating",D856="Heat pump (heating &amp; cooling)"),IF(DE_Base_Profile!L8=1,P857,1),1)</f>
        <v>1</v>
      </c>
      <c r="E875">
        <f t="shared" si="58"/>
        <v>0.0239</v>
      </c>
      <c r="F875">
        <f t="shared" si="59"/>
        <v>0.0289416323565028</v>
      </c>
      <c r="G875">
        <f>((L856+D857)/365)*F875</f>
        <v>0.277522502048657</v>
      </c>
      <c r="H875">
        <f>INDEX(DE_Base_Profile!$N$6:$Q$29,ROW()-872,MATCH(J856,DE_Base_Profile!$N$5:$Q$5,0))</f>
        <v>0</v>
      </c>
      <c r="I875">
        <f>(F857/365)*H875</f>
        <v>0</v>
      </c>
      <c r="J875">
        <f>(G875+I875)/(H857/365)</f>
        <v>0.0191123987259924</v>
      </c>
    </row>
    <row r="876" spans="1:10">
      <c r="A876">
        <f>DE_Base_Profile!H9</f>
        <v>3</v>
      </c>
      <c r="B876">
        <f>DE_Base_Profile!I9</f>
        <v>0.0232</v>
      </c>
      <c r="C876">
        <f>IF(DE_Base_Profile!J9=1,INDEX(DE_Lookups!$B$2:$B$4,MATCH(B856,DE_Lookups!$A$2:$A$4,0)),1)</f>
        <v>1</v>
      </c>
      <c r="D876">
        <f>IF(OR(D856="Air conditioning",D856="Heat pump (heating &amp; cooling)"),IF(DE_Base_Profile!K9=1,N857,1),1)*IF(OR(D856="Electric heating",D856="Heat pump (heating &amp; cooling)"),IF(DE_Base_Profile!L9=1,P857,1),1)</f>
        <v>1</v>
      </c>
      <c r="E876">
        <f t="shared" si="58"/>
        <v>0.0232</v>
      </c>
      <c r="F876">
        <f t="shared" si="59"/>
        <v>0.0280939694841366</v>
      </c>
      <c r="G876">
        <f>((L856+D857)/365)*F876</f>
        <v>0.269394227930077</v>
      </c>
      <c r="H876">
        <f>INDEX(DE_Base_Profile!$N$6:$Q$29,ROW()-872,MATCH(J856,DE_Base_Profile!$N$5:$Q$5,0))</f>
        <v>0</v>
      </c>
      <c r="I876">
        <f>(F857/365)*H876</f>
        <v>0</v>
      </c>
      <c r="J876">
        <f>(G876+I876)/(H857/365)</f>
        <v>0.0185526213574487</v>
      </c>
    </row>
    <row r="877" spans="1:10">
      <c r="A877">
        <f>DE_Base_Profile!H10</f>
        <v>4</v>
      </c>
      <c r="B877">
        <f>DE_Base_Profile!I10</f>
        <v>0.0236</v>
      </c>
      <c r="C877">
        <f>IF(DE_Base_Profile!J10=1,INDEX(DE_Lookups!$B$2:$B$4,MATCH(B856,DE_Lookups!$A$2:$A$4,0)),1)</f>
        <v>1</v>
      </c>
      <c r="D877">
        <f>IF(OR(D856="Air conditioning",D856="Heat pump (heating &amp; cooling)"),IF(DE_Base_Profile!K10=1,N857,1),1)*IF(OR(D856="Electric heating",D856="Heat pump (heating &amp; cooling)"),IF(DE_Base_Profile!L10=1,P857,1),1)</f>
        <v>1</v>
      </c>
      <c r="E877">
        <f t="shared" si="58"/>
        <v>0.0236</v>
      </c>
      <c r="F877">
        <f t="shared" si="59"/>
        <v>0.0285783482683458</v>
      </c>
      <c r="G877">
        <f>((L856+D857)/365)*F877</f>
        <v>0.274038955997837</v>
      </c>
      <c r="H877">
        <f>INDEX(DE_Base_Profile!$N$6:$Q$29,ROW()-872,MATCH(J856,DE_Base_Profile!$N$5:$Q$5,0))</f>
        <v>0</v>
      </c>
      <c r="I877">
        <f>(F857/365)*H877</f>
        <v>0</v>
      </c>
      <c r="J877">
        <f>(G877+I877)/(H857/365)</f>
        <v>0.0188724941394737</v>
      </c>
    </row>
    <row r="878" spans="1:10">
      <c r="A878">
        <f>DE_Base_Profile!H11</f>
        <v>5</v>
      </c>
      <c r="B878">
        <f>DE_Base_Profile!I11</f>
        <v>0.0252</v>
      </c>
      <c r="C878">
        <f>IF(DE_Base_Profile!J11=1,INDEX(DE_Lookups!$B$2:$B$4,MATCH(B856,DE_Lookups!$A$2:$A$4,0)),1)</f>
        <v>1</v>
      </c>
      <c r="D878">
        <f>IF(OR(D856="Air conditioning",D856="Heat pump (heating &amp; cooling)"),IF(DE_Base_Profile!K11=1,N857,1),1)*IF(OR(D856="Electric heating",D856="Heat pump (heating &amp; cooling)"),IF(DE_Base_Profile!L11=1,P857,1),1)</f>
        <v>1</v>
      </c>
      <c r="E878">
        <f t="shared" si="58"/>
        <v>0.0252</v>
      </c>
      <c r="F878">
        <f t="shared" si="59"/>
        <v>0.0305158634051829</v>
      </c>
      <c r="G878">
        <f>((L856+D857)/365)*F878</f>
        <v>0.292617868268877</v>
      </c>
      <c r="H878">
        <f>INDEX(DE_Base_Profile!$N$6:$Q$29,ROW()-872,MATCH(J856,DE_Base_Profile!$N$5:$Q$5,0))</f>
        <v>0</v>
      </c>
      <c r="I878">
        <f>(F857/365)*H878</f>
        <v>0</v>
      </c>
      <c r="J878">
        <f>(G878+I878)/(H857/365)</f>
        <v>0.0201519852675736</v>
      </c>
    </row>
    <row r="879" spans="1:10">
      <c r="A879">
        <f>DE_Base_Profile!H12</f>
        <v>6</v>
      </c>
      <c r="B879">
        <f>DE_Base_Profile!I12</f>
        <v>0.03</v>
      </c>
      <c r="C879">
        <f>IF(DE_Base_Profile!J12=1,INDEX(DE_Lookups!$B$2:$B$4,MATCH(B856,DE_Lookups!$A$2:$A$4,0)),1)</f>
        <v>1</v>
      </c>
      <c r="D879">
        <f>IF(OR(D856="Air conditioning",D856="Heat pump (heating &amp; cooling)"),IF(DE_Base_Profile!K12=1,N857,1),1)*IF(OR(D856="Electric heating",D856="Heat pump (heating &amp; cooling)"),IF(DE_Base_Profile!L12=1,P857,1),1)</f>
        <v>1</v>
      </c>
      <c r="E879">
        <f t="shared" si="58"/>
        <v>0.03</v>
      </c>
      <c r="F879">
        <f t="shared" si="59"/>
        <v>0.0363284088156939</v>
      </c>
      <c r="G879">
        <f>((L856+D857)/365)*F879</f>
        <v>0.348354605081996</v>
      </c>
      <c r="H879">
        <f>INDEX(DE_Base_Profile!$N$6:$Q$29,ROW()-872,MATCH(J856,DE_Base_Profile!$N$5:$Q$5,0))</f>
        <v>0</v>
      </c>
      <c r="I879">
        <f>(F857/365)*H879</f>
        <v>0</v>
      </c>
      <c r="J879">
        <f>(G879+I879)/(H857/365)</f>
        <v>0.0239904586518733</v>
      </c>
    </row>
    <row r="880" spans="1:10">
      <c r="A880">
        <f>DE_Base_Profile!H13</f>
        <v>7</v>
      </c>
      <c r="B880">
        <f>DE_Base_Profile!I13</f>
        <v>0.0358</v>
      </c>
      <c r="C880">
        <f>IF(DE_Base_Profile!J13=1,INDEX(DE_Lookups!$B$2:$B$4,MATCH(B856,DE_Lookups!$A$2:$A$4,0)),1)</f>
        <v>1</v>
      </c>
      <c r="D880">
        <f>IF(OR(D856="Air conditioning",D856="Heat pump (heating &amp; cooling)"),IF(DE_Base_Profile!K13=1,N857,1),1)*IF(OR(D856="Electric heating",D856="Heat pump (heating &amp; cooling)"),IF(DE_Base_Profile!L13=1,P857,1),1)</f>
        <v>1</v>
      </c>
      <c r="E880">
        <f t="shared" si="58"/>
        <v>0.0358</v>
      </c>
      <c r="F880">
        <f t="shared" si="59"/>
        <v>0.043351901186728</v>
      </c>
      <c r="G880">
        <f>((L856+D857)/365)*F880</f>
        <v>0.415703162064515</v>
      </c>
      <c r="H880">
        <f>INDEX(DE_Base_Profile!$N$6:$Q$29,ROW()-872,MATCH(J856,DE_Base_Profile!$N$5:$Q$5,0))</f>
        <v>0</v>
      </c>
      <c r="I880">
        <f>(F857/365)*H880</f>
        <v>0</v>
      </c>
      <c r="J880">
        <f>(G880+I880)/(H857/365)</f>
        <v>0.0286286139912355</v>
      </c>
    </row>
    <row r="881" spans="1:10">
      <c r="A881">
        <f>DE_Base_Profile!H14</f>
        <v>8</v>
      </c>
      <c r="B881">
        <f>DE_Base_Profile!I14</f>
        <v>0.041</v>
      </c>
      <c r="C881">
        <f>IF(DE_Base_Profile!J14=1,INDEX(DE_Lookups!$B$2:$B$4,MATCH(B856,DE_Lookups!$A$2:$A$4,0)),1)</f>
        <v>1</v>
      </c>
      <c r="D881">
        <f>IF(OR(D856="Air conditioning",D856="Heat pump (heating &amp; cooling)"),IF(DE_Base_Profile!K14=1,N857,1),1)*IF(OR(D856="Electric heating",D856="Heat pump (heating &amp; cooling)"),IF(DE_Base_Profile!L14=1,P857,1),1)</f>
        <v>1</v>
      </c>
      <c r="E881">
        <f t="shared" si="58"/>
        <v>0.041</v>
      </c>
      <c r="F881">
        <f t="shared" si="59"/>
        <v>0.0496488253814483</v>
      </c>
      <c r="G881">
        <f>((L856+D857)/365)*F881</f>
        <v>0.476084626945395</v>
      </c>
      <c r="H881">
        <f>INDEX(DE_Base_Profile!$N$6:$Q$29,ROW()-872,MATCH(J856,DE_Base_Profile!$N$5:$Q$5,0))</f>
        <v>0</v>
      </c>
      <c r="I881">
        <f>(F857/365)*H881</f>
        <v>0</v>
      </c>
      <c r="J881">
        <f>(G881+I881)/(H857/365)</f>
        <v>0.0327869601575602</v>
      </c>
    </row>
    <row r="882" spans="1:10">
      <c r="A882">
        <f>DE_Base_Profile!H15</f>
        <v>9</v>
      </c>
      <c r="B882">
        <f>DE_Base_Profile!I15</f>
        <v>0.0446</v>
      </c>
      <c r="C882">
        <f>IF(DE_Base_Profile!J15=1,INDEX(DE_Lookups!$B$2:$B$4,MATCH(B856,DE_Lookups!$A$2:$A$4,0)),1)</f>
        <v>0.6</v>
      </c>
      <c r="D882">
        <f>IF(OR(D856="Air conditioning",D856="Heat pump (heating &amp; cooling)"),IF(DE_Base_Profile!K15=1,N857,1),1)*IF(OR(D856="Electric heating",D856="Heat pump (heating &amp; cooling)"),IF(DE_Base_Profile!L15=1,P857,1),1)</f>
        <v>1</v>
      </c>
      <c r="E882">
        <f t="shared" si="58"/>
        <v>0.02676</v>
      </c>
      <c r="F882">
        <f t="shared" si="59"/>
        <v>0.0324049406635989</v>
      </c>
      <c r="G882">
        <f>((L856+D857)/365)*F882</f>
        <v>0.31073230773314</v>
      </c>
      <c r="H882">
        <f>INDEX(DE_Base_Profile!$N$6:$Q$29,ROW()-872,MATCH(J856,DE_Base_Profile!$N$5:$Q$5,0))</f>
        <v>0</v>
      </c>
      <c r="I882">
        <f>(F857/365)*H882</f>
        <v>0</v>
      </c>
      <c r="J882">
        <f>(G882+I882)/(H857/365)</f>
        <v>0.021399489117471</v>
      </c>
    </row>
    <row r="883" spans="1:10">
      <c r="A883">
        <f>DE_Base_Profile!H16</f>
        <v>10</v>
      </c>
      <c r="B883">
        <f>DE_Base_Profile!I16</f>
        <v>0.0474</v>
      </c>
      <c r="C883">
        <f>IF(DE_Base_Profile!J16=1,INDEX(DE_Lookups!$B$2:$B$4,MATCH(B856,DE_Lookups!$A$2:$A$4,0)),1)</f>
        <v>0.6</v>
      </c>
      <c r="D883">
        <f>IF(OR(D856="Air conditioning",D856="Heat pump (heating &amp; cooling)"),IF(DE_Base_Profile!K16=1,N857,1),1)*IF(OR(D856="Electric heating",D856="Heat pump (heating &amp; cooling)"),IF(DE_Base_Profile!L16=1,P857,1),1)</f>
        <v>1</v>
      </c>
      <c r="E883">
        <f t="shared" si="58"/>
        <v>0.02844</v>
      </c>
      <c r="F883">
        <f t="shared" si="59"/>
        <v>0.0344393315572778</v>
      </c>
      <c r="G883">
        <f>((L856+D857)/365)*F883</f>
        <v>0.330240165617732</v>
      </c>
      <c r="H883">
        <f>INDEX(DE_Base_Profile!$N$6:$Q$29,ROW()-872,MATCH(J856,DE_Base_Profile!$N$5:$Q$5,0))</f>
        <v>0.166666666666667</v>
      </c>
      <c r="I883">
        <f>(F857/365)*H883</f>
        <v>0.821917808219178</v>
      </c>
      <c r="J883">
        <f>(G883+I883)/(H857/365)</f>
        <v>0.0793467283868816</v>
      </c>
    </row>
    <row r="884" spans="1:10">
      <c r="A884">
        <f>DE_Base_Profile!H17</f>
        <v>11</v>
      </c>
      <c r="B884">
        <f>DE_Base_Profile!I17</f>
        <v>0.0518</v>
      </c>
      <c r="C884">
        <f>IF(DE_Base_Profile!J17=1,INDEX(DE_Lookups!$B$2:$B$4,MATCH(B856,DE_Lookups!$A$2:$A$4,0)),1)</f>
        <v>0.6</v>
      </c>
      <c r="D884">
        <f>IF(OR(D856="Air conditioning",D856="Heat pump (heating &amp; cooling)"),IF(DE_Base_Profile!K17=1,N857,1),1)*IF(OR(D856="Electric heating",D856="Heat pump (heating &amp; cooling)"),IF(DE_Base_Profile!L17=1,P857,1),1)</f>
        <v>1</v>
      </c>
      <c r="E884">
        <f t="shared" si="58"/>
        <v>0.03108</v>
      </c>
      <c r="F884">
        <f t="shared" si="59"/>
        <v>0.0376362315330588</v>
      </c>
      <c r="G884">
        <f>((L856+D857)/365)*F884</f>
        <v>0.360895370864948</v>
      </c>
      <c r="H884">
        <f>INDEX(DE_Base_Profile!$N$6:$Q$29,ROW()-872,MATCH(J856,DE_Base_Profile!$N$5:$Q$5,0))</f>
        <v>0.166666666666667</v>
      </c>
      <c r="I884">
        <f>(F857/365)*H884</f>
        <v>0.821917808219178</v>
      </c>
      <c r="J884">
        <f>(G884+I884)/(H857/365)</f>
        <v>0.0814578887482464</v>
      </c>
    </row>
    <row r="885" spans="1:10">
      <c r="A885">
        <f>DE_Base_Profile!H18</f>
        <v>12</v>
      </c>
      <c r="B885">
        <f>DE_Base_Profile!I18</f>
        <v>0.0513</v>
      </c>
      <c r="C885">
        <f>IF(DE_Base_Profile!J18=1,INDEX(DE_Lookups!$B$2:$B$4,MATCH(B856,DE_Lookups!$A$2:$A$4,0)),1)</f>
        <v>0.6</v>
      </c>
      <c r="D885">
        <f>IF(OR(D856="Air conditioning",D856="Heat pump (heating &amp; cooling)"),IF(DE_Base_Profile!K18=1,N857,1),1)*IF(OR(D856="Electric heating",D856="Heat pump (heating &amp; cooling)"),IF(DE_Base_Profile!L18=1,P857,1),1)</f>
        <v>1</v>
      </c>
      <c r="E885">
        <f t="shared" si="58"/>
        <v>0.03078</v>
      </c>
      <c r="F885">
        <f t="shared" si="59"/>
        <v>0.0372729474449019</v>
      </c>
      <c r="G885">
        <f>((L856+D857)/365)*F885</f>
        <v>0.357411824814128</v>
      </c>
      <c r="H885">
        <f>INDEX(DE_Base_Profile!$N$6:$Q$29,ROW()-872,MATCH(J856,DE_Base_Profile!$N$5:$Q$5,0))</f>
        <v>0.166666666666667</v>
      </c>
      <c r="I885">
        <f>(F857/365)*H885</f>
        <v>0.821917808219178</v>
      </c>
      <c r="J885">
        <f>(G885+I885)/(H857/365)</f>
        <v>0.0812179841617277</v>
      </c>
    </row>
    <row r="886" spans="1:10">
      <c r="A886">
        <f>DE_Base_Profile!H19</f>
        <v>13</v>
      </c>
      <c r="B886">
        <f>DE_Base_Profile!I19</f>
        <v>0.0481</v>
      </c>
      <c r="C886">
        <f>IF(DE_Base_Profile!J19=1,INDEX(DE_Lookups!$B$2:$B$4,MATCH(B856,DE_Lookups!$A$2:$A$4,0)),1)</f>
        <v>0.6</v>
      </c>
      <c r="D886">
        <f>IF(OR(D856="Air conditioning",D856="Heat pump (heating &amp; cooling)"),IF(DE_Base_Profile!K19=1,N857,1),1)*IF(OR(D856="Electric heating",D856="Heat pump (heating &amp; cooling)"),IF(DE_Base_Profile!L19=1,P857,1),1)</f>
        <v>1</v>
      </c>
      <c r="E886">
        <f t="shared" si="58"/>
        <v>0.02886</v>
      </c>
      <c r="F886">
        <f t="shared" si="59"/>
        <v>0.0349479292806975</v>
      </c>
      <c r="G886">
        <f>((L856+D857)/365)*F886</f>
        <v>0.33511713008888</v>
      </c>
      <c r="H886">
        <f>INDEX(DE_Base_Profile!$N$6:$Q$29,ROW()-872,MATCH(J856,DE_Base_Profile!$N$5:$Q$5,0))</f>
        <v>0.166666666666667</v>
      </c>
      <c r="I886">
        <f>(F857/365)*H886</f>
        <v>0.821917808219178</v>
      </c>
      <c r="J886">
        <f>(G886+I886)/(H857/365)</f>
        <v>0.0796825948080078</v>
      </c>
    </row>
    <row r="887" spans="1:10">
      <c r="A887">
        <f>DE_Base_Profile!H20</f>
        <v>14</v>
      </c>
      <c r="B887">
        <f>DE_Base_Profile!I20</f>
        <v>0.0459</v>
      </c>
      <c r="C887">
        <f>IF(DE_Base_Profile!J20=1,INDEX(DE_Lookups!$B$2:$B$4,MATCH(B856,DE_Lookups!$A$2:$A$4,0)),1)</f>
        <v>0.6</v>
      </c>
      <c r="D887">
        <f>IF(OR(D856="Air conditioning",D856="Heat pump (heating &amp; cooling)"),IF(DE_Base_Profile!K20=1,N857,1),1)*IF(OR(D856="Electric heating",D856="Heat pump (heating &amp; cooling)"),IF(DE_Base_Profile!L20=1,P857,1),1)</f>
        <v>1</v>
      </c>
      <c r="E887">
        <f t="shared" si="58"/>
        <v>0.02754</v>
      </c>
      <c r="F887">
        <f t="shared" si="59"/>
        <v>0.033349479292807</v>
      </c>
      <c r="G887">
        <f>((L856+D857)/365)*F887</f>
        <v>0.319789527465272</v>
      </c>
      <c r="H887">
        <f>INDEX(DE_Base_Profile!$N$6:$Q$29,ROW()-872,MATCH(J856,DE_Base_Profile!$N$5:$Q$5,0))</f>
        <v>0.166666666666667</v>
      </c>
      <c r="I887">
        <f>(F857/365)*H887</f>
        <v>0.821917808219178</v>
      </c>
      <c r="J887">
        <f>(G887+I887)/(H857/365)</f>
        <v>0.0786270146273254</v>
      </c>
    </row>
    <row r="888" spans="1:10">
      <c r="A888">
        <f>DE_Base_Profile!H21</f>
        <v>15</v>
      </c>
      <c r="B888">
        <f>DE_Base_Profile!I21</f>
        <v>0.0454</v>
      </c>
      <c r="C888">
        <f>IF(DE_Base_Profile!J21=1,INDEX(DE_Lookups!$B$2:$B$4,MATCH(B856,DE_Lookups!$A$2:$A$4,0)),1)</f>
        <v>0.6</v>
      </c>
      <c r="D888">
        <f>IF(OR(D856="Air conditioning",D856="Heat pump (heating &amp; cooling)"),IF(DE_Base_Profile!K21=1,N857,1),1)*IF(OR(D856="Electric heating",D856="Heat pump (heating &amp; cooling)"),IF(DE_Base_Profile!L21=1,P857,1),1)</f>
        <v>1</v>
      </c>
      <c r="E888">
        <f t="shared" si="58"/>
        <v>0.02724</v>
      </c>
      <c r="F888">
        <f t="shared" si="59"/>
        <v>0.03298619520465</v>
      </c>
      <c r="G888">
        <f>((L856+D857)/365)*F888</f>
        <v>0.316305981414452</v>
      </c>
      <c r="H888">
        <f>INDEX(DE_Base_Profile!$N$6:$Q$29,ROW()-872,MATCH(J856,DE_Base_Profile!$N$5:$Q$5,0))</f>
        <v>0.166666666666667</v>
      </c>
      <c r="I888">
        <f>(F857/365)*H888</f>
        <v>0.821917808219178</v>
      </c>
      <c r="J888">
        <f>(G888+I888)/(H857/365)</f>
        <v>0.0783871100408066</v>
      </c>
    </row>
    <row r="889" spans="1:10">
      <c r="A889">
        <f>DE_Base_Profile!H22</f>
        <v>16</v>
      </c>
      <c r="B889">
        <f>DE_Base_Profile!I22</f>
        <v>0.0475</v>
      </c>
      <c r="C889">
        <f>IF(DE_Base_Profile!J22=1,INDEX(DE_Lookups!$B$2:$B$4,MATCH(B856,DE_Lookups!$A$2:$A$4,0)),1)</f>
        <v>0.6</v>
      </c>
      <c r="D889">
        <f>IF(OR(D856="Air conditioning",D856="Heat pump (heating &amp; cooling)"),IF(DE_Base_Profile!K22=1,N857,1),1)*IF(OR(D856="Electric heating",D856="Heat pump (heating &amp; cooling)"),IF(DE_Base_Profile!L22=1,P857,1),1)</f>
        <v>1</v>
      </c>
      <c r="E889">
        <f t="shared" si="58"/>
        <v>0.0285</v>
      </c>
      <c r="F889">
        <f t="shared" si="59"/>
        <v>0.0345119883749092</v>
      </c>
      <c r="G889">
        <f>((L856+D857)/365)*F889</f>
        <v>0.330936874827896</v>
      </c>
      <c r="H889">
        <f>INDEX(DE_Base_Profile!$N$6:$Q$29,ROW()-872,MATCH(J856,DE_Base_Profile!$N$5:$Q$5,0))</f>
        <v>0</v>
      </c>
      <c r="I889">
        <f>(F857/365)*H889</f>
        <v>0</v>
      </c>
      <c r="J889">
        <f>(G889+I889)/(H857/365)</f>
        <v>0.0227909357192796</v>
      </c>
    </row>
    <row r="890" spans="1:10">
      <c r="A890">
        <f>DE_Base_Profile!H23</f>
        <v>17</v>
      </c>
      <c r="B890">
        <f>DE_Base_Profile!I23</f>
        <v>0.0535</v>
      </c>
      <c r="C890">
        <f>IF(DE_Base_Profile!J23=1,INDEX(DE_Lookups!$B$2:$B$4,MATCH(B856,DE_Lookups!$A$2:$A$4,0)),1)</f>
        <v>0.6</v>
      </c>
      <c r="D890">
        <f>IF(OR(D856="Air conditioning",D856="Heat pump (heating &amp; cooling)"),IF(DE_Base_Profile!K23=1,N857,1),1)*IF(OR(D856="Electric heating",D856="Heat pump (heating &amp; cooling)"),IF(DE_Base_Profile!L23=1,P857,1),1)</f>
        <v>1</v>
      </c>
      <c r="E890">
        <f t="shared" si="58"/>
        <v>0.0321</v>
      </c>
      <c r="F890">
        <f t="shared" si="59"/>
        <v>0.0388713974327924</v>
      </c>
      <c r="G890">
        <f>((L856+D857)/365)*F890</f>
        <v>0.372739427437736</v>
      </c>
      <c r="H890">
        <f>INDEX(DE_Base_Profile!$N$6:$Q$29,ROW()-872,MATCH(J856,DE_Base_Profile!$N$5:$Q$5,0))</f>
        <v>0</v>
      </c>
      <c r="I890">
        <f>(F857/365)*H890</f>
        <v>0</v>
      </c>
      <c r="J890">
        <f>(G890+I890)/(H857/365)</f>
        <v>0.0256697907575044</v>
      </c>
    </row>
    <row r="891" spans="1:10">
      <c r="A891">
        <f>DE_Base_Profile!H24</f>
        <v>18</v>
      </c>
      <c r="B891">
        <f>DE_Base_Profile!I24</f>
        <v>0.0587</v>
      </c>
      <c r="C891">
        <f>IF(DE_Base_Profile!J24=1,INDEX(DE_Lookups!$B$2:$B$4,MATCH(B856,DE_Lookups!$A$2:$A$4,0)),1)</f>
        <v>1</v>
      </c>
      <c r="D891">
        <f>IF(OR(D856="Air conditioning",D856="Heat pump (heating &amp; cooling)"),IF(DE_Base_Profile!K24=1,N857,1),1)*IF(OR(D856="Electric heating",D856="Heat pump (heating &amp; cooling)"),IF(DE_Base_Profile!L24=1,P857,1),1)</f>
        <v>1</v>
      </c>
      <c r="E891">
        <f t="shared" si="58"/>
        <v>0.0587</v>
      </c>
      <c r="F891">
        <f t="shared" si="59"/>
        <v>0.0710825865827077</v>
      </c>
      <c r="G891">
        <f>((L856+D857)/365)*F891</f>
        <v>0.681613843943772</v>
      </c>
      <c r="H891">
        <f>INDEX(DE_Base_Profile!$N$6:$Q$29,ROW()-872,MATCH(J856,DE_Base_Profile!$N$5:$Q$5,0))</f>
        <v>0</v>
      </c>
      <c r="I891">
        <f>(F857/365)*H891</f>
        <v>0</v>
      </c>
      <c r="J891">
        <f>(G891+I891)/(H857/365)</f>
        <v>0.0469413307621654</v>
      </c>
    </row>
    <row r="892" spans="1:10">
      <c r="A892">
        <f>DE_Base_Profile!H25</f>
        <v>19</v>
      </c>
      <c r="B892">
        <f>DE_Base_Profile!I25</f>
        <v>0.0591</v>
      </c>
      <c r="C892">
        <f>IF(DE_Base_Profile!J25=1,INDEX(DE_Lookups!$B$2:$B$4,MATCH(B856,DE_Lookups!$A$2:$A$4,0)),1)</f>
        <v>1</v>
      </c>
      <c r="D892">
        <f>IF(OR(D856="Air conditioning",D856="Heat pump (heating &amp; cooling)"),IF(DE_Base_Profile!K25=1,N857,1),1)*IF(OR(D856="Electric heating",D856="Heat pump (heating &amp; cooling)"),IF(DE_Base_Profile!L25=1,P857,1),1)</f>
        <v>1</v>
      </c>
      <c r="E892">
        <f t="shared" si="58"/>
        <v>0.0591</v>
      </c>
      <c r="F892">
        <f t="shared" si="59"/>
        <v>0.0715669653669169</v>
      </c>
      <c r="G892">
        <f>((L856+D857)/365)*F892</f>
        <v>0.686258572011532</v>
      </c>
      <c r="H892">
        <f>INDEX(DE_Base_Profile!$N$6:$Q$29,ROW()-872,MATCH(J856,DE_Base_Profile!$N$5:$Q$5,0))</f>
        <v>0</v>
      </c>
      <c r="I892">
        <f>(F857/365)*H892</f>
        <v>0</v>
      </c>
      <c r="J892">
        <f>(G892+I892)/(H857/365)</f>
        <v>0.0472612035441904</v>
      </c>
    </row>
    <row r="893" spans="1:10">
      <c r="A893">
        <f>DE_Base_Profile!H26</f>
        <v>20</v>
      </c>
      <c r="B893">
        <f>DE_Base_Profile!I26</f>
        <v>0.0556</v>
      </c>
      <c r="C893">
        <f>IF(DE_Base_Profile!J26=1,INDEX(DE_Lookups!$B$2:$B$4,MATCH(B856,DE_Lookups!$A$2:$A$4,0)),1)</f>
        <v>1</v>
      </c>
      <c r="D893">
        <f>IF(OR(D856="Air conditioning",D856="Heat pump (heating &amp; cooling)"),IF(DE_Base_Profile!K26=1,N857,1),1)*IF(OR(D856="Electric heating",D856="Heat pump (heating &amp; cooling)"),IF(DE_Base_Profile!L26=1,P857,1),1)</f>
        <v>1</v>
      </c>
      <c r="E893">
        <f t="shared" si="58"/>
        <v>0.0556</v>
      </c>
      <c r="F893">
        <f t="shared" si="59"/>
        <v>0.067328651005086</v>
      </c>
      <c r="G893">
        <f>((L856+D857)/365)*F893</f>
        <v>0.645617201418633</v>
      </c>
      <c r="H893">
        <f>INDEX(DE_Base_Profile!$N$6:$Q$29,ROW()-872,MATCH(J856,DE_Base_Profile!$N$5:$Q$5,0))</f>
        <v>0</v>
      </c>
      <c r="I893">
        <f>(F857/365)*H893</f>
        <v>0</v>
      </c>
      <c r="J893">
        <f>(G893+I893)/(H857/365)</f>
        <v>0.0444623167014719</v>
      </c>
    </row>
    <row r="894" spans="1:10">
      <c r="A894">
        <f>DE_Base_Profile!H27</f>
        <v>21</v>
      </c>
      <c r="B894">
        <f>DE_Base_Profile!I27</f>
        <v>0.0508</v>
      </c>
      <c r="C894">
        <f>IF(DE_Base_Profile!J27=1,INDEX(DE_Lookups!$B$2:$B$4,MATCH(B856,DE_Lookups!$A$2:$A$4,0)),1)</f>
        <v>1</v>
      </c>
      <c r="D894">
        <f>IF(OR(D856="Air conditioning",D856="Heat pump (heating &amp; cooling)"),IF(DE_Base_Profile!K27=1,N857,1),1)*IF(OR(D856="Electric heating",D856="Heat pump (heating &amp; cooling)"),IF(DE_Base_Profile!L27=1,P857,1),1)</f>
        <v>1</v>
      </c>
      <c r="E894">
        <f t="shared" si="58"/>
        <v>0.0508</v>
      </c>
      <c r="F894">
        <f t="shared" si="59"/>
        <v>0.061516105594575</v>
      </c>
      <c r="G894">
        <f>((L856+D857)/365)*F894</f>
        <v>0.589880464605513</v>
      </c>
      <c r="H894">
        <f>INDEX(DE_Base_Profile!$N$6:$Q$29,ROW()-872,MATCH(J856,DE_Base_Profile!$N$5:$Q$5,0))</f>
        <v>0</v>
      </c>
      <c r="I894">
        <f>(F857/365)*H894</f>
        <v>0</v>
      </c>
      <c r="J894">
        <f>(G894+I894)/(H857/365)</f>
        <v>0.0406238433171721</v>
      </c>
    </row>
    <row r="895" spans="1:10">
      <c r="A895">
        <f>DE_Base_Profile!H28</f>
        <v>22</v>
      </c>
      <c r="B895">
        <f>DE_Base_Profile!I28</f>
        <v>0.0451</v>
      </c>
      <c r="C895">
        <f>IF(DE_Base_Profile!J28=1,INDEX(DE_Lookups!$B$2:$B$4,MATCH(B856,DE_Lookups!$A$2:$A$4,0)),1)</f>
        <v>1</v>
      </c>
      <c r="D895">
        <f>IF(OR(D856="Air conditioning",D856="Heat pump (heating &amp; cooling)"),IF(DE_Base_Profile!K28=1,N857,1),1)*IF(OR(D856="Electric heating",D856="Heat pump (heating &amp; cooling)"),IF(DE_Base_Profile!L28=1,P857,1),1)</f>
        <v>1</v>
      </c>
      <c r="E895">
        <f t="shared" si="58"/>
        <v>0.0451</v>
      </c>
      <c r="F895">
        <f t="shared" si="59"/>
        <v>0.0546137079195931</v>
      </c>
      <c r="G895">
        <f>((L856+D857)/365)*F895</f>
        <v>0.523693089639934</v>
      </c>
      <c r="H895">
        <f>INDEX(DE_Base_Profile!$N$6:$Q$29,ROW()-872,MATCH(J856,DE_Base_Profile!$N$5:$Q$5,0))</f>
        <v>0</v>
      </c>
      <c r="I895">
        <f>(F857/365)*H895</f>
        <v>0</v>
      </c>
      <c r="J895">
        <f>(G895+I895)/(H857/365)</f>
        <v>0.0360656561733162</v>
      </c>
    </row>
    <row r="896" spans="1:10">
      <c r="A896">
        <f>DE_Base_Profile!H29</f>
        <v>23</v>
      </c>
      <c r="B896">
        <f>DE_Base_Profile!I29</f>
        <v>0.0366</v>
      </c>
      <c r="C896">
        <f>IF(DE_Base_Profile!J29=1,INDEX(DE_Lookups!$B$2:$B$4,MATCH(B856,DE_Lookups!$A$2:$A$4,0)),1)</f>
        <v>1</v>
      </c>
      <c r="D896">
        <f>IF(OR(D856="Air conditioning",D856="Heat pump (heating &amp; cooling)"),IF(DE_Base_Profile!K29=1,N857,1),1)*IF(OR(D856="Electric heating",D856="Heat pump (heating &amp; cooling)"),IF(DE_Base_Profile!L29=1,P857,1),1)</f>
        <v>1</v>
      </c>
      <c r="E896">
        <f t="shared" si="58"/>
        <v>0.0366</v>
      </c>
      <c r="F896">
        <f t="shared" si="59"/>
        <v>0.0443206587551465</v>
      </c>
      <c r="G896">
        <f>((L856+D857)/365)*F896</f>
        <v>0.424992618200035</v>
      </c>
      <c r="H896">
        <f>INDEX(DE_Base_Profile!$N$6:$Q$29,ROW()-872,MATCH(J856,DE_Base_Profile!$N$5:$Q$5,0))</f>
        <v>0</v>
      </c>
      <c r="I896">
        <f>(F857/365)*H896</f>
        <v>0</v>
      </c>
      <c r="J896">
        <f>(G896+I896)/(H857/365)</f>
        <v>0.0292683595552854</v>
      </c>
    </row>
    <row r="901" spans="1:16">
      <c r="A901" t="s">
        <v>51</v>
      </c>
      <c r="B901" t="str">
        <f>DE_Option_Monthly!C24</f>
        <v>Mostly away during the day</v>
      </c>
      <c r="C901" t="s">
        <v>188</v>
      </c>
      <c r="D901" t="str">
        <f>DE_Option_Monthly!D24</f>
        <v>No heating or cooling system</v>
      </c>
      <c r="E901" t="s">
        <v>68</v>
      </c>
      <c r="F901" t="str">
        <f>DE_Option_Monthly!E24</f>
        <v>Medium</v>
      </c>
      <c r="G901" t="s">
        <v>98</v>
      </c>
      <c r="H901" t="str">
        <f>DE_Option_Monthly!F24</f>
        <v>10,000 km</v>
      </c>
      <c r="I901" t="s">
        <v>289</v>
      </c>
      <c r="J901" t="str">
        <f>DE_Option_Monthly!G24</f>
        <v>Solar-optimized charging</v>
      </c>
      <c r="K901" t="s">
        <v>290</v>
      </c>
      <c r="L901">
        <f>DE_Option_Monthly!$B$1</f>
        <v>3500</v>
      </c>
    </row>
    <row r="902" spans="1:16">
      <c r="A902" t="s">
        <v>291</v>
      </c>
      <c r="B902">
        <f>INDEX(DE_Lookups!$E$2:$E$5,MATCH(F901,DE_Lookups!$D$2:$D$5,0))</f>
        <v>1</v>
      </c>
      <c r="C902" t="s">
        <v>292</v>
      </c>
      <c r="D902">
        <f>IF(OR(D901="Electric heating",D901="Heat pump (heating &amp; cooling)"),INDEX(DE_Lookups!$L$2:$L$5,MATCH(D901,DE_Lookups!$K$2:$K$5,0))*B902,0)</f>
        <v>0</v>
      </c>
      <c r="E902" t="s">
        <v>293</v>
      </c>
      <c r="F902">
        <f>INDEX(DE_Lookups!$O$2:$O$7,MATCH(H901,DE_Lookups!$N$2:$N$7,0))*0.18</f>
        <v>1800</v>
      </c>
      <c r="G902" t="s">
        <v>294</v>
      </c>
      <c r="H902">
        <f>L901+D902+F902</f>
        <v>5300</v>
      </c>
      <c r="I902" t="s">
        <v>295</v>
      </c>
      <c r="J902">
        <f>INDEX(DE_Lookups!$F$2:$F$5,MATCH(F901,DE_Lookups!$D$2:$D$5,0))</f>
        <v>1.1</v>
      </c>
      <c r="K902" t="s">
        <v>296</v>
      </c>
      <c r="L902">
        <f>INDEX(DE_Lookups!$G$2:$G$5,MATCH(F901,DE_Lookups!$D$2:$D$5,0))</f>
        <v>1.15</v>
      </c>
      <c r="M902" t="s">
        <v>297</v>
      </c>
      <c r="N902">
        <f>INDEX(DE_Lookups!$H$2:$H$5,MATCH(F901,DE_Lookups!$D$2:$D$5,0))</f>
        <v>1.2</v>
      </c>
      <c r="O902" t="s">
        <v>298</v>
      </c>
      <c r="P902">
        <f>INDEX(DE_Lookups!$I$2:$I$5,MATCH(F901,DE_Lookups!$D$2:$D$5,0))</f>
        <v>1.15</v>
      </c>
    </row>
    <row r="904" spans="1:16">
      <c r="A904" t="str">
        <f>DE_Base_Profile!A6</f>
        <v>1月</v>
      </c>
      <c r="B904">
        <f>DE_Base_Profile!B6</f>
        <v>0.0789</v>
      </c>
      <c r="C904">
        <f>L901*B904</f>
        <v>276.15</v>
      </c>
      <c r="D904">
        <f>1+IF(OR(D901="Air conditioning",D901="Heat pump (heating &amp; cooling)"),IF(DE_Base_Profile!D6=1,J902-1,0),0)+IF(OR(D901="Electric heating",D901="Heat pump (heating &amp; cooling)"),IF(DE_Base_Profile!E6=1,L902-1,0),0)</f>
        <v>1</v>
      </c>
      <c r="E904">
        <f t="shared" ref="E904:E915" si="60">C904*D904</f>
        <v>276.15</v>
      </c>
      <c r="F904">
        <f>IF(D901="Electric heating",IF(DE_Base_Profile!E6=1,B904*L902,0),IF(D901="Heat pump (heating &amp; cooling)",IF(DE_Base_Profile!D6=1,B904*J902,0)+IF(DE_Base_Profile!E6=1,B904*L902,0),0))</f>
        <v>0</v>
      </c>
      <c r="G904">
        <f>IF(SUM($F$904:$F$915)=0,0,D902*F904/SUM($F$904:$F$915))</f>
        <v>0</v>
      </c>
      <c r="H904">
        <f>F902/12</f>
        <v>150</v>
      </c>
      <c r="I904">
        <f>E904/SUM($E$904:$E$915)*L901+G904+H904</f>
        <v>426.15</v>
      </c>
      <c r="J904">
        <f>I904/H902</f>
        <v>0.0804056603773585</v>
      </c>
    </row>
    <row r="905" spans="1:16">
      <c r="A905" t="str">
        <f>DE_Base_Profile!A7</f>
        <v>2月</v>
      </c>
      <c r="B905">
        <f>DE_Base_Profile!B7</f>
        <v>0.0791</v>
      </c>
      <c r="C905">
        <f>L901*B905</f>
        <v>276.85</v>
      </c>
      <c r="D905">
        <f>1+IF(OR(D901="Air conditioning",D901="Heat pump (heating &amp; cooling)"),IF(DE_Base_Profile!D7=1,J902-1,0),0)+IF(OR(D901="Electric heating",D901="Heat pump (heating &amp; cooling)"),IF(DE_Base_Profile!E7=1,L902-1,0),0)</f>
        <v>1</v>
      </c>
      <c r="E905">
        <f t="shared" si="60"/>
        <v>276.85</v>
      </c>
      <c r="F905">
        <f>IF(D901="Electric heating",IF(DE_Base_Profile!E7=1,B905*L902,0),IF(D901="Heat pump (heating &amp; cooling)",IF(DE_Base_Profile!D7=1,B905*J902,0)+IF(DE_Base_Profile!E7=1,B905*L902,0),0))</f>
        <v>0</v>
      </c>
      <c r="G905">
        <f>IF(SUM($F$904:$F$915)=0,0,D902*F905/SUM($F$904:$F$915))</f>
        <v>0</v>
      </c>
      <c r="H905">
        <f>F902/12</f>
        <v>150</v>
      </c>
      <c r="I905">
        <f>E905/SUM($E$904:$E$915)*L901+G905+H905</f>
        <v>426.85</v>
      </c>
      <c r="J905">
        <f>I905/H902</f>
        <v>0.0805377358490566</v>
      </c>
    </row>
    <row r="906" spans="1:16">
      <c r="A906" t="str">
        <f>DE_Base_Profile!A8</f>
        <v>3月</v>
      </c>
      <c r="B906">
        <f>DE_Base_Profile!B8</f>
        <v>0.0773</v>
      </c>
      <c r="C906">
        <f>L901*B906</f>
        <v>270.55</v>
      </c>
      <c r="D906">
        <f>1+IF(OR(D901="Air conditioning",D901="Heat pump (heating &amp; cooling)"),IF(DE_Base_Profile!D8=1,J902-1,0),0)+IF(OR(D901="Electric heating",D901="Heat pump (heating &amp; cooling)"),IF(DE_Base_Profile!E8=1,L902-1,0),0)</f>
        <v>1</v>
      </c>
      <c r="E906">
        <f t="shared" si="60"/>
        <v>270.55</v>
      </c>
      <c r="F906">
        <f>IF(D901="Electric heating",IF(DE_Base_Profile!E8=1,B906*L902,0),IF(D901="Heat pump (heating &amp; cooling)",IF(DE_Base_Profile!D8=1,B906*J902,0)+IF(DE_Base_Profile!E8=1,B906*L902,0),0))</f>
        <v>0</v>
      </c>
      <c r="G906">
        <f>IF(SUM($F$904:$F$915)=0,0,D902*F906/SUM($F$904:$F$915))</f>
        <v>0</v>
      </c>
      <c r="H906">
        <f>F902/12</f>
        <v>150</v>
      </c>
      <c r="I906">
        <f>E906/SUM($E$904:$E$915)*L901+G906+H906</f>
        <v>420.55</v>
      </c>
      <c r="J906">
        <f>I906/H902</f>
        <v>0.0793490566037736</v>
      </c>
    </row>
    <row r="907" spans="1:16">
      <c r="A907" t="str">
        <f>DE_Base_Profile!A9</f>
        <v>4月</v>
      </c>
      <c r="B907">
        <f>DE_Base_Profile!B9</f>
        <v>0.0822</v>
      </c>
      <c r="C907">
        <f>L901*B907</f>
        <v>287.7</v>
      </c>
      <c r="D907">
        <f>1+IF(OR(D901="Air conditioning",D901="Heat pump (heating &amp; cooling)"),IF(DE_Base_Profile!D9=1,J902-1,0),0)+IF(OR(D901="Electric heating",D901="Heat pump (heating &amp; cooling)"),IF(DE_Base_Profile!E9=1,L902-1,0),0)</f>
        <v>1</v>
      </c>
      <c r="E907">
        <f t="shared" si="60"/>
        <v>287.7</v>
      </c>
      <c r="F907">
        <f>IF(D901="Electric heating",IF(DE_Base_Profile!E9=1,B907*L902,0),IF(D901="Heat pump (heating &amp; cooling)",IF(DE_Base_Profile!D9=1,B907*J902,0)+IF(DE_Base_Profile!E9=1,B907*L902,0),0))</f>
        <v>0</v>
      </c>
      <c r="G907">
        <f>IF(SUM($F$904:$F$915)=0,0,D902*F907/SUM($F$904:$F$915))</f>
        <v>0</v>
      </c>
      <c r="H907">
        <f>F902/12</f>
        <v>150</v>
      </c>
      <c r="I907">
        <f>E907/SUM($E$904:$E$915)*L901+G907+H907</f>
        <v>437.7</v>
      </c>
      <c r="J907">
        <f>I907/H902</f>
        <v>0.0825849056603773</v>
      </c>
    </row>
    <row r="908" spans="1:16">
      <c r="A908" t="str">
        <f>DE_Base_Profile!A10</f>
        <v>5月</v>
      </c>
      <c r="B908">
        <f>DE_Base_Profile!B10</f>
        <v>0.0839</v>
      </c>
      <c r="C908">
        <f>L901*B908</f>
        <v>293.65</v>
      </c>
      <c r="D908">
        <f>1+IF(OR(D901="Air conditioning",D901="Heat pump (heating &amp; cooling)"),IF(DE_Base_Profile!D10=1,J902-1,0),0)+IF(OR(D901="Electric heating",D901="Heat pump (heating &amp; cooling)"),IF(DE_Base_Profile!E10=1,L902-1,0),0)</f>
        <v>1</v>
      </c>
      <c r="E908">
        <f t="shared" si="60"/>
        <v>293.65</v>
      </c>
      <c r="F908">
        <f>IF(D901="Electric heating",IF(DE_Base_Profile!E10=1,B908*L902,0),IF(D901="Heat pump (heating &amp; cooling)",IF(DE_Base_Profile!D10=1,B908*J902,0)+IF(DE_Base_Profile!E10=1,B908*L902,0),0))</f>
        <v>0</v>
      </c>
      <c r="G908">
        <f>IF(SUM($F$904:$F$915)=0,0,D902*F908/SUM($F$904:$F$915))</f>
        <v>0</v>
      </c>
      <c r="H908">
        <f>F902/12</f>
        <v>150</v>
      </c>
      <c r="I908">
        <f>E908/SUM($E$904:$E$915)*L901+G908+H908</f>
        <v>443.65</v>
      </c>
      <c r="J908">
        <f>I908/H902</f>
        <v>0.0837075471698113</v>
      </c>
    </row>
    <row r="909" spans="1:16">
      <c r="A909" t="str">
        <f>DE_Base_Profile!A11</f>
        <v>6月</v>
      </c>
      <c r="B909">
        <f>DE_Base_Profile!B11</f>
        <v>0.0876</v>
      </c>
      <c r="C909">
        <f>L901*B909</f>
        <v>306.6</v>
      </c>
      <c r="D909">
        <f>1+IF(OR(D901="Air conditioning",D901="Heat pump (heating &amp; cooling)"),IF(DE_Base_Profile!D11=1,J902-1,0),0)+IF(OR(D901="Electric heating",D901="Heat pump (heating &amp; cooling)"),IF(DE_Base_Profile!E11=1,L902-1,0),0)</f>
        <v>1</v>
      </c>
      <c r="E909">
        <f t="shared" si="60"/>
        <v>306.6</v>
      </c>
      <c r="F909">
        <f>IF(D901="Electric heating",IF(DE_Base_Profile!E11=1,B909*L902,0),IF(D901="Heat pump (heating &amp; cooling)",IF(DE_Base_Profile!D11=1,B909*J902,0)+IF(DE_Base_Profile!E11=1,B909*L902,0),0))</f>
        <v>0</v>
      </c>
      <c r="G909">
        <f>IF(SUM($F$904:$F$915)=0,0,D902*F909/SUM($F$904:$F$915))</f>
        <v>0</v>
      </c>
      <c r="H909">
        <f>F902/12</f>
        <v>150</v>
      </c>
      <c r="I909">
        <f>E909/SUM($E$904:$E$915)*L901+G909+H909</f>
        <v>456.6</v>
      </c>
      <c r="J909">
        <f>I909/H902</f>
        <v>0.0861509433962264</v>
      </c>
    </row>
    <row r="910" spans="1:16">
      <c r="A910" t="str">
        <f>DE_Base_Profile!A12</f>
        <v>7月</v>
      </c>
      <c r="B910">
        <f>DE_Base_Profile!B12</f>
        <v>0.0917</v>
      </c>
      <c r="C910">
        <f>L901*B910</f>
        <v>320.95</v>
      </c>
      <c r="D910">
        <f>1+IF(OR(D901="Air conditioning",D901="Heat pump (heating &amp; cooling)"),IF(DE_Base_Profile!D12=1,J902-1,0),0)+IF(OR(D901="Electric heating",D901="Heat pump (heating &amp; cooling)"),IF(DE_Base_Profile!E12=1,L902-1,0),0)</f>
        <v>1</v>
      </c>
      <c r="E910">
        <f t="shared" si="60"/>
        <v>320.95</v>
      </c>
      <c r="F910">
        <f>IF(D901="Electric heating",IF(DE_Base_Profile!E12=1,B910*L902,0),IF(D901="Heat pump (heating &amp; cooling)",IF(DE_Base_Profile!D12=1,B910*J902,0)+IF(DE_Base_Profile!E12=1,B910*L902,0),0))</f>
        <v>0</v>
      </c>
      <c r="G910">
        <f>IF(SUM($F$904:$F$915)=0,0,D902*F910/SUM($F$904:$F$915))</f>
        <v>0</v>
      </c>
      <c r="H910">
        <f>F902/12</f>
        <v>150</v>
      </c>
      <c r="I910">
        <f>E910/SUM($E$904:$E$915)*L901+G910+H910</f>
        <v>470.95</v>
      </c>
      <c r="J910">
        <f>I910/H902</f>
        <v>0.0888584905660377</v>
      </c>
    </row>
    <row r="911" spans="1:16">
      <c r="A911" t="str">
        <f>DE_Base_Profile!A13</f>
        <v>8月</v>
      </c>
      <c r="B911">
        <f>DE_Base_Profile!B13</f>
        <v>0.0887</v>
      </c>
      <c r="C911">
        <f>L901*B911</f>
        <v>310.45</v>
      </c>
      <c r="D911">
        <f>1+IF(OR(D901="Air conditioning",D901="Heat pump (heating &amp; cooling)"),IF(DE_Base_Profile!D13=1,J902-1,0),0)+IF(OR(D901="Electric heating",D901="Heat pump (heating &amp; cooling)"),IF(DE_Base_Profile!E13=1,L902-1,0),0)</f>
        <v>1</v>
      </c>
      <c r="E911">
        <f t="shared" si="60"/>
        <v>310.45</v>
      </c>
      <c r="F911">
        <f>IF(D901="Electric heating",IF(DE_Base_Profile!E13=1,B911*L902,0),IF(D901="Heat pump (heating &amp; cooling)",IF(DE_Base_Profile!D13=1,B911*J902,0)+IF(DE_Base_Profile!E13=1,B911*L902,0),0))</f>
        <v>0</v>
      </c>
      <c r="G911">
        <f>IF(SUM($F$904:$F$915)=0,0,D902*F911/SUM($F$904:$F$915))</f>
        <v>0</v>
      </c>
      <c r="H911">
        <f>F902/12</f>
        <v>150</v>
      </c>
      <c r="I911">
        <f>E911/SUM($E$904:$E$915)*L901+G911+H911</f>
        <v>460.45</v>
      </c>
      <c r="J911">
        <f>I911/H902</f>
        <v>0.086877358490566</v>
      </c>
    </row>
    <row r="912" spans="1:16">
      <c r="A912" t="str">
        <f>DE_Base_Profile!A14</f>
        <v>9月</v>
      </c>
      <c r="B912">
        <f>DE_Base_Profile!B14</f>
        <v>0.0853</v>
      </c>
      <c r="C912">
        <f>L901*B912</f>
        <v>298.55</v>
      </c>
      <c r="D912">
        <f>1+IF(OR(D901="Air conditioning",D901="Heat pump (heating &amp; cooling)"),IF(DE_Base_Profile!D14=1,J902-1,0),0)+IF(OR(D901="Electric heating",D901="Heat pump (heating &amp; cooling)"),IF(DE_Base_Profile!E14=1,L902-1,0),0)</f>
        <v>1</v>
      </c>
      <c r="E912">
        <f t="shared" si="60"/>
        <v>298.55</v>
      </c>
      <c r="F912">
        <f>IF(D901="Electric heating",IF(DE_Base_Profile!E14=1,B912*L902,0),IF(D901="Heat pump (heating &amp; cooling)",IF(DE_Base_Profile!D14=1,B912*J902,0)+IF(DE_Base_Profile!E14=1,B912*L902,0),0))</f>
        <v>0</v>
      </c>
      <c r="G912">
        <f>IF(SUM($F$904:$F$915)=0,0,D902*F912/SUM($F$904:$F$915))</f>
        <v>0</v>
      </c>
      <c r="H912">
        <f>F902/12</f>
        <v>150</v>
      </c>
      <c r="I912">
        <f>E912/SUM($E$904:$E$915)*L901+G912+H912</f>
        <v>448.55</v>
      </c>
      <c r="J912">
        <f>I912/H902</f>
        <v>0.0846320754716981</v>
      </c>
    </row>
    <row r="913" spans="1:10">
      <c r="A913" t="str">
        <f>DE_Base_Profile!A15</f>
        <v>10月</v>
      </c>
      <c r="B913">
        <f>DE_Base_Profile!B15</f>
        <v>0.0838</v>
      </c>
      <c r="C913">
        <f>L901*B913</f>
        <v>293.3</v>
      </c>
      <c r="D913">
        <f>1+IF(OR(D901="Air conditioning",D901="Heat pump (heating &amp; cooling)"),IF(DE_Base_Profile!D15=1,J902-1,0),0)+IF(OR(D901="Electric heating",D901="Heat pump (heating &amp; cooling)"),IF(DE_Base_Profile!E15=1,L902-1,0),0)</f>
        <v>1</v>
      </c>
      <c r="E913">
        <f t="shared" si="60"/>
        <v>293.3</v>
      </c>
      <c r="F913">
        <f>IF(D901="Electric heating",IF(DE_Base_Profile!E15=1,B913*L902,0),IF(D901="Heat pump (heating &amp; cooling)",IF(DE_Base_Profile!D15=1,B913*J902,0)+IF(DE_Base_Profile!E15=1,B913*L902,0),0))</f>
        <v>0</v>
      </c>
      <c r="G913">
        <f>IF(SUM($F$904:$F$915)=0,0,D902*F913/SUM($F$904:$F$915))</f>
        <v>0</v>
      </c>
      <c r="H913">
        <f>F902/12</f>
        <v>150</v>
      </c>
      <c r="I913">
        <f>E913/SUM($E$904:$E$915)*L901+G913+H913</f>
        <v>443.3</v>
      </c>
      <c r="J913">
        <f>I913/H902</f>
        <v>0.0836415094339623</v>
      </c>
    </row>
    <row r="914" spans="1:10">
      <c r="A914" t="str">
        <f>DE_Base_Profile!A16</f>
        <v>11月</v>
      </c>
      <c r="B914">
        <f>DE_Base_Profile!B16</f>
        <v>0.0819</v>
      </c>
      <c r="C914">
        <f>L901*B914</f>
        <v>286.65</v>
      </c>
      <c r="D914">
        <f>1+IF(OR(D901="Air conditioning",D901="Heat pump (heating &amp; cooling)"),IF(DE_Base_Profile!D16=1,J902-1,0),0)+IF(OR(D901="Electric heating",D901="Heat pump (heating &amp; cooling)"),IF(DE_Base_Profile!E16=1,L902-1,0),0)</f>
        <v>1</v>
      </c>
      <c r="E914">
        <f t="shared" si="60"/>
        <v>286.65</v>
      </c>
      <c r="F914">
        <f>IF(D901="Electric heating",IF(DE_Base_Profile!E16=1,B914*L902,0),IF(D901="Heat pump (heating &amp; cooling)",IF(DE_Base_Profile!D16=1,B914*J902,0)+IF(DE_Base_Profile!E16=1,B914*L902,0),0))</f>
        <v>0</v>
      </c>
      <c r="G914">
        <f>IF(SUM($F$904:$F$915)=0,0,D902*F914/SUM($F$904:$F$915))</f>
        <v>0</v>
      </c>
      <c r="H914">
        <f>F902/12</f>
        <v>150</v>
      </c>
      <c r="I914">
        <f>E914/SUM($E$904:$E$915)*L901+G914+H914</f>
        <v>436.65</v>
      </c>
      <c r="J914">
        <f>I914/H902</f>
        <v>0.0823867924528302</v>
      </c>
    </row>
    <row r="915" spans="1:10">
      <c r="A915" t="str">
        <f>DE_Base_Profile!A17</f>
        <v>12月</v>
      </c>
      <c r="B915">
        <f>DE_Base_Profile!B17</f>
        <v>0.0796</v>
      </c>
      <c r="C915">
        <f>L901*B915</f>
        <v>278.6</v>
      </c>
      <c r="D915">
        <f>1+IF(OR(D901="Air conditioning",D901="Heat pump (heating &amp; cooling)"),IF(DE_Base_Profile!D17=1,J902-1,0),0)+IF(OR(D901="Electric heating",D901="Heat pump (heating &amp; cooling)"),IF(DE_Base_Profile!E17=1,L902-1,0),0)</f>
        <v>1</v>
      </c>
      <c r="E915">
        <f t="shared" si="60"/>
        <v>278.6</v>
      </c>
      <c r="F915">
        <f>IF(D901="Electric heating",IF(DE_Base_Profile!E17=1,B915*L902,0),IF(D901="Heat pump (heating &amp; cooling)",IF(DE_Base_Profile!D17=1,B915*J902,0)+IF(DE_Base_Profile!E17=1,B915*L902,0),0))</f>
        <v>0</v>
      </c>
      <c r="G915">
        <f>IF(SUM($F$904:$F$915)=0,0,D902*F915/SUM($F$904:$F$915))</f>
        <v>0</v>
      </c>
      <c r="H915">
        <f>F902/12</f>
        <v>150</v>
      </c>
      <c r="I915">
        <f>E915/SUM($E$904:$E$915)*L901+G915+H915</f>
        <v>428.6</v>
      </c>
      <c r="J915">
        <f>I915/H902</f>
        <v>0.0808679245283019</v>
      </c>
    </row>
    <row r="918" spans="1:10">
      <c r="A918">
        <f>DE_Base_Profile!H6</f>
        <v>0</v>
      </c>
      <c r="B918">
        <f>DE_Base_Profile!I6</f>
        <v>0.0301</v>
      </c>
      <c r="C918">
        <f>IF(DE_Base_Profile!J6=1,INDEX(DE_Lookups!$B$2:$B$4,MATCH(B901,DE_Lookups!$A$2:$A$4,0)),1)</f>
        <v>1</v>
      </c>
      <c r="D918">
        <f>IF(OR(D901="Air conditioning",D901="Heat pump (heating &amp; cooling)"),IF(DE_Base_Profile!K6=1,N902,1),1)*IF(OR(D901="Electric heating",D901="Heat pump (heating &amp; cooling)"),IF(DE_Base_Profile!L6=1,P902,1),1)</f>
        <v>1</v>
      </c>
      <c r="E918">
        <f t="shared" ref="E918:E941" si="61">B918*C918*D918</f>
        <v>0.0301</v>
      </c>
      <c r="F918">
        <f t="shared" ref="F918:F941" si="62">E918/SUM($E$918:$E$941)</f>
        <v>0.0364495035117462</v>
      </c>
      <c r="G918">
        <f>((L901+D902)/365)*F918</f>
        <v>0.349515787098936</v>
      </c>
      <c r="H918">
        <f>INDEX(DE_Base_Profile!$N$6:$Q$29,ROW()-917,MATCH(J901,DE_Base_Profile!$N$5:$Q$5,0))</f>
        <v>0.025</v>
      </c>
      <c r="I918">
        <f>(F902/365)*H918</f>
        <v>0.123287671232877</v>
      </c>
      <c r="J918">
        <f>(G918+I918)/(H902/365)</f>
        <v>0.0325609928851154</v>
      </c>
    </row>
    <row r="919" spans="1:10">
      <c r="A919">
        <f>DE_Base_Profile!H7</f>
        <v>1</v>
      </c>
      <c r="B919">
        <f>DE_Base_Profile!I7</f>
        <v>0.0258</v>
      </c>
      <c r="C919">
        <f>IF(DE_Base_Profile!J7=1,INDEX(DE_Lookups!$B$2:$B$4,MATCH(B901,DE_Lookups!$A$2:$A$4,0)),1)</f>
        <v>1</v>
      </c>
      <c r="D919">
        <f>IF(OR(D901="Air conditioning",D901="Heat pump (heating &amp; cooling)"),IF(DE_Base_Profile!K7=1,N902,1),1)*IF(OR(D901="Electric heating",D901="Heat pump (heating &amp; cooling)"),IF(DE_Base_Profile!L7=1,P902,1),1)</f>
        <v>1</v>
      </c>
      <c r="E919">
        <f t="shared" si="61"/>
        <v>0.0258</v>
      </c>
      <c r="F919">
        <f t="shared" si="62"/>
        <v>0.0312424315814967</v>
      </c>
      <c r="G919">
        <f>((L901+D902)/365)*F919</f>
        <v>0.299584960370517</v>
      </c>
      <c r="H919">
        <f>INDEX(DE_Base_Profile!$N$6:$Q$29,ROW()-917,MATCH(J901,DE_Base_Profile!$N$5:$Q$5,0))</f>
        <v>0.025</v>
      </c>
      <c r="I919">
        <f>(F902/365)*H919</f>
        <v>0.123287671232877</v>
      </c>
      <c r="J919">
        <f>(G919+I919)/(H902/365)</f>
        <v>0.0291223604783469</v>
      </c>
    </row>
    <row r="920" spans="1:10">
      <c r="A920">
        <f>DE_Base_Profile!H8</f>
        <v>2</v>
      </c>
      <c r="B920">
        <f>DE_Base_Profile!I8</f>
        <v>0.0239</v>
      </c>
      <c r="C920">
        <f>IF(DE_Base_Profile!J8=1,INDEX(DE_Lookups!$B$2:$B$4,MATCH(B901,DE_Lookups!$A$2:$A$4,0)),1)</f>
        <v>1</v>
      </c>
      <c r="D920">
        <f>IF(OR(D901="Air conditioning",D901="Heat pump (heating &amp; cooling)"),IF(DE_Base_Profile!K8=1,N902,1),1)*IF(OR(D901="Electric heating",D901="Heat pump (heating &amp; cooling)"),IF(DE_Base_Profile!L8=1,P902,1),1)</f>
        <v>1</v>
      </c>
      <c r="E920">
        <f t="shared" si="61"/>
        <v>0.0239</v>
      </c>
      <c r="F920">
        <f t="shared" si="62"/>
        <v>0.0289416323565028</v>
      </c>
      <c r="G920">
        <f>((L901+D902)/365)*F920</f>
        <v>0.277522502048657</v>
      </c>
      <c r="H920">
        <f>INDEX(DE_Base_Profile!$N$6:$Q$29,ROW()-917,MATCH(J901,DE_Base_Profile!$N$5:$Q$5,0))</f>
        <v>0.025</v>
      </c>
      <c r="I920">
        <f>(F902/365)*H920</f>
        <v>0.123287671232877</v>
      </c>
      <c r="J920">
        <f>(G920+I920)/(H902/365)</f>
        <v>0.0276029647637283</v>
      </c>
    </row>
    <row r="921" spans="1:10">
      <c r="A921">
        <f>DE_Base_Profile!H9</f>
        <v>3</v>
      </c>
      <c r="B921">
        <f>DE_Base_Profile!I9</f>
        <v>0.0232</v>
      </c>
      <c r="C921">
        <f>IF(DE_Base_Profile!J9=1,INDEX(DE_Lookups!$B$2:$B$4,MATCH(B901,DE_Lookups!$A$2:$A$4,0)),1)</f>
        <v>1</v>
      </c>
      <c r="D921">
        <f>IF(OR(D901="Air conditioning",D901="Heat pump (heating &amp; cooling)"),IF(DE_Base_Profile!K9=1,N902,1),1)*IF(OR(D901="Electric heating",D901="Heat pump (heating &amp; cooling)"),IF(DE_Base_Profile!L9=1,P902,1),1)</f>
        <v>1</v>
      </c>
      <c r="E921">
        <f t="shared" si="61"/>
        <v>0.0232</v>
      </c>
      <c r="F921">
        <f t="shared" si="62"/>
        <v>0.0280939694841366</v>
      </c>
      <c r="G921">
        <f>((L901+D902)/365)*F921</f>
        <v>0.269394227930077</v>
      </c>
      <c r="H921">
        <f>INDEX(DE_Base_Profile!$N$6:$Q$29,ROW()-917,MATCH(J901,DE_Base_Profile!$N$5:$Q$5,0))</f>
        <v>0.025</v>
      </c>
      <c r="I921">
        <f>(F902/365)*H921</f>
        <v>0.123287671232877</v>
      </c>
      <c r="J921">
        <f>(G921+I921)/(H902/365)</f>
        <v>0.0270431873951845</v>
      </c>
    </row>
    <row r="922" spans="1:10">
      <c r="A922">
        <f>DE_Base_Profile!H10</f>
        <v>4</v>
      </c>
      <c r="B922">
        <f>DE_Base_Profile!I10</f>
        <v>0.0236</v>
      </c>
      <c r="C922">
        <f>IF(DE_Base_Profile!J10=1,INDEX(DE_Lookups!$B$2:$B$4,MATCH(B901,DE_Lookups!$A$2:$A$4,0)),1)</f>
        <v>1</v>
      </c>
      <c r="D922">
        <f>IF(OR(D901="Air conditioning",D901="Heat pump (heating &amp; cooling)"),IF(DE_Base_Profile!K10=1,N902,1),1)*IF(OR(D901="Electric heating",D901="Heat pump (heating &amp; cooling)"),IF(DE_Base_Profile!L10=1,P902,1),1)</f>
        <v>1</v>
      </c>
      <c r="E922">
        <f t="shared" si="61"/>
        <v>0.0236</v>
      </c>
      <c r="F922">
        <f t="shared" si="62"/>
        <v>0.0285783482683458</v>
      </c>
      <c r="G922">
        <f>((L901+D902)/365)*F922</f>
        <v>0.274038955997837</v>
      </c>
      <c r="H922">
        <f>INDEX(DE_Base_Profile!$N$6:$Q$29,ROW()-917,MATCH(J901,DE_Base_Profile!$N$5:$Q$5,0))</f>
        <v>0.025</v>
      </c>
      <c r="I922">
        <f>(F902/365)*H922</f>
        <v>0.123287671232877</v>
      </c>
      <c r="J922">
        <f>(G922+I922)/(H902/365)</f>
        <v>0.0273630601772095</v>
      </c>
    </row>
    <row r="923" spans="1:10">
      <c r="A923">
        <f>DE_Base_Profile!H11</f>
        <v>5</v>
      </c>
      <c r="B923">
        <f>DE_Base_Profile!I11</f>
        <v>0.0252</v>
      </c>
      <c r="C923">
        <f>IF(DE_Base_Profile!J11=1,INDEX(DE_Lookups!$B$2:$B$4,MATCH(B901,DE_Lookups!$A$2:$A$4,0)),1)</f>
        <v>1</v>
      </c>
      <c r="D923">
        <f>IF(OR(D901="Air conditioning",D901="Heat pump (heating &amp; cooling)"),IF(DE_Base_Profile!K11=1,N902,1),1)*IF(OR(D901="Electric heating",D901="Heat pump (heating &amp; cooling)"),IF(DE_Base_Profile!L11=1,P902,1),1)</f>
        <v>1</v>
      </c>
      <c r="E923">
        <f t="shared" si="61"/>
        <v>0.0252</v>
      </c>
      <c r="F923">
        <f t="shared" si="62"/>
        <v>0.0305158634051829</v>
      </c>
      <c r="G923">
        <f>((L901+D902)/365)*F923</f>
        <v>0.292617868268877</v>
      </c>
      <c r="H923">
        <f>INDEX(DE_Base_Profile!$N$6:$Q$29,ROW()-917,MATCH(J901,DE_Base_Profile!$N$5:$Q$5,0))</f>
        <v>0.025</v>
      </c>
      <c r="I923">
        <f>(F902/365)*H923</f>
        <v>0.123287671232877</v>
      </c>
      <c r="J923">
        <f>(G923+I923)/(H902/365)</f>
        <v>0.0286425513053094</v>
      </c>
    </row>
    <row r="924" spans="1:10">
      <c r="A924">
        <f>DE_Base_Profile!H12</f>
        <v>6</v>
      </c>
      <c r="B924">
        <f>DE_Base_Profile!I12</f>
        <v>0.03</v>
      </c>
      <c r="C924">
        <f>IF(DE_Base_Profile!J12=1,INDEX(DE_Lookups!$B$2:$B$4,MATCH(B901,DE_Lookups!$A$2:$A$4,0)),1)</f>
        <v>1</v>
      </c>
      <c r="D924">
        <f>IF(OR(D901="Air conditioning",D901="Heat pump (heating &amp; cooling)"),IF(DE_Base_Profile!K12=1,N902,1),1)*IF(OR(D901="Electric heating",D901="Heat pump (heating &amp; cooling)"),IF(DE_Base_Profile!L12=1,P902,1),1)</f>
        <v>1</v>
      </c>
      <c r="E924">
        <f t="shared" si="61"/>
        <v>0.03</v>
      </c>
      <c r="F924">
        <f t="shared" si="62"/>
        <v>0.0363284088156939</v>
      </c>
      <c r="G924">
        <f>((L901+D902)/365)*F924</f>
        <v>0.348354605081996</v>
      </c>
      <c r="H924">
        <f>INDEX(DE_Base_Profile!$N$6:$Q$29,ROW()-917,MATCH(J901,DE_Base_Profile!$N$5:$Q$5,0))</f>
        <v>0</v>
      </c>
      <c r="I924">
        <f>(F902/365)*H924</f>
        <v>0</v>
      </c>
      <c r="J924">
        <f>(G924+I924)/(H902/365)</f>
        <v>0.0239904586518733</v>
      </c>
    </row>
    <row r="925" spans="1:10">
      <c r="A925">
        <f>DE_Base_Profile!H13</f>
        <v>7</v>
      </c>
      <c r="B925">
        <f>DE_Base_Profile!I13</f>
        <v>0.0358</v>
      </c>
      <c r="C925">
        <f>IF(DE_Base_Profile!J13=1,INDEX(DE_Lookups!$B$2:$B$4,MATCH(B901,DE_Lookups!$A$2:$A$4,0)),1)</f>
        <v>1</v>
      </c>
      <c r="D925">
        <f>IF(OR(D901="Air conditioning",D901="Heat pump (heating &amp; cooling)"),IF(DE_Base_Profile!K13=1,N902,1),1)*IF(OR(D901="Electric heating",D901="Heat pump (heating &amp; cooling)"),IF(DE_Base_Profile!L13=1,P902,1),1)</f>
        <v>1</v>
      </c>
      <c r="E925">
        <f t="shared" si="61"/>
        <v>0.0358</v>
      </c>
      <c r="F925">
        <f t="shared" si="62"/>
        <v>0.043351901186728</v>
      </c>
      <c r="G925">
        <f>((L901+D902)/365)*F925</f>
        <v>0.415703162064515</v>
      </c>
      <c r="H925">
        <f>INDEX(DE_Base_Profile!$N$6:$Q$29,ROW()-917,MATCH(J901,DE_Base_Profile!$N$5:$Q$5,0))</f>
        <v>0</v>
      </c>
      <c r="I925">
        <f>(F902/365)*H925</f>
        <v>0</v>
      </c>
      <c r="J925">
        <f>(G925+I925)/(H902/365)</f>
        <v>0.0286286139912355</v>
      </c>
    </row>
    <row r="926" spans="1:10">
      <c r="A926">
        <f>DE_Base_Profile!H14</f>
        <v>8</v>
      </c>
      <c r="B926">
        <f>DE_Base_Profile!I14</f>
        <v>0.041</v>
      </c>
      <c r="C926">
        <f>IF(DE_Base_Profile!J14=1,INDEX(DE_Lookups!$B$2:$B$4,MATCH(B901,DE_Lookups!$A$2:$A$4,0)),1)</f>
        <v>1</v>
      </c>
      <c r="D926">
        <f>IF(OR(D901="Air conditioning",D901="Heat pump (heating &amp; cooling)"),IF(DE_Base_Profile!K14=1,N902,1),1)*IF(OR(D901="Electric heating",D901="Heat pump (heating &amp; cooling)"),IF(DE_Base_Profile!L14=1,P902,1),1)</f>
        <v>1</v>
      </c>
      <c r="E926">
        <f t="shared" si="61"/>
        <v>0.041</v>
      </c>
      <c r="F926">
        <f t="shared" si="62"/>
        <v>0.0496488253814483</v>
      </c>
      <c r="G926">
        <f>((L901+D902)/365)*F926</f>
        <v>0.476084626945395</v>
      </c>
      <c r="H926">
        <f>INDEX(DE_Base_Profile!$N$6:$Q$29,ROW()-917,MATCH(J901,DE_Base_Profile!$N$5:$Q$5,0))</f>
        <v>0</v>
      </c>
      <c r="I926">
        <f>(F902/365)*H926</f>
        <v>0</v>
      </c>
      <c r="J926">
        <f>(G926+I926)/(H902/365)</f>
        <v>0.0327869601575602</v>
      </c>
    </row>
    <row r="927" spans="1:10">
      <c r="A927">
        <f>DE_Base_Profile!H15</f>
        <v>9</v>
      </c>
      <c r="B927">
        <f>DE_Base_Profile!I15</f>
        <v>0.0446</v>
      </c>
      <c r="C927">
        <f>IF(DE_Base_Profile!J15=1,INDEX(DE_Lookups!$B$2:$B$4,MATCH(B901,DE_Lookups!$A$2:$A$4,0)),1)</f>
        <v>0.6</v>
      </c>
      <c r="D927">
        <f>IF(OR(D901="Air conditioning",D901="Heat pump (heating &amp; cooling)"),IF(DE_Base_Profile!K15=1,N902,1),1)*IF(OR(D901="Electric heating",D901="Heat pump (heating &amp; cooling)"),IF(DE_Base_Profile!L15=1,P902,1),1)</f>
        <v>1</v>
      </c>
      <c r="E927">
        <f t="shared" si="61"/>
        <v>0.02676</v>
      </c>
      <c r="F927">
        <f t="shared" si="62"/>
        <v>0.0324049406635989</v>
      </c>
      <c r="G927">
        <f>((L901+D902)/365)*F927</f>
        <v>0.31073230773314</v>
      </c>
      <c r="H927">
        <f>INDEX(DE_Base_Profile!$N$6:$Q$29,ROW()-917,MATCH(J901,DE_Base_Profile!$N$5:$Q$5,0))</f>
        <v>0.04</v>
      </c>
      <c r="I927">
        <f>(F902/365)*H927</f>
        <v>0.197260273972603</v>
      </c>
      <c r="J927">
        <f>(G927+I927)/(H902/365)</f>
        <v>0.0349843947778484</v>
      </c>
    </row>
    <row r="928" spans="1:10">
      <c r="A928">
        <f>DE_Base_Profile!H16</f>
        <v>10</v>
      </c>
      <c r="B928">
        <f>DE_Base_Profile!I16</f>
        <v>0.0474</v>
      </c>
      <c r="C928">
        <f>IF(DE_Base_Profile!J16=1,INDEX(DE_Lookups!$B$2:$B$4,MATCH(B901,DE_Lookups!$A$2:$A$4,0)),1)</f>
        <v>0.6</v>
      </c>
      <c r="D928">
        <f>IF(OR(D901="Air conditioning",D901="Heat pump (heating &amp; cooling)"),IF(DE_Base_Profile!K16=1,N902,1),1)*IF(OR(D901="Electric heating",D901="Heat pump (heating &amp; cooling)"),IF(DE_Base_Profile!L16=1,P902,1),1)</f>
        <v>1</v>
      </c>
      <c r="E928">
        <f t="shared" si="61"/>
        <v>0.02844</v>
      </c>
      <c r="F928">
        <f t="shared" si="62"/>
        <v>0.0344393315572778</v>
      </c>
      <c r="G928">
        <f>((L901+D902)/365)*F928</f>
        <v>0.330240165617732</v>
      </c>
      <c r="H928">
        <f>INDEX(DE_Base_Profile!$N$6:$Q$29,ROW()-917,MATCH(J901,DE_Base_Profile!$N$5:$Q$5,0))</f>
        <v>0.072</v>
      </c>
      <c r="I928">
        <f>(F902/365)*H928</f>
        <v>0.355068493150685</v>
      </c>
      <c r="J928">
        <f>(G928+I928)/(H902/365)</f>
        <v>0.0471957849906551</v>
      </c>
    </row>
    <row r="929" spans="1:10">
      <c r="A929">
        <f>DE_Base_Profile!H17</f>
        <v>11</v>
      </c>
      <c r="B929">
        <f>DE_Base_Profile!I17</f>
        <v>0.0518</v>
      </c>
      <c r="C929">
        <f>IF(DE_Base_Profile!J17=1,INDEX(DE_Lookups!$B$2:$B$4,MATCH(B901,DE_Lookups!$A$2:$A$4,0)),1)</f>
        <v>0.6</v>
      </c>
      <c r="D929">
        <f>IF(OR(D901="Air conditioning",D901="Heat pump (heating &amp; cooling)"),IF(DE_Base_Profile!K17=1,N902,1),1)*IF(OR(D901="Electric heating",D901="Heat pump (heating &amp; cooling)"),IF(DE_Base_Profile!L17=1,P902,1),1)</f>
        <v>1</v>
      </c>
      <c r="E929">
        <f t="shared" si="61"/>
        <v>0.03108</v>
      </c>
      <c r="F929">
        <f t="shared" si="62"/>
        <v>0.0376362315330588</v>
      </c>
      <c r="G929">
        <f>((L901+D902)/365)*F929</f>
        <v>0.360895370864948</v>
      </c>
      <c r="H929">
        <f>INDEX(DE_Base_Profile!$N$6:$Q$29,ROW()-917,MATCH(J901,DE_Base_Profile!$N$5:$Q$5,0))</f>
        <v>0.104</v>
      </c>
      <c r="I929">
        <f>(F902/365)*H929</f>
        <v>0.512876712328767</v>
      </c>
      <c r="J929">
        <f>(G929+I929)/(H902/365)</f>
        <v>0.0601748698803219</v>
      </c>
    </row>
    <row r="930" spans="1:10">
      <c r="A930">
        <f>DE_Base_Profile!H18</f>
        <v>12</v>
      </c>
      <c r="B930">
        <f>DE_Base_Profile!I18</f>
        <v>0.0513</v>
      </c>
      <c r="C930">
        <f>IF(DE_Base_Profile!J18=1,INDEX(DE_Lookups!$B$2:$B$4,MATCH(B901,DE_Lookups!$A$2:$A$4,0)),1)</f>
        <v>0.6</v>
      </c>
      <c r="D930">
        <f>IF(OR(D901="Air conditioning",D901="Heat pump (heating &amp; cooling)"),IF(DE_Base_Profile!K18=1,N902,1),1)*IF(OR(D901="Electric heating",D901="Heat pump (heating &amp; cooling)"),IF(DE_Base_Profile!L18=1,P902,1),1)</f>
        <v>1</v>
      </c>
      <c r="E930">
        <f t="shared" si="61"/>
        <v>0.03078</v>
      </c>
      <c r="F930">
        <f t="shared" si="62"/>
        <v>0.0372729474449019</v>
      </c>
      <c r="G930">
        <f>((L901+D902)/365)*F930</f>
        <v>0.357411824814128</v>
      </c>
      <c r="H930">
        <f>INDEX(DE_Base_Profile!$N$6:$Q$29,ROW()-917,MATCH(J901,DE_Base_Profile!$N$5:$Q$5,0))</f>
        <v>0.128</v>
      </c>
      <c r="I930">
        <f>(F902/365)*H930</f>
        <v>0.631232876712329</v>
      </c>
      <c r="J930">
        <f>(G930+I930)/(H902/365)</f>
        <v>0.0680859086900296</v>
      </c>
    </row>
    <row r="931" spans="1:10">
      <c r="A931">
        <f>DE_Base_Profile!H19</f>
        <v>13</v>
      </c>
      <c r="B931">
        <f>DE_Base_Profile!I19</f>
        <v>0.0481</v>
      </c>
      <c r="C931">
        <f>IF(DE_Base_Profile!J19=1,INDEX(DE_Lookups!$B$2:$B$4,MATCH(B901,DE_Lookups!$A$2:$A$4,0)),1)</f>
        <v>0.6</v>
      </c>
      <c r="D931">
        <f>IF(OR(D901="Air conditioning",D901="Heat pump (heating &amp; cooling)"),IF(DE_Base_Profile!K19=1,N902,1),1)*IF(OR(D901="Electric heating",D901="Heat pump (heating &amp; cooling)"),IF(DE_Base_Profile!L19=1,P902,1),1)</f>
        <v>1</v>
      </c>
      <c r="E931">
        <f t="shared" si="61"/>
        <v>0.02886</v>
      </c>
      <c r="F931">
        <f t="shared" si="62"/>
        <v>0.0349479292806975</v>
      </c>
      <c r="G931">
        <f>((L901+D902)/365)*F931</f>
        <v>0.33511713008888</v>
      </c>
      <c r="H931">
        <f>INDEX(DE_Base_Profile!$N$6:$Q$29,ROW()-917,MATCH(J901,DE_Base_Profile!$N$5:$Q$5,0))</f>
        <v>0.136</v>
      </c>
      <c r="I931">
        <f>(F902/365)*H931</f>
        <v>0.670684931506849</v>
      </c>
      <c r="J931">
        <f>(G931+I931)/(H902/365)</f>
        <v>0.0692675004683851</v>
      </c>
    </row>
    <row r="932" spans="1:10">
      <c r="A932">
        <f>DE_Base_Profile!H20</f>
        <v>14</v>
      </c>
      <c r="B932">
        <f>DE_Base_Profile!I20</f>
        <v>0.0459</v>
      </c>
      <c r="C932">
        <f>IF(DE_Base_Profile!J20=1,INDEX(DE_Lookups!$B$2:$B$4,MATCH(B901,DE_Lookups!$A$2:$A$4,0)),1)</f>
        <v>0.6</v>
      </c>
      <c r="D932">
        <f>IF(OR(D901="Air conditioning",D901="Heat pump (heating &amp; cooling)"),IF(DE_Base_Profile!K20=1,N902,1),1)*IF(OR(D901="Electric heating",D901="Heat pump (heating &amp; cooling)"),IF(DE_Base_Profile!L20=1,P902,1),1)</f>
        <v>1</v>
      </c>
      <c r="E932">
        <f t="shared" si="61"/>
        <v>0.02754</v>
      </c>
      <c r="F932">
        <f t="shared" si="62"/>
        <v>0.033349479292807</v>
      </c>
      <c r="G932">
        <f>((L901+D902)/365)*F932</f>
        <v>0.319789527465272</v>
      </c>
      <c r="H932">
        <f>INDEX(DE_Base_Profile!$N$6:$Q$29,ROW()-917,MATCH(J901,DE_Base_Profile!$N$5:$Q$5,0))</f>
        <v>0.128</v>
      </c>
      <c r="I932">
        <f>(F902/365)*H932</f>
        <v>0.631232876712329</v>
      </c>
      <c r="J932">
        <f>(G932+I932)/(H902/365)</f>
        <v>0.0654949391556272</v>
      </c>
    </row>
    <row r="933" spans="1:10">
      <c r="A933">
        <f>DE_Base_Profile!H21</f>
        <v>15</v>
      </c>
      <c r="B933">
        <f>DE_Base_Profile!I21</f>
        <v>0.0454</v>
      </c>
      <c r="C933">
        <f>IF(DE_Base_Profile!J21=1,INDEX(DE_Lookups!$B$2:$B$4,MATCH(B901,DE_Lookups!$A$2:$A$4,0)),1)</f>
        <v>0.6</v>
      </c>
      <c r="D933">
        <f>IF(OR(D901="Air conditioning",D901="Heat pump (heating &amp; cooling)"),IF(DE_Base_Profile!K21=1,N902,1),1)*IF(OR(D901="Electric heating",D901="Heat pump (heating &amp; cooling)"),IF(DE_Base_Profile!L21=1,P902,1),1)</f>
        <v>1</v>
      </c>
      <c r="E933">
        <f t="shared" si="61"/>
        <v>0.02724</v>
      </c>
      <c r="F933">
        <f t="shared" si="62"/>
        <v>0.03298619520465</v>
      </c>
      <c r="G933">
        <f>((L901+D902)/365)*F933</f>
        <v>0.316305981414452</v>
      </c>
      <c r="H933">
        <f>INDEX(DE_Base_Profile!$N$6:$Q$29,ROW()-917,MATCH(J901,DE_Base_Profile!$N$5:$Q$5,0))</f>
        <v>0.104</v>
      </c>
      <c r="I933">
        <f>(F902/365)*H933</f>
        <v>0.512876712328767</v>
      </c>
      <c r="J933">
        <f>(G933+I933)/(H902/365)</f>
        <v>0.0571040911728821</v>
      </c>
    </row>
    <row r="934" spans="1:10">
      <c r="A934">
        <f>DE_Base_Profile!H22</f>
        <v>16</v>
      </c>
      <c r="B934">
        <f>DE_Base_Profile!I22</f>
        <v>0.0475</v>
      </c>
      <c r="C934">
        <f>IF(DE_Base_Profile!J22=1,INDEX(DE_Lookups!$B$2:$B$4,MATCH(B901,DE_Lookups!$A$2:$A$4,0)),1)</f>
        <v>0.6</v>
      </c>
      <c r="D934">
        <f>IF(OR(D901="Air conditioning",D901="Heat pump (heating &amp; cooling)"),IF(DE_Base_Profile!K22=1,N902,1),1)*IF(OR(D901="Electric heating",D901="Heat pump (heating &amp; cooling)"),IF(DE_Base_Profile!L22=1,P902,1),1)</f>
        <v>1</v>
      </c>
      <c r="E934">
        <f t="shared" si="61"/>
        <v>0.0285</v>
      </c>
      <c r="F934">
        <f t="shared" si="62"/>
        <v>0.0345119883749092</v>
      </c>
      <c r="G934">
        <f>((L901+D902)/365)*F934</f>
        <v>0.330936874827896</v>
      </c>
      <c r="H934">
        <f>INDEX(DE_Base_Profile!$N$6:$Q$29,ROW()-917,MATCH(J901,DE_Base_Profile!$N$5:$Q$5,0))</f>
        <v>0.088</v>
      </c>
      <c r="I934">
        <f>(F902/365)*H934</f>
        <v>0.433972602739726</v>
      </c>
      <c r="J934">
        <f>(G934+I934)/(H902/365)</f>
        <v>0.0526777281721098</v>
      </c>
    </row>
    <row r="935" spans="1:10">
      <c r="A935">
        <f>DE_Base_Profile!H23</f>
        <v>17</v>
      </c>
      <c r="B935">
        <f>DE_Base_Profile!I23</f>
        <v>0.0535</v>
      </c>
      <c r="C935">
        <f>IF(DE_Base_Profile!J23=1,INDEX(DE_Lookups!$B$2:$B$4,MATCH(B901,DE_Lookups!$A$2:$A$4,0)),1)</f>
        <v>0.6</v>
      </c>
      <c r="D935">
        <f>IF(OR(D901="Air conditioning",D901="Heat pump (heating &amp; cooling)"),IF(DE_Base_Profile!K23=1,N902,1),1)*IF(OR(D901="Electric heating",D901="Heat pump (heating &amp; cooling)"),IF(DE_Base_Profile!L23=1,P902,1),1)</f>
        <v>1</v>
      </c>
      <c r="E935">
        <f t="shared" si="61"/>
        <v>0.0321</v>
      </c>
      <c r="F935">
        <f t="shared" si="62"/>
        <v>0.0388713974327924</v>
      </c>
      <c r="G935">
        <f>((L901+D902)/365)*F935</f>
        <v>0.372739427437736</v>
      </c>
      <c r="H935">
        <f>INDEX(DE_Base_Profile!$N$6:$Q$29,ROW()-917,MATCH(J901,DE_Base_Profile!$N$5:$Q$5,0))</f>
        <v>0</v>
      </c>
      <c r="I935">
        <f>(F902/365)*H935</f>
        <v>0</v>
      </c>
      <c r="J935">
        <f>(G935+I935)/(H902/365)</f>
        <v>0.0256697907575044</v>
      </c>
    </row>
    <row r="936" spans="1:10">
      <c r="A936">
        <f>DE_Base_Profile!H24</f>
        <v>18</v>
      </c>
      <c r="B936">
        <f>DE_Base_Profile!I24</f>
        <v>0.0587</v>
      </c>
      <c r="C936">
        <f>IF(DE_Base_Profile!J24=1,INDEX(DE_Lookups!$B$2:$B$4,MATCH(B901,DE_Lookups!$A$2:$A$4,0)),1)</f>
        <v>1</v>
      </c>
      <c r="D936">
        <f>IF(OR(D901="Air conditioning",D901="Heat pump (heating &amp; cooling)"),IF(DE_Base_Profile!K24=1,N902,1),1)*IF(OR(D901="Electric heating",D901="Heat pump (heating &amp; cooling)"),IF(DE_Base_Profile!L24=1,P902,1),1)</f>
        <v>1</v>
      </c>
      <c r="E936">
        <f t="shared" si="61"/>
        <v>0.0587</v>
      </c>
      <c r="F936">
        <f t="shared" si="62"/>
        <v>0.0710825865827077</v>
      </c>
      <c r="G936">
        <f>((L901+D902)/365)*F936</f>
        <v>0.681613843943772</v>
      </c>
      <c r="H936">
        <f>INDEX(DE_Base_Profile!$N$6:$Q$29,ROW()-917,MATCH(J901,DE_Base_Profile!$N$5:$Q$5,0))</f>
        <v>0</v>
      </c>
      <c r="I936">
        <f>(F902/365)*H936</f>
        <v>0</v>
      </c>
      <c r="J936">
        <f>(G936+I936)/(H902/365)</f>
        <v>0.0469413307621654</v>
      </c>
    </row>
    <row r="937" spans="1:10">
      <c r="A937">
        <f>DE_Base_Profile!H25</f>
        <v>19</v>
      </c>
      <c r="B937">
        <f>DE_Base_Profile!I25</f>
        <v>0.0591</v>
      </c>
      <c r="C937">
        <f>IF(DE_Base_Profile!J25=1,INDEX(DE_Lookups!$B$2:$B$4,MATCH(B901,DE_Lookups!$A$2:$A$4,0)),1)</f>
        <v>1</v>
      </c>
      <c r="D937">
        <f>IF(OR(D901="Air conditioning",D901="Heat pump (heating &amp; cooling)"),IF(DE_Base_Profile!K25=1,N902,1),1)*IF(OR(D901="Electric heating",D901="Heat pump (heating &amp; cooling)"),IF(DE_Base_Profile!L25=1,P902,1),1)</f>
        <v>1</v>
      </c>
      <c r="E937">
        <f t="shared" si="61"/>
        <v>0.0591</v>
      </c>
      <c r="F937">
        <f t="shared" si="62"/>
        <v>0.0715669653669169</v>
      </c>
      <c r="G937">
        <f>((L901+D902)/365)*F937</f>
        <v>0.686258572011532</v>
      </c>
      <c r="H937">
        <f>INDEX(DE_Base_Profile!$N$6:$Q$29,ROW()-917,MATCH(J901,DE_Base_Profile!$N$5:$Q$5,0))</f>
        <v>0</v>
      </c>
      <c r="I937">
        <f>(F902/365)*H937</f>
        <v>0</v>
      </c>
      <c r="J937">
        <f>(G937+I937)/(H902/365)</f>
        <v>0.0472612035441904</v>
      </c>
    </row>
    <row r="938" spans="1:10">
      <c r="A938">
        <f>DE_Base_Profile!H26</f>
        <v>20</v>
      </c>
      <c r="B938">
        <f>DE_Base_Profile!I26</f>
        <v>0.0556</v>
      </c>
      <c r="C938">
        <f>IF(DE_Base_Profile!J26=1,INDEX(DE_Lookups!$B$2:$B$4,MATCH(B901,DE_Lookups!$A$2:$A$4,0)),1)</f>
        <v>1</v>
      </c>
      <c r="D938">
        <f>IF(OR(D901="Air conditioning",D901="Heat pump (heating &amp; cooling)"),IF(DE_Base_Profile!K26=1,N902,1),1)*IF(OR(D901="Electric heating",D901="Heat pump (heating &amp; cooling)"),IF(DE_Base_Profile!L26=1,P902,1),1)</f>
        <v>1</v>
      </c>
      <c r="E938">
        <f t="shared" si="61"/>
        <v>0.0556</v>
      </c>
      <c r="F938">
        <f t="shared" si="62"/>
        <v>0.067328651005086</v>
      </c>
      <c r="G938">
        <f>((L901+D902)/365)*F938</f>
        <v>0.645617201418633</v>
      </c>
      <c r="H938">
        <f>INDEX(DE_Base_Profile!$N$6:$Q$29,ROW()-917,MATCH(J901,DE_Base_Profile!$N$5:$Q$5,0))</f>
        <v>0</v>
      </c>
      <c r="I938">
        <f>(F902/365)*H938</f>
        <v>0</v>
      </c>
      <c r="J938">
        <f>(G938+I938)/(H902/365)</f>
        <v>0.0444623167014719</v>
      </c>
    </row>
    <row r="939" spans="1:10">
      <c r="A939">
        <f>DE_Base_Profile!H27</f>
        <v>21</v>
      </c>
      <c r="B939">
        <f>DE_Base_Profile!I27</f>
        <v>0.0508</v>
      </c>
      <c r="C939">
        <f>IF(DE_Base_Profile!J27=1,INDEX(DE_Lookups!$B$2:$B$4,MATCH(B901,DE_Lookups!$A$2:$A$4,0)),1)</f>
        <v>1</v>
      </c>
      <c r="D939">
        <f>IF(OR(D901="Air conditioning",D901="Heat pump (heating &amp; cooling)"),IF(DE_Base_Profile!K27=1,N902,1),1)*IF(OR(D901="Electric heating",D901="Heat pump (heating &amp; cooling)"),IF(DE_Base_Profile!L27=1,P902,1),1)</f>
        <v>1</v>
      </c>
      <c r="E939">
        <f t="shared" si="61"/>
        <v>0.0508</v>
      </c>
      <c r="F939">
        <f t="shared" si="62"/>
        <v>0.061516105594575</v>
      </c>
      <c r="G939">
        <f>((L901+D902)/365)*F939</f>
        <v>0.589880464605513</v>
      </c>
      <c r="H939">
        <f>INDEX(DE_Base_Profile!$N$6:$Q$29,ROW()-917,MATCH(J901,DE_Base_Profile!$N$5:$Q$5,0))</f>
        <v>0</v>
      </c>
      <c r="I939">
        <f>(F902/365)*H939</f>
        <v>0</v>
      </c>
      <c r="J939">
        <f>(G939+I939)/(H902/365)</f>
        <v>0.0406238433171721</v>
      </c>
    </row>
    <row r="940" spans="1:10">
      <c r="A940">
        <f>DE_Base_Profile!H28</f>
        <v>22</v>
      </c>
      <c r="B940">
        <f>DE_Base_Profile!I28</f>
        <v>0.0451</v>
      </c>
      <c r="C940">
        <f>IF(DE_Base_Profile!J28=1,INDEX(DE_Lookups!$B$2:$B$4,MATCH(B901,DE_Lookups!$A$2:$A$4,0)),1)</f>
        <v>1</v>
      </c>
      <c r="D940">
        <f>IF(OR(D901="Air conditioning",D901="Heat pump (heating &amp; cooling)"),IF(DE_Base_Profile!K28=1,N902,1),1)*IF(OR(D901="Electric heating",D901="Heat pump (heating &amp; cooling)"),IF(DE_Base_Profile!L28=1,P902,1),1)</f>
        <v>1</v>
      </c>
      <c r="E940">
        <f t="shared" si="61"/>
        <v>0.0451</v>
      </c>
      <c r="F940">
        <f t="shared" si="62"/>
        <v>0.0546137079195931</v>
      </c>
      <c r="G940">
        <f>((L901+D902)/365)*F940</f>
        <v>0.523693089639934</v>
      </c>
      <c r="H940">
        <f>INDEX(DE_Base_Profile!$N$6:$Q$29,ROW()-917,MATCH(J901,DE_Base_Profile!$N$5:$Q$5,0))</f>
        <v>0.025</v>
      </c>
      <c r="I940">
        <f>(F902/365)*H940</f>
        <v>0.123287671232877</v>
      </c>
      <c r="J940">
        <f>(G940+I940)/(H902/365)</f>
        <v>0.0445562222110521</v>
      </c>
    </row>
    <row r="941" spans="1:10">
      <c r="A941">
        <f>DE_Base_Profile!H29</f>
        <v>23</v>
      </c>
      <c r="B941">
        <f>DE_Base_Profile!I29</f>
        <v>0.0366</v>
      </c>
      <c r="C941">
        <f>IF(DE_Base_Profile!J29=1,INDEX(DE_Lookups!$B$2:$B$4,MATCH(B901,DE_Lookups!$A$2:$A$4,0)),1)</f>
        <v>1</v>
      </c>
      <c r="D941">
        <f>IF(OR(D901="Air conditioning",D901="Heat pump (heating &amp; cooling)"),IF(DE_Base_Profile!K29=1,N902,1),1)*IF(OR(D901="Electric heating",D901="Heat pump (heating &amp; cooling)"),IF(DE_Base_Profile!L29=1,P902,1),1)</f>
        <v>1</v>
      </c>
      <c r="E941">
        <f t="shared" si="61"/>
        <v>0.0366</v>
      </c>
      <c r="F941">
        <f t="shared" si="62"/>
        <v>0.0443206587551465</v>
      </c>
      <c r="G941">
        <f>((L901+D902)/365)*F941</f>
        <v>0.424992618200035</v>
      </c>
      <c r="H941">
        <f>INDEX(DE_Base_Profile!$N$6:$Q$29,ROW()-917,MATCH(J901,DE_Base_Profile!$N$5:$Q$5,0))</f>
        <v>0.025</v>
      </c>
      <c r="I941">
        <f>(F902/365)*H941</f>
        <v>0.123287671232877</v>
      </c>
      <c r="J941">
        <f>(G941+I941)/(H902/365)</f>
        <v>0.0377589255930213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workbookViewId="0">
      <selection activeCell="A1" sqref="A1"/>
    </sheetView>
  </sheetViews>
  <sheetFormatPr defaultColWidth="14" defaultRowHeight="15.2" outlineLevelCol="4"/>
  <cols>
    <col min="1" max="1" width="26.2767857142857" style="1" customWidth="1"/>
  </cols>
  <sheetData>
    <row r="1" s="1" customFormat="1" ht="19" customHeight="1" spans="1:5">
      <c r="A1" s="8" t="s">
        <v>299</v>
      </c>
      <c r="B1" s="6"/>
      <c r="D1" s="6"/>
      <c r="E1" s="6"/>
    </row>
    <row r="2" s="1" customFormat="1" ht="19" customHeight="1" spans="1:5">
      <c r="A2" s="8" t="s">
        <v>300</v>
      </c>
      <c r="B2" s="9"/>
      <c r="D2" s="9"/>
      <c r="E2" s="9"/>
    </row>
    <row r="3" s="1" customFormat="1" ht="19" customHeight="1" spans="1:5">
      <c r="A3" s="2" t="s">
        <v>301</v>
      </c>
      <c r="B3" s="6"/>
      <c r="D3" s="6"/>
      <c r="E3" s="6"/>
    </row>
    <row r="4" s="1" customFormat="1" ht="19" customHeight="1" spans="1:5">
      <c r="A4" s="2" t="s">
        <v>302</v>
      </c>
      <c r="B4" s="6" t="s">
        <v>303</v>
      </c>
      <c r="D4" s="6"/>
      <c r="E4" s="6"/>
    </row>
    <row r="5" spans="1:5">
      <c r="A5" s="2" t="s">
        <v>304</v>
      </c>
      <c r="B5" s="6" t="s">
        <v>305</v>
      </c>
      <c r="D5" s="6" t="s">
        <v>306</v>
      </c>
      <c r="E5" s="6" t="s">
        <v>307</v>
      </c>
    </row>
    <row r="6" spans="1:5">
      <c r="A6" s="7" t="s">
        <v>125</v>
      </c>
      <c r="B6" s="10">
        <v>0.0789</v>
      </c>
      <c r="D6" s="5">
        <v>0</v>
      </c>
      <c r="E6" s="10">
        <v>0.0301</v>
      </c>
    </row>
    <row r="7" spans="1:5">
      <c r="A7" s="7" t="s">
        <v>127</v>
      </c>
      <c r="B7" s="10">
        <v>0.0791</v>
      </c>
      <c r="D7" s="5">
        <v>1</v>
      </c>
      <c r="E7" s="10">
        <v>0.0258</v>
      </c>
    </row>
    <row r="8" spans="1:5">
      <c r="A8" s="7" t="s">
        <v>128</v>
      </c>
      <c r="B8" s="10">
        <v>0.0773</v>
      </c>
      <c r="D8" s="5">
        <v>2</v>
      </c>
      <c r="E8" s="10">
        <v>0.0239</v>
      </c>
    </row>
    <row r="9" spans="1:5">
      <c r="A9" s="7" t="s">
        <v>129</v>
      </c>
      <c r="B9" s="10">
        <v>0.0822</v>
      </c>
      <c r="D9" s="5">
        <v>3</v>
      </c>
      <c r="E9" s="10">
        <v>0.0232</v>
      </c>
    </row>
    <row r="10" spans="1:5">
      <c r="A10" s="7" t="s">
        <v>130</v>
      </c>
      <c r="B10" s="10">
        <v>0.0839</v>
      </c>
      <c r="D10" s="5">
        <v>4</v>
      </c>
      <c r="E10" s="10">
        <v>0.0236</v>
      </c>
    </row>
    <row r="11" spans="1:5">
      <c r="A11" s="7" t="s">
        <v>132</v>
      </c>
      <c r="B11" s="10">
        <v>0.0876</v>
      </c>
      <c r="D11" s="5">
        <v>5</v>
      </c>
      <c r="E11" s="10">
        <v>0.0252</v>
      </c>
    </row>
    <row r="12" spans="1:5">
      <c r="A12" s="7" t="s">
        <v>134</v>
      </c>
      <c r="B12" s="10">
        <v>0.0917</v>
      </c>
      <c r="D12" s="5">
        <v>6</v>
      </c>
      <c r="E12" s="10">
        <v>0.03</v>
      </c>
    </row>
    <row r="13" spans="1:5">
      <c r="A13" s="7" t="s">
        <v>135</v>
      </c>
      <c r="B13" s="10">
        <v>0.0887</v>
      </c>
      <c r="D13" s="5">
        <v>7</v>
      </c>
      <c r="E13" s="10">
        <v>0.0358</v>
      </c>
    </row>
    <row r="14" spans="1:5">
      <c r="A14" s="7" t="s">
        <v>136</v>
      </c>
      <c r="B14" s="10">
        <v>0.0853</v>
      </c>
      <c r="D14" s="5">
        <v>8</v>
      </c>
      <c r="E14" s="10">
        <v>0.041</v>
      </c>
    </row>
    <row r="15" spans="1:5">
      <c r="A15" s="7" t="s">
        <v>137</v>
      </c>
      <c r="B15" s="10">
        <v>0.0838</v>
      </c>
      <c r="D15" s="5">
        <v>9</v>
      </c>
      <c r="E15" s="10">
        <v>0.0446</v>
      </c>
    </row>
    <row r="16" spans="1:5">
      <c r="A16" s="7" t="s">
        <v>138</v>
      </c>
      <c r="B16" s="10">
        <v>0.0819</v>
      </c>
      <c r="D16" s="5">
        <v>10</v>
      </c>
      <c r="E16" s="10">
        <v>0.0474</v>
      </c>
    </row>
    <row r="17" spans="1:5">
      <c r="A17" s="7" t="s">
        <v>139</v>
      </c>
      <c r="B17" s="10">
        <v>0.0796</v>
      </c>
      <c r="D17" s="5">
        <v>11</v>
      </c>
      <c r="E17" s="10">
        <v>0.0518</v>
      </c>
    </row>
    <row r="18" spans="1:5">
      <c r="A18" s="3"/>
      <c r="B18">
        <f>SUM(B6:B17)</f>
        <v>1</v>
      </c>
      <c r="D18" s="5">
        <v>12</v>
      </c>
      <c r="E18" s="10">
        <v>0.0513</v>
      </c>
    </row>
    <row r="19" spans="1:5">
      <c r="A19" s="3"/>
      <c r="D19" s="5">
        <v>13</v>
      </c>
      <c r="E19" s="10">
        <v>0.0481</v>
      </c>
    </row>
    <row r="20" spans="1:5">
      <c r="A20" s="3"/>
      <c r="D20" s="5">
        <v>14</v>
      </c>
      <c r="E20" s="10">
        <v>0.0459</v>
      </c>
    </row>
    <row r="21" spans="1:5">
      <c r="A21" s="3"/>
      <c r="D21" s="5">
        <v>15</v>
      </c>
      <c r="E21" s="10">
        <v>0.0454</v>
      </c>
    </row>
    <row r="22" spans="1:5">
      <c r="A22" s="3"/>
      <c r="D22" s="5">
        <v>16</v>
      </c>
      <c r="E22" s="10">
        <v>0.0475</v>
      </c>
    </row>
    <row r="23" spans="1:5">
      <c r="A23" s="3"/>
      <c r="D23" s="5">
        <v>17</v>
      </c>
      <c r="E23" s="10">
        <v>0.0535</v>
      </c>
    </row>
    <row r="24" spans="1:5">
      <c r="A24" s="3"/>
      <c r="D24" s="5">
        <v>18</v>
      </c>
      <c r="E24" s="10">
        <v>0.0587</v>
      </c>
    </row>
    <row r="25" spans="1:5">
      <c r="A25" s="3"/>
      <c r="D25" s="5">
        <v>19</v>
      </c>
      <c r="E25" s="10">
        <v>0.0591</v>
      </c>
    </row>
    <row r="26" spans="1:5">
      <c r="A26" s="3"/>
      <c r="D26" s="5">
        <v>20</v>
      </c>
      <c r="E26" s="10">
        <v>0.0556</v>
      </c>
    </row>
    <row r="27" spans="1:5">
      <c r="A27" s="3"/>
      <c r="D27" s="5">
        <v>21</v>
      </c>
      <c r="E27" s="10">
        <v>0.0508</v>
      </c>
    </row>
    <row r="28" spans="1:5">
      <c r="A28" s="3"/>
      <c r="D28" s="5">
        <v>22</v>
      </c>
      <c r="E28" s="10">
        <v>0.0451</v>
      </c>
    </row>
    <row r="29" spans="1:5">
      <c r="A29" s="3"/>
      <c r="D29" s="5">
        <v>23</v>
      </c>
      <c r="E29" s="10">
        <v>0.0366</v>
      </c>
    </row>
    <row r="30" spans="1:5">
      <c r="A30" s="3"/>
      <c r="E30">
        <f>SUM(E6:E29)</f>
        <v>1</v>
      </c>
    </row>
    <row r="31" spans="1:5">
      <c r="A31" s="3"/>
    </row>
    <row r="32" spans="1:5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0"/>
  <sheetViews>
    <sheetView workbookViewId="0">
      <selection activeCell="A1" sqref="A1"/>
    </sheetView>
  </sheetViews>
  <sheetFormatPr defaultColWidth="14" defaultRowHeight="15.2"/>
  <cols>
    <col min="1" max="1" width="20" style="1" customWidth="1"/>
    <col min="2" max="2" width="27" style="1" customWidth="1"/>
    <col min="3" max="3" width="31" style="1" customWidth="1"/>
    <col min="4" max="4" width="37" style="1" customWidth="1"/>
    <col min="5" max="5" width="24" style="1" customWidth="1"/>
    <col min="6" max="6" width="32" style="1" customWidth="1"/>
    <col min="7" max="7" width="59" style="1" customWidth="1"/>
    <col min="8" max="8" width="32" style="1" customWidth="1"/>
    <col min="9" max="9" width="50" style="1" customWidth="1"/>
    <col min="10" max="10" width="81" style="1" customWidth="1"/>
  </cols>
  <sheetData>
    <row r="1" s="1" customFormat="1" ht="28" customHeight="1" spans="1:21">
      <c r="A1" s="2" t="s">
        <v>308</v>
      </c>
      <c r="B1" s="2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  <c r="J1" s="2" t="s">
        <v>317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ht="54" customHeight="1" spans="1:21">
      <c r="A2" s="7" t="s">
        <v>318</v>
      </c>
      <c r="B2" s="2" t="s">
        <v>265</v>
      </c>
      <c r="C2" s="7" t="s">
        <v>319</v>
      </c>
      <c r="D2" s="7" t="s">
        <v>320</v>
      </c>
      <c r="E2" s="7" t="s">
        <v>52</v>
      </c>
      <c r="F2" s="7" t="s">
        <v>321</v>
      </c>
      <c r="G2" s="7" t="s">
        <v>322</v>
      </c>
      <c r="H2" s="7"/>
      <c r="I2" s="7" t="s">
        <v>323</v>
      </c>
      <c r="J2" s="7" t="s">
        <v>324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="1" customFormat="1" ht="98" customHeight="1" spans="1:21">
      <c r="A3" s="7" t="s">
        <v>325</v>
      </c>
      <c r="B3" s="2" t="s">
        <v>273</v>
      </c>
      <c r="C3" s="7" t="s">
        <v>326</v>
      </c>
      <c r="D3" s="7" t="s">
        <v>327</v>
      </c>
      <c r="E3" s="7" t="s">
        <v>220</v>
      </c>
      <c r="F3" s="7" t="s">
        <v>321</v>
      </c>
      <c r="G3" s="7" t="s">
        <v>328</v>
      </c>
      <c r="H3" s="7"/>
      <c r="I3" s="7" t="s">
        <v>329</v>
      </c>
      <c r="J3" s="7" t="s">
        <v>330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="1" customFormat="1" ht="89" customHeight="1" spans="1:21">
      <c r="A4" s="7" t="s">
        <v>331</v>
      </c>
      <c r="B4" s="2" t="s">
        <v>267</v>
      </c>
      <c r="C4" s="7" t="s">
        <v>332</v>
      </c>
      <c r="D4" s="7" t="s">
        <v>25</v>
      </c>
      <c r="E4" s="7" t="s">
        <v>75</v>
      </c>
      <c r="F4" s="7" t="s">
        <v>333</v>
      </c>
      <c r="G4" s="7" t="s">
        <v>334</v>
      </c>
      <c r="H4" s="7" t="s">
        <v>335</v>
      </c>
      <c r="I4" s="7" t="s">
        <v>336</v>
      </c>
      <c r="J4" s="7" t="s">
        <v>337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="1" customFormat="1" ht="42" customHeight="1" spans="1:21">
      <c r="A5" s="7" t="s">
        <v>338</v>
      </c>
      <c r="B5" s="2" t="s">
        <v>275</v>
      </c>
      <c r="C5" s="7" t="s">
        <v>339</v>
      </c>
      <c r="D5" s="7" t="s">
        <v>340</v>
      </c>
      <c r="E5" s="7" t="s">
        <v>157</v>
      </c>
      <c r="F5" s="7" t="s">
        <v>321</v>
      </c>
      <c r="G5" s="7" t="s">
        <v>341</v>
      </c>
      <c r="H5" s="7" t="s">
        <v>342</v>
      </c>
      <c r="I5" s="7" t="s">
        <v>343</v>
      </c>
      <c r="J5" s="7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="1" customFormat="1" ht="98" customHeight="1" spans="1:21">
      <c r="A6" s="7" t="s">
        <v>344</v>
      </c>
      <c r="B6" s="2" t="s">
        <v>236</v>
      </c>
      <c r="C6" s="7" t="s">
        <v>345</v>
      </c>
      <c r="D6" s="7" t="s">
        <v>346</v>
      </c>
      <c r="E6" s="7" t="s">
        <v>121</v>
      </c>
      <c r="F6" s="7" t="s">
        <v>347</v>
      </c>
      <c r="G6" s="7" t="s">
        <v>348</v>
      </c>
      <c r="H6" s="7"/>
      <c r="I6" s="7" t="s">
        <v>349</v>
      </c>
      <c r="J6" s="7" t="s">
        <v>350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="1" customFormat="1" ht="28" customHeight="1" spans="1:21">
      <c r="A7" s="2"/>
      <c r="B7" s="7"/>
      <c r="C7" s="2"/>
      <c r="D7" s="7"/>
      <c r="E7" s="7"/>
      <c r="F7" s="7"/>
      <c r="G7" s="7"/>
      <c r="H7" s="7" t="s">
        <v>351</v>
      </c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>
      <c r="A8" s="2"/>
      <c r="B8" s="7"/>
      <c r="C8" s="2"/>
      <c r="D8" s="7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>
      <c r="A9" s="2"/>
      <c r="B9" s="7"/>
      <c r="C9" s="2"/>
      <c r="D9" s="7"/>
      <c r="E9" s="7"/>
      <c r="F9" s="7"/>
      <c r="G9" s="7"/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>
      <c r="A10" s="2"/>
      <c r="B10" s="7"/>
      <c r="C10" s="2"/>
      <c r="D10" s="7"/>
      <c r="E10" s="7"/>
      <c r="F10" s="7"/>
      <c r="G10" s="7"/>
      <c r="H10" s="7"/>
      <c r="I10" s="7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>
      <c r="A11" s="2"/>
      <c r="B11" s="7"/>
      <c r="C11" s="2"/>
      <c r="D11" s="7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workbookViewId="0">
      <selection activeCell="A1" sqref="A1"/>
    </sheetView>
  </sheetViews>
  <sheetFormatPr defaultColWidth="14" defaultRowHeight="15.2"/>
  <cols>
    <col min="1" max="1" width="50" style="1" customWidth="1"/>
    <col min="2" max="2" width="27" style="1" customWidth="1"/>
    <col min="3" max="3" width="22" style="1" customWidth="1"/>
    <col min="4" max="4" width="31" style="1" customWidth="1"/>
  </cols>
  <sheetData>
    <row r="1" spans="1:20">
      <c r="A1" s="2" t="s">
        <v>352</v>
      </c>
      <c r="B1" s="2" t="s">
        <v>353</v>
      </c>
      <c r="C1" s="2" t="s">
        <v>354</v>
      </c>
      <c r="D1" s="2" t="s">
        <v>355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4" t="s">
        <v>356</v>
      </c>
      <c r="B2" s="5" t="s">
        <v>357</v>
      </c>
      <c r="C2" s="5" t="s">
        <v>358</v>
      </c>
      <c r="D2" s="5" t="s">
        <v>359</v>
      </c>
    </row>
    <row r="3" spans="1:20">
      <c r="A3" s="4" t="s">
        <v>360</v>
      </c>
      <c r="B3" s="5" t="s">
        <v>357</v>
      </c>
      <c r="C3" s="5" t="s">
        <v>361</v>
      </c>
      <c r="D3" s="5" t="s">
        <v>362</v>
      </c>
    </row>
    <row r="4" spans="1:20">
      <c r="A4" s="4" t="s">
        <v>363</v>
      </c>
      <c r="B4" s="5" t="s">
        <v>357</v>
      </c>
      <c r="C4" s="5" t="s">
        <v>364</v>
      </c>
      <c r="D4" s="5" t="s">
        <v>365</v>
      </c>
    </row>
    <row r="5" spans="1:20">
      <c r="A5" s="4" t="s">
        <v>366</v>
      </c>
      <c r="B5" s="5" t="s">
        <v>367</v>
      </c>
      <c r="C5" s="5" t="s">
        <v>359</v>
      </c>
      <c r="D5" s="5" t="s">
        <v>361</v>
      </c>
    </row>
    <row r="6" spans="1:20">
      <c r="A6" s="4" t="s">
        <v>368</v>
      </c>
      <c r="B6" s="5" t="s">
        <v>367</v>
      </c>
      <c r="C6" s="5" t="s">
        <v>359</v>
      </c>
      <c r="D6" s="5" t="s">
        <v>361</v>
      </c>
    </row>
    <row r="7" spans="1:20">
      <c r="A7" s="4" t="s">
        <v>369</v>
      </c>
      <c r="B7" s="5" t="s">
        <v>367</v>
      </c>
      <c r="C7" s="5" t="s">
        <v>359</v>
      </c>
      <c r="D7" s="5" t="s">
        <v>361</v>
      </c>
    </row>
    <row r="8" spans="1:20">
      <c r="A8" s="4" t="s">
        <v>370</v>
      </c>
      <c r="B8" s="5" t="s">
        <v>367</v>
      </c>
      <c r="C8" s="5" t="s">
        <v>359</v>
      </c>
      <c r="D8" s="5" t="s">
        <v>361</v>
      </c>
    </row>
    <row r="9" spans="1:20">
      <c r="A9" s="4" t="s">
        <v>371</v>
      </c>
      <c r="B9" s="5" t="s">
        <v>367</v>
      </c>
      <c r="C9" s="5" t="s">
        <v>359</v>
      </c>
      <c r="D9" s="5" t="s">
        <v>361</v>
      </c>
    </row>
    <row r="10" spans="1:20">
      <c r="A10" s="4" t="s">
        <v>372</v>
      </c>
      <c r="B10" s="5" t="s">
        <v>367</v>
      </c>
      <c r="C10" s="5" t="s">
        <v>359</v>
      </c>
      <c r="D10" s="5" t="s">
        <v>361</v>
      </c>
    </row>
    <row r="11" spans="1:20">
      <c r="A11" s="4" t="s">
        <v>373</v>
      </c>
      <c r="B11" s="5" t="s">
        <v>367</v>
      </c>
      <c r="C11" s="5" t="s">
        <v>374</v>
      </c>
      <c r="D11" s="5" t="s">
        <v>375</v>
      </c>
    </row>
    <row r="12" spans="1:20">
      <c r="A12" s="4" t="s">
        <v>376</v>
      </c>
      <c r="B12" s="5" t="s">
        <v>367</v>
      </c>
      <c r="C12" s="5" t="s">
        <v>377</v>
      </c>
      <c r="D12" s="5" t="s">
        <v>365</v>
      </c>
    </row>
    <row r="13" spans="1:20">
      <c r="A13" s="4" t="s">
        <v>378</v>
      </c>
      <c r="B13" s="5" t="s">
        <v>357</v>
      </c>
      <c r="C13" s="5" t="s">
        <v>374</v>
      </c>
      <c r="D13" s="5" t="s">
        <v>361</v>
      </c>
    </row>
    <row r="14" spans="1:20">
      <c r="A14" s="4" t="s">
        <v>379</v>
      </c>
      <c r="B14" s="5" t="s">
        <v>357</v>
      </c>
      <c r="C14" s="5" t="s">
        <v>380</v>
      </c>
      <c r="D14" s="5" t="s">
        <v>375</v>
      </c>
    </row>
    <row r="15" spans="1:20">
      <c r="A15" s="4" t="s">
        <v>381</v>
      </c>
      <c r="B15" s="5" t="s">
        <v>357</v>
      </c>
      <c r="C15" s="5" t="s">
        <v>382</v>
      </c>
      <c r="D15" s="5" t="s">
        <v>383</v>
      </c>
    </row>
    <row r="16" spans="1:20">
      <c r="A16" s="4" t="s">
        <v>384</v>
      </c>
      <c r="B16" s="5" t="s">
        <v>367</v>
      </c>
      <c r="C16" s="5" t="s">
        <v>359</v>
      </c>
      <c r="D16" s="5" t="s">
        <v>361</v>
      </c>
    </row>
    <row r="17" spans="1:4">
      <c r="A17" s="4" t="s">
        <v>385</v>
      </c>
      <c r="B17" s="5" t="s">
        <v>367</v>
      </c>
      <c r="C17" s="5" t="s">
        <v>359</v>
      </c>
      <c r="D17" s="5" t="s">
        <v>361</v>
      </c>
    </row>
    <row r="18" spans="1:4">
      <c r="A18" s="4" t="s">
        <v>386</v>
      </c>
      <c r="B18" s="5" t="s">
        <v>357</v>
      </c>
      <c r="C18" s="5" t="s">
        <v>382</v>
      </c>
      <c r="D18" s="5" t="s">
        <v>383</v>
      </c>
    </row>
    <row r="19" spans="1:4">
      <c r="A19" s="4" t="s">
        <v>387</v>
      </c>
      <c r="B19" s="5" t="s">
        <v>357</v>
      </c>
      <c r="C19" s="5" t="s">
        <v>388</v>
      </c>
      <c r="D19" s="5" t="s">
        <v>383</v>
      </c>
    </row>
    <row r="20" spans="1:4">
      <c r="A20" s="4" t="s">
        <v>389</v>
      </c>
      <c r="B20" s="5" t="s">
        <v>357</v>
      </c>
      <c r="C20" s="5" t="s">
        <v>377</v>
      </c>
      <c r="D20" s="5" t="s">
        <v>365</v>
      </c>
    </row>
    <row r="21" spans="1:4">
      <c r="A21" s="4" t="s">
        <v>390</v>
      </c>
      <c r="B21" s="5" t="s">
        <v>391</v>
      </c>
      <c r="C21" s="5" t="s">
        <v>374</v>
      </c>
      <c r="D21" s="5" t="s">
        <v>392</v>
      </c>
    </row>
    <row r="22" spans="1:4">
      <c r="A22" s="4" t="s">
        <v>393</v>
      </c>
      <c r="B22" s="5" t="s">
        <v>391</v>
      </c>
      <c r="C22" s="5" t="s">
        <v>380</v>
      </c>
      <c r="D22" s="5" t="s">
        <v>375</v>
      </c>
    </row>
    <row r="23" spans="1:4">
      <c r="A23" s="4" t="s">
        <v>394</v>
      </c>
      <c r="B23" s="5" t="s">
        <v>391</v>
      </c>
      <c r="C23" s="5" t="s">
        <v>395</v>
      </c>
      <c r="D23" s="5" t="s">
        <v>383</v>
      </c>
    </row>
    <row r="29" spans="1:4">
      <c r="A29" s="6" t="s">
        <v>396</v>
      </c>
      <c r="B29" s="6" t="s">
        <v>397</v>
      </c>
      <c r="C29" s="6" t="s">
        <v>398</v>
      </c>
    </row>
    <row r="30" spans="1:4">
      <c r="A30" s="5" t="s">
        <v>69</v>
      </c>
      <c r="B30" s="5">
        <v>1.05</v>
      </c>
      <c r="C30" s="5">
        <v>1.05</v>
      </c>
    </row>
    <row r="31" spans="1:4">
      <c r="A31" s="5" t="s">
        <v>75</v>
      </c>
      <c r="B31" s="5">
        <v>1.15</v>
      </c>
      <c r="C31" s="5">
        <v>1.2</v>
      </c>
    </row>
    <row r="32" spans="1:4">
      <c r="A32" s="5" t="s">
        <v>80</v>
      </c>
      <c r="B32" s="5">
        <v>1.3</v>
      </c>
      <c r="C32" s="5">
        <v>1.35</v>
      </c>
    </row>
    <row r="33" spans="1:3">
      <c r="A33" s="5" t="s">
        <v>84</v>
      </c>
      <c r="B33" s="5">
        <v>1.45</v>
      </c>
      <c r="C33" s="5">
        <v>1.5</v>
      </c>
    </row>
    <row r="36" spans="1:3">
      <c r="A36" s="6" t="s">
        <v>396</v>
      </c>
      <c r="B36" s="6" t="s">
        <v>399</v>
      </c>
    </row>
    <row r="37" spans="1:3">
      <c r="A37" s="5" t="s">
        <v>69</v>
      </c>
      <c r="B37" s="5">
        <v>1.05</v>
      </c>
    </row>
    <row r="38" spans="1:3">
      <c r="A38" s="5" t="s">
        <v>75</v>
      </c>
      <c r="B38" s="5">
        <v>1.15</v>
      </c>
    </row>
    <row r="39" spans="1:3">
      <c r="A39" s="5" t="s">
        <v>80</v>
      </c>
      <c r="B39" s="5">
        <v>1.3</v>
      </c>
    </row>
    <row r="40" spans="1:3">
      <c r="A40" s="5" t="s">
        <v>84</v>
      </c>
      <c r="B40" s="5">
        <v>1.45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说明&amp;简化逻辑</vt:lpstr>
      <vt:lpstr>DE_Base_Profile</vt:lpstr>
      <vt:lpstr>DE_Simulator</vt:lpstr>
      <vt:lpstr>DE_Option_Monthly</vt:lpstr>
      <vt:lpstr>DE_Option_Hourly</vt:lpstr>
      <vt:lpstr>DE_Lookups</vt:lpstr>
      <vt:lpstr>DE_Calc_Compare</vt:lpstr>
      <vt:lpstr>基于2025最新数据结果</vt:lpstr>
      <vt:lpstr>最终提炼主干因素</vt:lpstr>
      <vt:lpstr>Cooling-Heating-Month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秋墨静好</cp:lastModifiedBy>
  <dcterms:created xsi:type="dcterms:W3CDTF">2026-04-10T13:15:40Z</dcterms:created>
  <dcterms:modified xsi:type="dcterms:W3CDTF">2026-04-10T13:17:07Z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AC777B3506252F6CD387D86928EE02B9_43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