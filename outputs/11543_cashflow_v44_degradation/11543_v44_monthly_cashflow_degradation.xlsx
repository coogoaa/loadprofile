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561fea962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888931d88f4c8e"/>
    <x:sheet xmlns:r="http://schemas.openxmlformats.org/officeDocument/2006/relationships" name="Assumptions" sheetId="2" r:id="Re038f57520814b0a"/>
    <x:sheet xmlns:r="http://schemas.openxmlformats.org/officeDocument/2006/relationships" name="Monthly Cashflow" sheetId="3" r:id="R86fcd834c574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€#,##0.00"/>
    <x:numFmt numFmtId="202" formatCode="#,##0.00"/>
    <x:numFmt numFmtId="203" formatCode="€#,##0.00;[Red]-€#,##0.00"/>
  </x:numFmts>
  <x:fonts count="9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  <x:font>
      <x:b/>
      <x:sz val="11"/>
      <x:color rgb="FFFFFF"/>
      <x:name val="Calibri"/>
    </x:font>
    <x:font>
      <x:sz val="11"/>
      <x:name val="Calibri"/>
    </x:font>
    <x:font>
      <x:b/>
      <x:sz val="11"/>
      <x:name val="Calibri"/>
    </x:font>
    <x:font>
      <x:i/>
      <x:sz val="11"/>
      <x:color rgb="666666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F3F6FA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203" fontId="0" fillId="0" borderId="1" xfId="0" applyNumberFormat="1" applyFont="1" applyFill="1" applyBorder="1"/>
    <x:xf numFmtId="202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203" fontId="6" fillId="0" borderId="1" xfId="0" applyNumberFormat="1" applyFont="1" applyFill="1" applyBorder="1"/>
    <x:xf numFmtId="202" fontId="6" fillId="0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8" fillId="0" borderId="0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/>
    </x:xf>
    <x:xf numFmtId="202" fontId="6" fillId="5" borderId="1" xfId="0" applyNumberFormat="1" applyFont="1" applyFill="1" applyBorder="1"/>
    <x:xf numFmtId="203" fontId="6" fillId="5" borderId="1" xfId="0" applyNumberFormat="1" applyFont="1" applyFill="1" applyBorder="1"/>
    <x:xf numFmtId="200" fontId="6" fillId="5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9C0006"/>
      </x:font>
      <x:fill>
        <x:patternFill patternType="solid">
          <x:bgColor rgb="FCE4D6"/>
        </x:patternFill>
      </x:fill>
    </x:dxf>
    <x:dxf>
      <x:font>
        <x:color rgb="006100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15b647dce4100" /><Relationship Type="http://schemas.openxmlformats.org/officeDocument/2006/relationships/theme" Target="/xl/theme/theme1.xml" Id="R40de8113b64041bd" /><Relationship Type="http://schemas.openxmlformats.org/officeDocument/2006/relationships/sharedStrings" Target="/xl/sharedStrings.xml" Id="R0278ba48e9674108" /><Relationship Type="http://schemas.openxmlformats.org/officeDocument/2006/relationships/worksheet" Target="/xl/worksheets/sheet1.xml" Id="Rd1888931d88f4c8e" /><Relationship Type="http://schemas.openxmlformats.org/officeDocument/2006/relationships/worksheet" Target="/xl/worksheets/sheet2.xml" Id="Re038f57520814b0a" /><Relationship Type="http://schemas.openxmlformats.org/officeDocument/2006/relationships/worksheet" Target="/xl/worksheets/sheet3.xml" Id="R86fcd834c5744a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.02000045776367" hidden="0" customWidth="1"/>
    <x:col min="2" max="2" width="64.41999816894531" hidden="0" customWidth="1"/>
    <x:col min="3" max="3" width="8.960000038146973" hidden="0" customWidth="1"/>
    <x:col min="4" max="4" width="25.520000457763672" hidden="0" customWidth="1"/>
  </x:cols>
  <x:sheetData>
    <x:row r="1">
      <x:c r="A1" s="26" t="str">
        <x:v>Project 11543 Cashflow Summary - v4.4 with PV Degradation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</x:row>
    <x:row r="3">
      <x:c r="A3" s="28" t="str">
        <x:v>Metric</x:v>
      </x:c>
      <x:c r="B3" s="28" t="str">
        <x:v>Formula / Source</x:v>
      </x:c>
      <x:c r="C3" s="28" t="str">
        <x:v>Value</x:v>
      </x:c>
      <x:c r="D3" s="28" t="str">
        <x:v>Note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</x:row>
    <x:row r="4">
      <x:c r="A4" s="29" t="str">
        <x:v>Initial investment</x:v>
      </x:c>
      <x:c r="B4" s="29" t="str">
        <x:v>=Assumptions!B21</x:v>
      </x:c>
      <x:c r="C4" s="30" t="n">
        <x:f>Assumptions!B21</x:f>
        <x:v>5459.5</x:v>
      </x:c>
      <x:c r="D4" s="29" t="str">
        <x:v>PV + inverter + battery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</x:row>
    <x:row r="5">
      <x:c r="A5" s="29" t="str">
        <x:v>Year 1 total saving</x:v>
      </x:c>
      <x:c r="B5" s="29" t="str">
        <x:v>=SUMIF(Monthly Cashflow!A:A,1,Monthly Cashflow!R:R)</x:v>
      </x:c>
      <x:c r="C5" s="30" t="n">
        <x:f>SUMIF('Monthly Cashflow'!A:A,1,'Monthly Cashflow'!R:R)</x:f>
        <x:v>1092.027147639159</x:v>
      </x:c>
      <x:c r="D5" s="29" t="str">
        <x:v>Sum of 12 monthly savings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</x:row>
    <x:row r="6">
      <x:c r="A6" s="29" t="str">
        <x:v>20-year cumulative saving</x:v>
      </x:c>
      <x:c r="B6" s="29" t="str">
        <x:v>=SUM(Monthly Cashflow!R17:R256)</x:v>
      </x:c>
      <x:c r="C6" s="30" t="n">
        <x:f>SUM('Monthly Cashflow'!R17:R256)</x:f>
        <x:v>25481.705078073606</x:v>
      </x:c>
      <x:c r="D6" s="29" t="str">
        <x:v>Before investment subtraction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</x:row>
    <x:row r="7">
      <x:c r="A7" s="29" t="str">
        <x:v>20-year net after investment</x:v>
      </x:c>
      <x:c r="B7" s="29" t="str">
        <x:v>=SUM(Monthly Cashflow!R17:R256)-Assumptions!B21</x:v>
      </x:c>
      <x:c r="C7" s="30" t="n">
        <x:f>SUM('Monthly Cashflow'!R17:R256)-Assumptions!B21</x:f>
        <x:v>20022.205078073606</x:v>
      </x:c>
      <x:c r="D7" s="29" t="str">
        <x:v>Cumulative saving - CAPEX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</x:row>
    <x:row r="8">
      <x:c r="A8" s="29" t="str">
        <x:v>Simple payback years</x:v>
      </x:c>
      <x:c r="B8" s="29" t="str">
        <x:v>=(last negative month + interpolated fraction) / 12</x:v>
      </x:c>
      <x:c r="C8" s="31" t="n">
        <x:f>(MATCH(0,'Monthly Cashflow'!$T$17:$T$256,1)+(-INDEX('Monthly Cashflow'!$T$17:$T$256,MATCH(0,'Monthly Cashflow'!$T$17:$T$256,1))/INDEX('Monthly Cashflow'!$R$17:$R$256,MATCH(0,'Monthly Cashflow'!$T$17:$T$256,1)+1)))/12</x:f>
        <x:v>4.717273516306691</x:v>
      </x:c>
      <x:c r="D8" s="29" t="str">
        <x:v>Monthly cashflow interpolation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</x:row>
    <x:row r="9">
      <x:c r="A9" s="29" t="str">
        <x:v>Simple payback months</x:v>
      </x:c>
      <x:c r="B9" s="29" t="str">
        <x:v>=C8*12</x:v>
      </x:c>
      <x:c r="C9" s="31" t="n">
        <x:f>C8*12</x:f>
        <x:v>56.6072821956803</x:v>
      </x:c>
      <x:c r="D9" s="29" t="str">
        <x:v>Months from operation start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</x:row>
    <x:row r="10">
      <x:c r="A10" s="29" t="str">
        <x:v>Year 1 PV generation</x:v>
      </x:c>
      <x:c r="B10" s="29" t="str">
        <x:v>=SUMIF(Monthly Cashflow!A:A,1,Monthly Cashflow!I:I)</x:v>
      </x:c>
      <x:c r="C10" s="31" t="n">
        <x:f>SUMIF('Monthly Cashflow'!A:A,1,'Monthly Cashflow'!I:I)</x:f>
        <x:v>3120.077564683311</x:v>
      </x:c>
      <x:c r="D10" s="29" t="str">
        <x:v>No first-year degradation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</x:row>
    <x:row r="11">
      <x:c r="A11" s="29" t="str">
        <x:v>Year 20 PV generation</x:v>
      </x:c>
      <x:c r="B11" s="29" t="str">
        <x:v>=SUMIF(Monthly Cashflow!A:A,20,Monthly Cashflow!I:I)</x:v>
      </x:c>
      <x:c r="C11" s="31" t="n">
        <x:f>SUMIF('Monthly Cashflow'!A:A,20,'Monthly Cashflow'!I:I)</x:f>
        <x:v>2891.2977663629795</x:v>
      </x:c>
      <x:c r="D11" s="29" t="str">
        <x:v>After 0.40% annual degradation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</x:row>
    <x:row r="12">
      <x:c r="A12" s="29" t="str">
        <x:v>PV degradation factor in year 20</x:v>
      </x:c>
      <x:c r="B12" s="29" t="str">
        <x:v>=IF(20=1,1-Assumptions!B16,(1-Assumptions!B16)*(1-Assumptions!B17)^(20-1))</x:v>
      </x:c>
      <x:c r="C12" s="32" t="n">
        <x:f>IF(20=1,1-Assumptions!B16,(1-Assumptions!B16)*(1-Assumptions!B17)^(20-1))</x:f>
        <x:v>0.92667496445924</x:v>
      </x:c>
      <x:c r="D12" s="29" t="str">
        <x:v>First year 0%, then 0.40%/yr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</x:row>
    <x:row r="13">
      <x:c r="A13" s="29" t="str">
        <x:v>Grid buy</x:v>
      </x:c>
      <x:c r="B13" s="29" t="str">
        <x:v>=Assumptions!B11</x:v>
      </x:c>
      <x:c r="C13" s="32" t="n">
        <x:f>Assumptions!B11</x:f>
        <x:v>0.35</x:v>
      </x:c>
      <x:c r="D13" s="29" t="str">
        <x:v>EUR/kWh</x:v>
      </x:c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</x:row>
    <x:row r="14">
      <x:c r="A14" s="29" t="str">
        <x:v>Grid sell</x:v>
      </x:c>
      <x:c r="B14" s="29" t="str">
        <x:v>=Assumptions!B12</x:v>
      </x:c>
      <x:c r="C14" s="32" t="n">
        <x:f>Assumptions!B12</x:f>
        <x:v>0.07</x:v>
      </x:c>
      <x:c r="D14" s="29" t="str">
        <x:v>EUR/kWh</x:v>
      </x:c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</x:row>
    <x:row r="15">
      <x:c r="A15" s="29" t="str">
        <x:v>Inflation</x:v>
      </x:c>
      <x:c r="B15" s="29" t="str">
        <x:v>=Assumptions!B14</x:v>
      </x:c>
      <x:c r="C15" s="32" t="n">
        <x:f>Assumptions!B14</x:f>
        <x:v>0.02</x:v>
      </x:c>
      <x:c r="D15" s="29" t="str">
        <x:v>Electricity price inflation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650001525878906" hidden="0" customWidth="1"/>
    <x:col min="2" max="2" width="7.980000019073486" hidden="0" customWidth="1"/>
    <x:col min="3" max="3" width="19.8799991607666" hidden="0" customWidth="1"/>
    <x:col min="4" max="4" width="30.309999465942383" hidden="0" customWidth="1"/>
  </x:cols>
  <x:sheetData>
    <x:row r="1">
      <x:c r="A1" s="26" t="str">
        <x:v>Project 11543 - v4.4 Monthly Cashflow Inputs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</x:row>
    <x:row r="3">
      <x:c r="A3" s="28" t="str">
        <x:v>Parameter</x:v>
      </x:c>
      <x:c r="B3" s="28" t="str">
        <x:v>Value</x:v>
      </x:c>
      <x:c r="C3" s="28" t="str">
        <x:v>Unit</x:v>
      </x:c>
      <x:c r="D3" s="28" t="str">
        <x:v>Note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</x:row>
    <x:row r="4">
      <x:c r="A4" s="29" t="str">
        <x:v>Project ID</x:v>
      </x:c>
      <x:c r="B4" s="29" t="n">
        <x:v>11543</x:v>
      </x:c>
      <x:c r="C4" s="29" t="str"/>
      <x:c r="D4" s="29" t="str">
        <x:v>Source project used in v4.4 calculator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</x:row>
    <x:row r="5">
      <x:c r="A5" s="29" t="str">
        <x:v>Scenario / Tier</x:v>
      </x:c>
      <x:c r="B5" s="29" t="str">
        <x:v>N / B</x:v>
      </x:c>
      <x:c r="C5" s="29" t="str"/>
      <x:c r="D5" s="29" t="str">
        <x:v>New-build scenario, B tier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</x:row>
    <x:row r="6">
      <x:c r="A6" s="29" t="str">
        <x:v>State</x:v>
      </x:c>
      <x:c r="B6" s="29" t="str">
        <x:v>BY</x:v>
      </x:c>
      <x:c r="C6" s="29" t="str"/>
      <x:c r="D6" s="29" t="str">
        <x:v>Bavaria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</x:row>
    <x:row r="7">
      <x:c r="A7" s="29" t="str">
        <x:v>PV size</x:v>
      </x:c>
      <x:c r="B7" s="29" t="n">
        <x:v>3.29</x:v>
      </x:c>
      <x:c r="C7" s="29" t="str">
        <x:v>kWp</x:v>
      </x:c>
      <x:c r="D7" s="29" t="str">
        <x:v>7 panels x 0.470 kWp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</x:row>
    <x:row r="8">
      <x:c r="A8" s="29" t="str">
        <x:v>Panel count</x:v>
      </x:c>
      <x:c r="B8" s="29" t="n">
        <x:v>7</x:v>
      </x:c>
      <x:c r="C8" s="29" t="str">
        <x:v>panels</x:v>
      </x:c>
      <x:c r="D8" s="29" t="str">
        <x:v>Selected panels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</x:row>
    <x:row r="9">
      <x:c r="A9" s="29" t="str">
        <x:v>Inverter</x:v>
      </x:c>
      <x:c r="B9" s="29" t="n">
        <x:v>5</x:v>
      </x:c>
      <x:c r="C9" s="29" t="str">
        <x:v>kW</x:v>
      </x:c>
      <x:c r="D9" s="29" t="str">
        <x:v>Inverter spec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</x:row>
    <x:row r="10">
      <x:c r="A10" s="29" t="str">
        <x:v>Battery</x:v>
      </x:c>
      <x:c r="B10" s="29" t="n">
        <x:v>5</x:v>
      </x:c>
      <x:c r="C10" s="29" t="str">
        <x:v>kWh</x:v>
      </x:c>
      <x:c r="D10" s="29" t="str">
        <x:v>v4.4 monthly charge cap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</x:row>
    <x:row r="11">
      <x:c r="A11" s="29" t="str">
        <x:v>Grid buy</x:v>
      </x:c>
      <x:c r="B11" s="32" t="n">
        <x:v>0.35</x:v>
      </x:c>
      <x:c r="C11" s="29" t="str">
        <x:v>EUR/kWh</x:v>
      </x:c>
      <x:c r="D11" s="29" t="str">
        <x:v>Input parameter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</x:row>
    <x:row r="12">
      <x:c r="A12" s="29" t="str">
        <x:v>Grid sell</x:v>
      </x:c>
      <x:c r="B12" s="32" t="n">
        <x:v>0.07</x:v>
      </x:c>
      <x:c r="C12" s="29" t="str">
        <x:v>EUR/kWh</x:v>
      </x:c>
      <x:c r="D12" s="29" t="str">
        <x:v>Input parameter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</x:row>
    <x:row r="13">
      <x:c r="A13" s="29" t="str">
        <x:v>Daily fixed</x:v>
      </x:c>
      <x:c r="B13" s="32" t="n">
        <x:v>0.7</x:v>
      </x:c>
      <x:c r="C13" s="29" t="str">
        <x:v>EUR/day</x:v>
      </x:c>
      <x:c r="D13" s="29" t="str">
        <x:v>Input parameter</x:v>
      </x:c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</x:row>
    <x:row r="14">
      <x:c r="A14" s="29" t="str">
        <x:v>Electricity inflation</x:v>
      </x:c>
      <x:c r="B14" s="32" t="n">
        <x:v>0.02</x:v>
      </x:c>
      <x:c r="C14" s="29" t="str">
        <x:v>per year</x:v>
      </x:c>
      <x:c r="D14" s="29" t="str">
        <x:v>Applied to buy electricity only</x:v>
      </x:c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</x:row>
    <x:row r="15">
      <x:c r="A15" s="29" t="str">
        <x:v>Cash discount rate</x:v>
      </x:c>
      <x:c r="B15" s="32" t="n">
        <x:v>0.035</x:v>
      </x:c>
      <x:c r="C15" s="29" t="str">
        <x:v>per year</x:v>
      </x:c>
      <x:c r="D15" s="29" t="str">
        <x:v>For NPV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</x:row>
    <x:row r="16">
      <x:c r="A16" s="29" t="str">
        <x:v>Panel first-year degradation</x:v>
      </x:c>
      <x:c r="B16" s="32" t="n">
        <x:v>0</x:v>
      </x:c>
      <x:c r="C16" s="29" t="str">
        <x:v>per year</x:v>
      </x:c>
      <x:c r="D16" s="29" t="str">
        <x:v>0% in year 1</x:v>
      </x:c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</x:row>
    <x:row r="17">
      <x:c r="A17" s="29" t="str">
        <x:v>Panel degradation after year 1</x:v>
      </x:c>
      <x:c r="B17" s="29" t="n">
        <x:v>0.004</x:v>
      </x:c>
      <x:c r="C17" s="29" t="str">
        <x:v>per year</x:v>
      </x:c>
      <x:c r="D17" s="29" t="str">
        <x:v>0.40% from year 2 onward</x:v>
      </x:c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</x:row>
    <x:row r="18">
      <x:c r="A18" s="29" t="str">
        <x:v>PV unit cost</x:v>
      </x:c>
      <x:c r="B18" s="33" t="n">
        <x:v>550</x:v>
      </x:c>
      <x:c r="C18" s="29" t="str">
        <x:v>EUR/kWp</x:v>
      </x:c>
      <x:c r="D18" s="29" t="str">
        <x:v>System cost</x:v>
      </x:c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</x:row>
    <x:row r="19">
      <x:c r="A19" s="29" t="str">
        <x:v>Inverter unit cost</x:v>
      </x:c>
      <x:c r="B19" s="33" t="n">
        <x:v>330</x:v>
      </x:c>
      <x:c r="C19" s="29" t="str">
        <x:v>EUR/kW</x:v>
      </x:c>
      <x:c r="D19" s="29" t="str">
        <x:v>System cost</x:v>
      </x:c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</x:row>
    <x:row r="20">
      <x:c r="A20" s="29" t="str">
        <x:v>Battery unit cost</x:v>
      </x:c>
      <x:c r="B20" s="33" t="n">
        <x:v>400</x:v>
      </x:c>
      <x:c r="C20" s="29" t="str">
        <x:v>EUR/kWh</x:v>
      </x:c>
      <x:c r="D20" s="29" t="str">
        <x:v>System cost</x:v>
      </x:c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</x:row>
    <x:row r="21">
      <x:c r="A21" s="29" t="str">
        <x:v>Total CAPEX</x:v>
      </x:c>
      <x:c r="B21" s="33" t="n">
        <x:f>B7*B18+B9*B19+B10*B20</x:f>
        <x:v>5459.5</x:v>
      </x:c>
      <x:c r="C21" s="29" t="str">
        <x:v>EUR</x:v>
      </x:c>
      <x:c r="D21" s="29" t="str">
        <x:v>PV + inverter + battery</x:v>
      </x:c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</x:row>
    <x:row r="22">
      <x:c r="A22" s="29"/>
      <x:c r="B22" s="29"/>
      <x:c r="C22" s="29"/>
      <x:c r="D22" s="29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</x:row>
    <x:row r="23">
      <x:c r="A23" s="28" t="str">
        <x:v>Month</x:v>
      </x:c>
      <x:c r="B23" s="28" t="str">
        <x:v>Days</x:v>
      </x:c>
      <x:c r="C23" s="28" t="str">
        <x:v>Base Monthly Gen kWh</x:v>
      </x:c>
      <x:c r="D23" s="28" t="str">
        <x:v>Base Monthly Load kWh</x:v>
      </x:c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</x:row>
    <x:row r="24">
      <x:c r="A24" s="29" t="n">
        <x:v>1</x:v>
      </x:c>
      <x:c r="B24" s="29" t="n">
        <x:v>31</x:v>
      </x:c>
      <x:c r="C24" s="31" t="n">
        <x:v>97.74068278795949</x:v>
      </x:c>
      <x:c r="D24" s="31" t="n">
        <x:v>921.8588397150115</x:v>
      </x:c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</x:row>
    <x:row r="25">
      <x:c r="A25" s="29" t="n">
        <x:v>2</x:v>
      </x:c>
      <x:c r="B25" s="29" t="n">
        <x:v>28</x:v>
      </x:c>
      <x:c r="C25" s="31" t="n">
        <x:v>154.51975684989145</x:v>
      </x:c>
      <x:c r="D25" s="31" t="n">
        <x:v>923.6252753036425</x:v>
      </x:c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</x:row>
    <x:row r="26">
      <x:c r="A26" s="29" t="n">
        <x:v>3</x:v>
      </x:c>
      <x:c r="B26" s="29" t="n">
        <x:v>31</x:v>
      </x:c>
      <x:c r="C26" s="31" t="n">
        <x:v>272.76019866587967</x:v>
      </x:c>
      <x:c r="D26" s="31" t="n">
        <x:v>907.7273550059616</x:v>
      </x:c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</x:row>
    <x:row r="27">
      <x:c r="A27" s="29" t="n">
        <x:v>4</x:v>
      </x:c>
      <x:c r="B27" s="29" t="n">
        <x:v>30</x:v>
      </x:c>
      <x:c r="C27" s="31" t="n">
        <x:v>363.23428296239996</x:v>
      </x:c>
      <x:c r="D27" s="31" t="n">
        <x:v>951.0050269274262</x:v>
      </x:c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</x:row>
    <x:row r="28">
      <x:c r="A28" s="29" t="n">
        <x:v>5</x:v>
      </x:c>
      <x:c r="B28" s="29" t="n">
        <x:v>31</x:v>
      </x:c>
      <x:c r="C28" s="31" t="n">
        <x:v>402.42712024610285</x:v>
      </x:c>
      <x:c r="D28" s="31" t="n">
        <x:v>480.47094299256736</x:v>
      </x:c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</x:row>
    <x:row r="29">
      <x:c r="A29" s="29" t="n">
        <x:v>6</x:v>
      </x:c>
      <x:c r="B29" s="29" t="n">
        <x:v>30</x:v>
      </x:c>
      <x:c r="C29" s="31" t="n">
        <x:v>412.65089451514586</x:v>
      </x:c>
      <x:c r="D29" s="31" t="n">
        <x:v>491.73724202799656</x:v>
      </x:c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</x:row>
    <x:row r="30">
      <x:c r="A30" s="29" t="n">
        <x:v>7</x:v>
      </x:c>
      <x:c r="B30" s="29" t="n">
        <x:v>31</x:v>
      </x:c>
      <x:c r="C30" s="31" t="n">
        <x:v>426.3868098785364</x:v>
      </x:c>
      <x:c r="D30" s="31" t="n">
        <x:v>504.2215193375261</x:v>
      </x:c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</x:row>
    <x:row r="31">
      <x:c r="A31" s="29" t="n">
        <x:v>8</x:v>
      </x:c>
      <x:c r="B31" s="29" t="n">
        <x:v>31</x:v>
      </x:c>
      <x:c r="C31" s="31" t="n">
        <x:v>355.7779895722974</x:v>
      </x:c>
      <x:c r="D31" s="31" t="n">
        <x:v>495.0866822817727</x:v>
      </x:c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</x:row>
    <x:row r="32">
      <x:c r="A32" s="29" t="n">
        <x:v>9</x:v>
      </x:c>
      <x:c r="B32" s="29" t="n">
        <x:v>30</x:v>
      </x:c>
      <x:c r="C32" s="31" t="n">
        <x:v>261.96456117381604</x:v>
      </x:c>
      <x:c r="D32" s="31" t="n">
        <x:v>484.7338669519189</x:v>
      </x:c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</x:row>
    <x:row r="33">
      <x:c r="A33" s="29" t="n">
        <x:v>10</x:v>
      </x:c>
      <x:c r="B33" s="29" t="n">
        <x:v>31</x:v>
      </x:c>
      <x:c r="C33" s="31" t="n">
        <x:v>183.41711825141755</x:v>
      </x:c>
      <x:c r="D33" s="31" t="n">
        <x:v>965.136511636476</x:v>
      </x:c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</x:row>
    <x:row r="34">
      <x:c r="A34" s="29" t="n">
        <x:v>11</x:v>
      </x:c>
      <x:c r="B34" s="29" t="n">
        <x:v>30</x:v>
      </x:c>
      <x:c r="C34" s="31" t="n">
        <x:v>108.90235631422937</x:v>
      </x:c>
      <x:c r="D34" s="31" t="n">
        <x:v>948.3553735444794</x:v>
      </x:c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</x:row>
    <x:row r="35">
      <x:c r="A35" s="29" t="n">
        <x:v>12</x:v>
      </x:c>
      <x:c r="B35" s="29" t="n">
        <x:v>31</x:v>
      </x:c>
      <x:c r="C35" s="31" t="n">
        <x:v>80.29579346563466</x:v>
      </x:c>
      <x:c r="D35" s="31" t="n">
        <x:v>928.0413642752205</x:v>
      </x:c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.30999755859375" hidden="0" customWidth="1"/>
    <x:col min="2" max="2" width="3.559999942779541" hidden="0" customWidth="1"/>
    <x:col min="3" max="3" width="1.9600000381469727" hidden="0" customWidth="1"/>
    <x:col min="4" max="4" width="7.239999771118164" hidden="0" customWidth="1"/>
    <x:col min="5" max="5" width="7.239999771118164" hidden="0" customWidth="1"/>
    <x:col min="6" max="6" width="9.079999923706055" hidden="0" customWidth="1"/>
    <x:col min="7" max="7" width="7.239999771118164" hidden="0" customWidth="1"/>
    <x:col min="8" max="8" width="7.980000019073486" hidden="0" customWidth="1"/>
    <x:col min="9" max="9" width="7.239999771118164" hidden="0" customWidth="1"/>
    <x:col min="10" max="10" width="7.239999771118164" hidden="0" customWidth="1"/>
    <x:col min="11" max="11" width="9.079999923706055" hidden="0" customWidth="1"/>
    <x:col min="12" max="12" width="7.239999771118164" hidden="0" customWidth="1"/>
    <x:col min="13" max="13" width="7.239999771118164" hidden="0" customWidth="1"/>
    <x:col min="14" max="14" width="7.239999771118164" hidden="0" customWidth="1"/>
    <x:col min="15" max="15" width="9.079999923706055" hidden="0" customWidth="1"/>
    <x:col min="16" max="16" width="7.239999771118164" hidden="0" customWidth="1"/>
    <x:col min="17" max="17" width="7.239999771118164" hidden="0" customWidth="1"/>
    <x:col min="18" max="18" width="7.239999771118164" hidden="0" customWidth="1"/>
    <x:col min="19" max="19" width="8.960000038146973" hidden="0" customWidth="1"/>
    <x:col min="20" max="20" width="8.960000038146973" hidden="0" customWidth="1"/>
  </x:cols>
  <x:sheetData>
    <x:row r="1">
      <x:c r="A1" s="26" t="str">
        <x:v>Project 11543 v4.4 Monthly Cashflow with PV Degradation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</x:row>
    <x:row r="2">
      <x:c r="A2" s="34" t="str">
        <x:v>Year 0 rows show baseline electricity cost before PV. Years 1-20 apply PV degradation, electricity inflation, and monthly cashflow formulas.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</x:row>
    <x:row r="4" ht="15" hidden="0" customHeight="1">
      <x:c r="A4" s="35" t="str">
        <x:v>第 n 年</x:v>
      </x:c>
      <x:c r="B4" s="35" t="str">
        <x:v>天数</x:v>
      </x:c>
      <x:c r="C4" s="35" t="str">
        <x:v>月</x:v>
      </x:c>
      <x:c r="D4" s="35" t="str">
        <x:v>月用电量</x:v>
      </x:c>
      <x:c r="E4" s="35" t="str">
        <x:v>买电电费</x:v>
      </x:c>
      <x:c r="F4" s="35" t="str">
        <x:v>日固定费用</x:v>
      </x:c>
      <x:c r="G4" s="35" t="str">
        <x:v>电费合计</x:v>
      </x:c>
      <x:c r="H4" s="35" t="str">
        <x:v>投入累计</x:v>
      </x:c>
      <x:c r="I4" s="35" t="str">
        <x:v>月发电量</x:v>
      </x:c>
      <x:c r="J4" s="35" t="str">
        <x:v>月自用率</x:v>
      </x:c>
      <x:c r="K4" s="35" t="str">
        <x:v>月自用电量</x:v>
      </x:c>
      <x:c r="L4" s="35" t="str">
        <x:v>馈网电量</x:v>
      </x:c>
      <x:c r="M4" s="35" t="str">
        <x:v>仍需买电</x:v>
      </x:c>
      <x:c r="N4" s="35" t="str">
        <x:v>买电电费</x:v>
      </x:c>
      <x:c r="O4" s="35" t="str">
        <x:v>日固定费用</x:v>
      </x:c>
      <x:c r="P4" s="35" t="str">
        <x:v>馈网收入</x:v>
      </x:c>
      <x:c r="Q4" s="35" t="str">
        <x:v>月净支出</x:v>
      </x:c>
      <x:c r="R4" s="35" t="str">
        <x:v>月净节省</x:v>
      </x:c>
      <x:c r="S4" s="35" t="str">
        <x:v>累计节省</x:v>
      </x:c>
      <x:c r="T4" s="35" t="str">
        <x:v>差值</x:v>
      </x:c>
    </x:row>
    <x:row r="5">
      <x:c r="A5" s="36" t="n">
        <x:v>0</x:v>
      </x:c>
      <x:c r="B5" s="36" t="n">
        <x:v>31</x:v>
      </x:c>
      <x:c r="C5" s="36" t="n">
        <x:v>1</x:v>
      </x:c>
      <x:c r="D5" s="37" t="n">
        <x:f>INDEX(Assumptions!$D$24:$D$35,$C5)</x:f>
        <x:v>921.8588397150115</x:v>
      </x:c>
      <x:c r="E5" s="38" t="n">
        <x:f>$D5*Assumptions!$B$11*IF($A5=0,1,(1+Assumptions!$B$14)^($A5-1))</x:f>
        <x:v>322.650593900254</x:v>
      </x:c>
      <x:c r="F5" s="38" t="n">
        <x:f>$B5*Assumptions!$B$13</x:f>
        <x:v>21.7</x:v>
      </x:c>
      <x:c r="G5" s="38" t="n">
        <x:f>$E5+$F5</x:f>
        <x:v>344.350593900254</x:v>
      </x:c>
      <x:c r="H5" s="38" t="str">
        <x:f>IF($A5=0,"",Assumptions!$B$21)</x:f>
      </x:c>
      <x:c r="I5" s="37" t="str">
        <x:f>IF($A5=0,"",INDEX(Assumptions!$C$24:$C$35,$C5)*IF($A5=0,"",IF($A5=1,1-Assumptions!$B$16,(1-Assumptions!$B$16)*(1-Assumptions!$B$17)^($A5-1))))</x:f>
      </x:c>
      <x:c r="J5" s="39" t="str">
        <x:f>IF($A5=0,"",IF($I5&gt;0,$K5/$I5,0))</x:f>
      </x:c>
      <x:c r="K5" s="37" t="str">
        <x:f>IF($A5=0,"",LET(direct,MIN($I5,$D5),surplus,MAX(0,$I5-direct),deficit,MAX(0,$D5-direct),charge,MIN(surplus,Assumptions!$B$10,direct,deficit),direct+charge))</x:f>
      </x:c>
      <x:c r="L5" s="37" t="str">
        <x:f>IF($A5=0,"",LET(direct,MIN($I5,$D5),surplus,MAX(0,$I5-direct),deficit,MAX(0,$D5-direct),charge,MIN(surplus,Assumptions!$B$10,direct,deficit),surplus-charge))</x:f>
      </x:c>
      <x:c r="M5" s="37" t="str">
        <x:f>IF($A5=0,"",LET(direct,MIN($I5,$D5),surplus,MAX(0,$I5-direct),deficit,MAX(0,$D5-direct),charge,MIN(surplus,Assumptions!$B$10,direct,deficit),deficit-charge))</x:f>
      </x:c>
      <x:c r="N5" s="38" t="str">
        <x:f>IF($A5=0,"",$M5*Assumptions!$B$11*IF($A5=0,1,(1+Assumptions!$B$14)^($A5-1)))</x:f>
      </x:c>
      <x:c r="O5" s="38" t="str">
        <x:f>IF($A5=0,"",$B5*Assumptions!$B$13)</x:f>
      </x:c>
      <x:c r="P5" s="38" t="str">
        <x:f>IF($A5=0,"",$L5*Assumptions!$B$12)</x:f>
      </x:c>
      <x:c r="Q5" s="38" t="str">
        <x:f>IF($A5=0,"",$N5+$O5-$P5)</x:f>
      </x:c>
      <x:c r="R5" s="38" t="str">
        <x:f>IF($A5=0,"",$G5-$Q5)</x:f>
      </x:c>
      <x:c r="S5" s="38" t="str">
        <x:f>IF($A5=0,"",SUM($R$17:R5))</x:f>
      </x:c>
      <x:c r="T5" s="38" t="str">
        <x:f>IF($A5=0,"",$S5-$H5)</x:f>
      </x:c>
    </x:row>
    <x:row r="6">
      <x:c r="A6" s="36" t="n">
        <x:v>0</x:v>
      </x:c>
      <x:c r="B6" s="36" t="n">
        <x:v>28</x:v>
      </x:c>
      <x:c r="C6" s="36" t="n">
        <x:v>2</x:v>
      </x:c>
      <x:c r="D6" s="37" t="n">
        <x:f>INDEX(Assumptions!$D$24:$D$35,$C6)</x:f>
        <x:v>923.6252753036425</x:v>
      </x:c>
      <x:c r="E6" s="38" t="n">
        <x:f>$D6*Assumptions!$B$11*IF($A6=0,1,(1+Assumptions!$B$14)^($A6-1))</x:f>
        <x:v>323.2688463562749</x:v>
      </x:c>
      <x:c r="F6" s="38" t="n">
        <x:f>$B6*Assumptions!$B$13</x:f>
        <x:v>19.599999999999998</x:v>
      </x:c>
      <x:c r="G6" s="38" t="n">
        <x:f>$E6+$F6</x:f>
        <x:v>342.8688463562749</x:v>
      </x:c>
      <x:c r="H6" s="38" t="str">
        <x:f>IF($A6=0,"",Assumptions!$B$21)</x:f>
      </x:c>
      <x:c r="I6" s="37" t="str">
        <x:f>IF($A6=0,"",INDEX(Assumptions!$C$24:$C$35,$C6)*IF($A6=0,"",IF($A6=1,1-Assumptions!$B$16,(1-Assumptions!$B$16)*(1-Assumptions!$B$17)^($A6-1))))</x:f>
      </x:c>
      <x:c r="J6" s="39" t="str">
        <x:f>IF($A6=0,"",IF($I6&gt;0,$K6/$I6,0))</x:f>
      </x:c>
      <x:c r="K6" s="37" t="str">
        <x:f>IF($A6=0,"",LET(direct,MIN($I6,$D6),surplus,MAX(0,$I6-direct),deficit,MAX(0,$D6-direct),charge,MIN(surplus,Assumptions!$B$10,direct,deficit),direct+charge))</x:f>
      </x:c>
      <x:c r="L6" s="37" t="str">
        <x:f>IF($A6=0,"",LET(direct,MIN($I6,$D6),surplus,MAX(0,$I6-direct),deficit,MAX(0,$D6-direct),charge,MIN(surplus,Assumptions!$B$10,direct,deficit),surplus-charge))</x:f>
      </x:c>
      <x:c r="M6" s="37" t="str">
        <x:f>IF($A6=0,"",LET(direct,MIN($I6,$D6),surplus,MAX(0,$I6-direct),deficit,MAX(0,$D6-direct),charge,MIN(surplus,Assumptions!$B$10,direct,deficit),deficit-charge))</x:f>
      </x:c>
      <x:c r="N6" s="38" t="str">
        <x:f>IF($A6=0,"",$M6*Assumptions!$B$11*IF($A6=0,1,(1+Assumptions!$B$14)^($A6-1)))</x:f>
      </x:c>
      <x:c r="O6" s="38" t="str">
        <x:f>IF($A6=0,"",$B6*Assumptions!$B$13)</x:f>
      </x:c>
      <x:c r="P6" s="38" t="str">
        <x:f>IF($A6=0,"",$L6*Assumptions!$B$12)</x:f>
      </x:c>
      <x:c r="Q6" s="38" t="str">
        <x:f>IF($A6=0,"",$N6+$O6-$P6)</x:f>
      </x:c>
      <x:c r="R6" s="38" t="str">
        <x:f>IF($A6=0,"",$G6-$Q6)</x:f>
      </x:c>
      <x:c r="S6" s="38" t="str">
        <x:f>IF($A6=0,"",SUM($R$17:R6))</x:f>
      </x:c>
      <x:c r="T6" s="38" t="str">
        <x:f>IF($A6=0,"",$S6-$H6)</x:f>
      </x:c>
    </x:row>
    <x:row r="7">
      <x:c r="A7" s="36" t="n">
        <x:v>0</x:v>
      </x:c>
      <x:c r="B7" s="36" t="n">
        <x:v>31</x:v>
      </x:c>
      <x:c r="C7" s="36" t="n">
        <x:v>3</x:v>
      </x:c>
      <x:c r="D7" s="37" t="n">
        <x:f>INDEX(Assumptions!$D$24:$D$35,$C7)</x:f>
        <x:v>907.7273550059616</x:v>
      </x:c>
      <x:c r="E7" s="38" t="n">
        <x:f>$D7*Assumptions!$B$11*IF($A7=0,1,(1+Assumptions!$B$14)^($A7-1))</x:f>
        <x:v>317.70457425208656</x:v>
      </x:c>
      <x:c r="F7" s="38" t="n">
        <x:f>$B7*Assumptions!$B$13</x:f>
        <x:v>21.7</x:v>
      </x:c>
      <x:c r="G7" s="38" t="n">
        <x:f>$E7+$F7</x:f>
        <x:v>339.40457425208655</x:v>
      </x:c>
      <x:c r="H7" s="38" t="str">
        <x:f>IF($A7=0,"",Assumptions!$B$21)</x:f>
      </x:c>
      <x:c r="I7" s="37" t="str">
        <x:f>IF($A7=0,"",INDEX(Assumptions!$C$24:$C$35,$C7)*IF($A7=0,"",IF($A7=1,1-Assumptions!$B$16,(1-Assumptions!$B$16)*(1-Assumptions!$B$17)^($A7-1))))</x:f>
      </x:c>
      <x:c r="J7" s="39" t="str">
        <x:f>IF($A7=0,"",IF($I7&gt;0,$K7/$I7,0))</x:f>
      </x:c>
      <x:c r="K7" s="37" t="str">
        <x:f>IF($A7=0,"",LET(direct,MIN($I7,$D7),surplus,MAX(0,$I7-direct),deficit,MAX(0,$D7-direct),charge,MIN(surplus,Assumptions!$B$10,direct,deficit),direct+charge))</x:f>
      </x:c>
      <x:c r="L7" s="37" t="str">
        <x:f>IF($A7=0,"",LET(direct,MIN($I7,$D7),surplus,MAX(0,$I7-direct),deficit,MAX(0,$D7-direct),charge,MIN(surplus,Assumptions!$B$10,direct,deficit),surplus-charge))</x:f>
      </x:c>
      <x:c r="M7" s="37" t="str">
        <x:f>IF($A7=0,"",LET(direct,MIN($I7,$D7),surplus,MAX(0,$I7-direct),deficit,MAX(0,$D7-direct),charge,MIN(surplus,Assumptions!$B$10,direct,deficit),deficit-charge))</x:f>
      </x:c>
      <x:c r="N7" s="38" t="str">
        <x:f>IF($A7=0,"",$M7*Assumptions!$B$11*IF($A7=0,1,(1+Assumptions!$B$14)^($A7-1)))</x:f>
      </x:c>
      <x:c r="O7" s="38" t="str">
        <x:f>IF($A7=0,"",$B7*Assumptions!$B$13)</x:f>
      </x:c>
      <x:c r="P7" s="38" t="str">
        <x:f>IF($A7=0,"",$L7*Assumptions!$B$12)</x:f>
      </x:c>
      <x:c r="Q7" s="38" t="str">
        <x:f>IF($A7=0,"",$N7+$O7-$P7)</x:f>
      </x:c>
      <x:c r="R7" s="38" t="str">
        <x:f>IF($A7=0,"",$G7-$Q7)</x:f>
      </x:c>
      <x:c r="S7" s="38" t="str">
        <x:f>IF($A7=0,"",SUM($R$17:R7))</x:f>
      </x:c>
      <x:c r="T7" s="38" t="str">
        <x:f>IF($A7=0,"",$S7-$H7)</x:f>
      </x:c>
    </x:row>
    <x:row r="8">
      <x:c r="A8" s="36" t="n">
        <x:v>0</x:v>
      </x:c>
      <x:c r="B8" s="36" t="n">
        <x:v>30</x:v>
      </x:c>
      <x:c r="C8" s="36" t="n">
        <x:v>4</x:v>
      </x:c>
      <x:c r="D8" s="37" t="n">
        <x:f>INDEX(Assumptions!$D$24:$D$35,$C8)</x:f>
        <x:v>951.0050269274262</x:v>
      </x:c>
      <x:c r="E8" s="38" t="n">
        <x:f>$D8*Assumptions!$B$11*IF($A8=0,1,(1+Assumptions!$B$14)^($A8-1))</x:f>
        <x:v>332.85175942459915</x:v>
      </x:c>
      <x:c r="F8" s="38" t="n">
        <x:f>$B8*Assumptions!$B$13</x:f>
        <x:v>21</x:v>
      </x:c>
      <x:c r="G8" s="38" t="n">
        <x:f>$E8+$F8</x:f>
        <x:v>353.85175942459915</x:v>
      </x:c>
      <x:c r="H8" s="38" t="str">
        <x:f>IF($A8=0,"",Assumptions!$B$21)</x:f>
      </x:c>
      <x:c r="I8" s="37" t="str">
        <x:f>IF($A8=0,"",INDEX(Assumptions!$C$24:$C$35,$C8)*IF($A8=0,"",IF($A8=1,1-Assumptions!$B$16,(1-Assumptions!$B$16)*(1-Assumptions!$B$17)^($A8-1))))</x:f>
      </x:c>
      <x:c r="J8" s="39" t="str">
        <x:f>IF($A8=0,"",IF($I8&gt;0,$K8/$I8,0))</x:f>
      </x:c>
      <x:c r="K8" s="37" t="str">
        <x:f>IF($A8=0,"",LET(direct,MIN($I8,$D8),surplus,MAX(0,$I8-direct),deficit,MAX(0,$D8-direct),charge,MIN(surplus,Assumptions!$B$10,direct,deficit),direct+charge))</x:f>
      </x:c>
      <x:c r="L8" s="37" t="str">
        <x:f>IF($A8=0,"",LET(direct,MIN($I8,$D8),surplus,MAX(0,$I8-direct),deficit,MAX(0,$D8-direct),charge,MIN(surplus,Assumptions!$B$10,direct,deficit),surplus-charge))</x:f>
      </x:c>
      <x:c r="M8" s="37" t="str">
        <x:f>IF($A8=0,"",LET(direct,MIN($I8,$D8),surplus,MAX(0,$I8-direct),deficit,MAX(0,$D8-direct),charge,MIN(surplus,Assumptions!$B$10,direct,deficit),deficit-charge))</x:f>
      </x:c>
      <x:c r="N8" s="38" t="str">
        <x:f>IF($A8=0,"",$M8*Assumptions!$B$11*IF($A8=0,1,(1+Assumptions!$B$14)^($A8-1)))</x:f>
      </x:c>
      <x:c r="O8" s="38" t="str">
        <x:f>IF($A8=0,"",$B8*Assumptions!$B$13)</x:f>
      </x:c>
      <x:c r="P8" s="38" t="str">
        <x:f>IF($A8=0,"",$L8*Assumptions!$B$12)</x:f>
      </x:c>
      <x:c r="Q8" s="38" t="str">
        <x:f>IF($A8=0,"",$N8+$O8-$P8)</x:f>
      </x:c>
      <x:c r="R8" s="38" t="str">
        <x:f>IF($A8=0,"",$G8-$Q8)</x:f>
      </x:c>
      <x:c r="S8" s="38" t="str">
        <x:f>IF($A8=0,"",SUM($R$17:R8))</x:f>
      </x:c>
      <x:c r="T8" s="38" t="str">
        <x:f>IF($A8=0,"",$S8-$H8)</x:f>
      </x:c>
    </x:row>
    <x:row r="9">
      <x:c r="A9" s="36" t="n">
        <x:v>0</x:v>
      </x:c>
      <x:c r="B9" s="36" t="n">
        <x:v>31</x:v>
      </x:c>
      <x:c r="C9" s="36" t="n">
        <x:v>5</x:v>
      </x:c>
      <x:c r="D9" s="37" t="n">
        <x:f>INDEX(Assumptions!$D$24:$D$35,$C9)</x:f>
        <x:v>480.47094299256736</x:v>
      </x:c>
      <x:c r="E9" s="38" t="n">
        <x:f>$D9*Assumptions!$B$11*IF($A9=0,1,(1+Assumptions!$B$14)^($A9-1))</x:f>
        <x:v>168.16483004739857</x:v>
      </x:c>
      <x:c r="F9" s="38" t="n">
        <x:f>$B9*Assumptions!$B$13</x:f>
        <x:v>21.7</x:v>
      </x:c>
      <x:c r="G9" s="38" t="n">
        <x:f>$E9+$F9</x:f>
        <x:v>189.86483004739856</x:v>
      </x:c>
      <x:c r="H9" s="38" t="str">
        <x:f>IF($A9=0,"",Assumptions!$B$21)</x:f>
      </x:c>
      <x:c r="I9" s="37" t="str">
        <x:f>IF($A9=0,"",INDEX(Assumptions!$C$24:$C$35,$C9)*IF($A9=0,"",IF($A9=1,1-Assumptions!$B$16,(1-Assumptions!$B$16)*(1-Assumptions!$B$17)^($A9-1))))</x:f>
      </x:c>
      <x:c r="J9" s="39" t="str">
        <x:f>IF($A9=0,"",IF($I9&gt;0,$K9/$I9,0))</x:f>
      </x:c>
      <x:c r="K9" s="37" t="str">
        <x:f>IF($A9=0,"",LET(direct,MIN($I9,$D9),surplus,MAX(0,$I9-direct),deficit,MAX(0,$D9-direct),charge,MIN(surplus,Assumptions!$B$10,direct,deficit),direct+charge))</x:f>
      </x:c>
      <x:c r="L9" s="37" t="str">
        <x:f>IF($A9=0,"",LET(direct,MIN($I9,$D9),surplus,MAX(0,$I9-direct),deficit,MAX(0,$D9-direct),charge,MIN(surplus,Assumptions!$B$10,direct,deficit),surplus-charge))</x:f>
      </x:c>
      <x:c r="M9" s="37" t="str">
        <x:f>IF($A9=0,"",LET(direct,MIN($I9,$D9),surplus,MAX(0,$I9-direct),deficit,MAX(0,$D9-direct),charge,MIN(surplus,Assumptions!$B$10,direct,deficit),deficit-charge))</x:f>
      </x:c>
      <x:c r="N9" s="38" t="str">
        <x:f>IF($A9=0,"",$M9*Assumptions!$B$11*IF($A9=0,1,(1+Assumptions!$B$14)^($A9-1)))</x:f>
      </x:c>
      <x:c r="O9" s="38" t="str">
        <x:f>IF($A9=0,"",$B9*Assumptions!$B$13)</x:f>
      </x:c>
      <x:c r="P9" s="38" t="str">
        <x:f>IF($A9=0,"",$L9*Assumptions!$B$12)</x:f>
      </x:c>
      <x:c r="Q9" s="38" t="str">
        <x:f>IF($A9=0,"",$N9+$O9-$P9)</x:f>
      </x:c>
      <x:c r="R9" s="38" t="str">
        <x:f>IF($A9=0,"",$G9-$Q9)</x:f>
      </x:c>
      <x:c r="S9" s="38" t="str">
        <x:f>IF($A9=0,"",SUM($R$17:R9))</x:f>
      </x:c>
      <x:c r="T9" s="38" t="str">
        <x:f>IF($A9=0,"",$S9-$H9)</x:f>
      </x:c>
    </x:row>
    <x:row r="10">
      <x:c r="A10" s="36" t="n">
        <x:v>0</x:v>
      </x:c>
      <x:c r="B10" s="36" t="n">
        <x:v>30</x:v>
      </x:c>
      <x:c r="C10" s="36" t="n">
        <x:v>6</x:v>
      </x:c>
      <x:c r="D10" s="37" t="n">
        <x:f>INDEX(Assumptions!$D$24:$D$35,$C10)</x:f>
        <x:v>491.73724202799656</x:v>
      </x:c>
      <x:c r="E10" s="38" t="n">
        <x:f>$D10*Assumptions!$B$11*IF($A10=0,1,(1+Assumptions!$B$14)^($A10-1))</x:f>
        <x:v>172.10803470979877</x:v>
      </x:c>
      <x:c r="F10" s="38" t="n">
        <x:f>$B10*Assumptions!$B$13</x:f>
        <x:v>21</x:v>
      </x:c>
      <x:c r="G10" s="38" t="n">
        <x:f>$E10+$F10</x:f>
        <x:v>193.10803470979877</x:v>
      </x:c>
      <x:c r="H10" s="38" t="str">
        <x:f>IF($A10=0,"",Assumptions!$B$21)</x:f>
      </x:c>
      <x:c r="I10" s="37" t="str">
        <x:f>IF($A10=0,"",INDEX(Assumptions!$C$24:$C$35,$C10)*IF($A10=0,"",IF($A10=1,1-Assumptions!$B$16,(1-Assumptions!$B$16)*(1-Assumptions!$B$17)^($A10-1))))</x:f>
      </x:c>
      <x:c r="J10" s="39" t="str">
        <x:f>IF($A10=0,"",IF($I10&gt;0,$K10/$I10,0))</x:f>
      </x:c>
      <x:c r="K10" s="37" t="str">
        <x:f>IF($A10=0,"",LET(direct,MIN($I10,$D10),surplus,MAX(0,$I10-direct),deficit,MAX(0,$D10-direct),charge,MIN(surplus,Assumptions!$B$10,direct,deficit),direct+charge))</x:f>
      </x:c>
      <x:c r="L10" s="37" t="str">
        <x:f>IF($A10=0,"",LET(direct,MIN($I10,$D10),surplus,MAX(0,$I10-direct),deficit,MAX(0,$D10-direct),charge,MIN(surplus,Assumptions!$B$10,direct,deficit),surplus-charge))</x:f>
      </x:c>
      <x:c r="M10" s="37" t="str">
        <x:f>IF($A10=0,"",LET(direct,MIN($I10,$D10),surplus,MAX(0,$I10-direct),deficit,MAX(0,$D10-direct),charge,MIN(surplus,Assumptions!$B$10,direct,deficit),deficit-charge))</x:f>
      </x:c>
      <x:c r="N10" s="38" t="str">
        <x:f>IF($A10=0,"",$M10*Assumptions!$B$11*IF($A10=0,1,(1+Assumptions!$B$14)^($A10-1)))</x:f>
      </x:c>
      <x:c r="O10" s="38" t="str">
        <x:f>IF($A10=0,"",$B10*Assumptions!$B$13)</x:f>
      </x:c>
      <x:c r="P10" s="38" t="str">
        <x:f>IF($A10=0,"",$L10*Assumptions!$B$12)</x:f>
      </x:c>
      <x:c r="Q10" s="38" t="str">
        <x:f>IF($A10=0,"",$N10+$O10-$P10)</x:f>
      </x:c>
      <x:c r="R10" s="38" t="str">
        <x:f>IF($A10=0,"",$G10-$Q10)</x:f>
      </x:c>
      <x:c r="S10" s="38" t="str">
        <x:f>IF($A10=0,"",SUM($R$17:R10))</x:f>
      </x:c>
      <x:c r="T10" s="38" t="str">
        <x:f>IF($A10=0,"",$S10-$H10)</x:f>
      </x:c>
    </x:row>
    <x:row r="11">
      <x:c r="A11" s="36" t="n">
        <x:v>0</x:v>
      </x:c>
      <x:c r="B11" s="36" t="n">
        <x:v>31</x:v>
      </x:c>
      <x:c r="C11" s="36" t="n">
        <x:v>7</x:v>
      </x:c>
      <x:c r="D11" s="37" t="n">
        <x:f>INDEX(Assumptions!$D$24:$D$35,$C11)</x:f>
        <x:v>504.2215193375261</x:v>
      </x:c>
      <x:c r="E11" s="38" t="n">
        <x:f>$D11*Assumptions!$B$11*IF($A11=0,1,(1+Assumptions!$B$14)^($A11-1))</x:f>
        <x:v>176.47753176813413</x:v>
      </x:c>
      <x:c r="F11" s="38" t="n">
        <x:f>$B11*Assumptions!$B$13</x:f>
        <x:v>21.7</x:v>
      </x:c>
      <x:c r="G11" s="38" t="n">
        <x:f>$E11+$F11</x:f>
        <x:v>198.17753176813412</x:v>
      </x:c>
      <x:c r="H11" s="38" t="str">
        <x:f>IF($A11=0,"",Assumptions!$B$21)</x:f>
      </x:c>
      <x:c r="I11" s="37" t="str">
        <x:f>IF($A11=0,"",INDEX(Assumptions!$C$24:$C$35,$C11)*IF($A11=0,"",IF($A11=1,1-Assumptions!$B$16,(1-Assumptions!$B$16)*(1-Assumptions!$B$17)^($A11-1))))</x:f>
      </x:c>
      <x:c r="J11" s="39" t="str">
        <x:f>IF($A11=0,"",IF($I11&gt;0,$K11/$I11,0))</x:f>
      </x:c>
      <x:c r="K11" s="37" t="str">
        <x:f>IF($A11=0,"",LET(direct,MIN($I11,$D11),surplus,MAX(0,$I11-direct),deficit,MAX(0,$D11-direct),charge,MIN(surplus,Assumptions!$B$10,direct,deficit),direct+charge))</x:f>
      </x:c>
      <x:c r="L11" s="37" t="str">
        <x:f>IF($A11=0,"",LET(direct,MIN($I11,$D11),surplus,MAX(0,$I11-direct),deficit,MAX(0,$D11-direct),charge,MIN(surplus,Assumptions!$B$10,direct,deficit),surplus-charge))</x:f>
      </x:c>
      <x:c r="M11" s="37" t="str">
        <x:f>IF($A11=0,"",LET(direct,MIN($I11,$D11),surplus,MAX(0,$I11-direct),deficit,MAX(0,$D11-direct),charge,MIN(surplus,Assumptions!$B$10,direct,deficit),deficit-charge))</x:f>
      </x:c>
      <x:c r="N11" s="38" t="str">
        <x:f>IF($A11=0,"",$M11*Assumptions!$B$11*IF($A11=0,1,(1+Assumptions!$B$14)^($A11-1)))</x:f>
      </x:c>
      <x:c r="O11" s="38" t="str">
        <x:f>IF($A11=0,"",$B11*Assumptions!$B$13)</x:f>
      </x:c>
      <x:c r="P11" s="38" t="str">
        <x:f>IF($A11=0,"",$L11*Assumptions!$B$12)</x:f>
      </x:c>
      <x:c r="Q11" s="38" t="str">
        <x:f>IF($A11=0,"",$N11+$O11-$P11)</x:f>
      </x:c>
      <x:c r="R11" s="38" t="str">
        <x:f>IF($A11=0,"",$G11-$Q11)</x:f>
      </x:c>
      <x:c r="S11" s="38" t="str">
        <x:f>IF($A11=0,"",SUM($R$17:R11))</x:f>
      </x:c>
      <x:c r="T11" s="38" t="str">
        <x:f>IF($A11=0,"",$S11-$H11)</x:f>
      </x:c>
    </x:row>
    <x:row r="12">
      <x:c r="A12" s="36" t="n">
        <x:v>0</x:v>
      </x:c>
      <x:c r="B12" s="36" t="n">
        <x:v>31</x:v>
      </x:c>
      <x:c r="C12" s="36" t="n">
        <x:v>8</x:v>
      </x:c>
      <x:c r="D12" s="37" t="n">
        <x:f>INDEX(Assumptions!$D$24:$D$35,$C12)</x:f>
        <x:v>495.0866822817727</x:v>
      </x:c>
      <x:c r="E12" s="38" t="n">
        <x:f>$D12*Assumptions!$B$11*IF($A12=0,1,(1+Assumptions!$B$14)^($A12-1))</x:f>
        <x:v>173.28033879862045</x:v>
      </x:c>
      <x:c r="F12" s="38" t="n">
        <x:f>$B12*Assumptions!$B$13</x:f>
        <x:v>21.7</x:v>
      </x:c>
      <x:c r="G12" s="38" t="n">
        <x:f>$E12+$F12</x:f>
        <x:v>194.98033879862044</x:v>
      </x:c>
      <x:c r="H12" s="38" t="str">
        <x:f>IF($A12=0,"",Assumptions!$B$21)</x:f>
      </x:c>
      <x:c r="I12" s="37" t="str">
        <x:f>IF($A12=0,"",INDEX(Assumptions!$C$24:$C$35,$C12)*IF($A12=0,"",IF($A12=1,1-Assumptions!$B$16,(1-Assumptions!$B$16)*(1-Assumptions!$B$17)^($A12-1))))</x:f>
      </x:c>
      <x:c r="J12" s="39" t="str">
        <x:f>IF($A12=0,"",IF($I12&gt;0,$K12/$I12,0))</x:f>
      </x:c>
      <x:c r="K12" s="37" t="str">
        <x:f>IF($A12=0,"",LET(direct,MIN($I12,$D12),surplus,MAX(0,$I12-direct),deficit,MAX(0,$D12-direct),charge,MIN(surplus,Assumptions!$B$10,direct,deficit),direct+charge))</x:f>
      </x:c>
      <x:c r="L12" s="37" t="str">
        <x:f>IF($A12=0,"",LET(direct,MIN($I12,$D12),surplus,MAX(0,$I12-direct),deficit,MAX(0,$D12-direct),charge,MIN(surplus,Assumptions!$B$10,direct,deficit),surplus-charge))</x:f>
      </x:c>
      <x:c r="M12" s="37" t="str">
        <x:f>IF($A12=0,"",LET(direct,MIN($I12,$D12),surplus,MAX(0,$I12-direct),deficit,MAX(0,$D12-direct),charge,MIN(surplus,Assumptions!$B$10,direct,deficit),deficit-charge))</x:f>
      </x:c>
      <x:c r="N12" s="38" t="str">
        <x:f>IF($A12=0,"",$M12*Assumptions!$B$11*IF($A12=0,1,(1+Assumptions!$B$14)^($A12-1)))</x:f>
      </x:c>
      <x:c r="O12" s="38" t="str">
        <x:f>IF($A12=0,"",$B12*Assumptions!$B$13)</x:f>
      </x:c>
      <x:c r="P12" s="38" t="str">
        <x:f>IF($A12=0,"",$L12*Assumptions!$B$12)</x:f>
      </x:c>
      <x:c r="Q12" s="38" t="str">
        <x:f>IF($A12=0,"",$N12+$O12-$P12)</x:f>
      </x:c>
      <x:c r="R12" s="38" t="str">
        <x:f>IF($A12=0,"",$G12-$Q12)</x:f>
      </x:c>
      <x:c r="S12" s="38" t="str">
        <x:f>IF($A12=0,"",SUM($R$17:R12))</x:f>
      </x:c>
      <x:c r="T12" s="38" t="str">
        <x:f>IF($A12=0,"",$S12-$H12)</x:f>
      </x:c>
    </x:row>
    <x:row r="13">
      <x:c r="A13" s="36" t="n">
        <x:v>0</x:v>
      </x:c>
      <x:c r="B13" s="36" t="n">
        <x:v>30</x:v>
      </x:c>
      <x:c r="C13" s="36" t="n">
        <x:v>9</x:v>
      </x:c>
      <x:c r="D13" s="37" t="n">
        <x:f>INDEX(Assumptions!$D$24:$D$35,$C13)</x:f>
        <x:v>484.7338669519189</x:v>
      </x:c>
      <x:c r="E13" s="38" t="n">
        <x:f>$D13*Assumptions!$B$11*IF($A13=0,1,(1+Assumptions!$B$14)^($A13-1))</x:f>
        <x:v>169.65685343317162</x:v>
      </x:c>
      <x:c r="F13" s="38" t="n">
        <x:f>$B13*Assumptions!$B$13</x:f>
        <x:v>21</x:v>
      </x:c>
      <x:c r="G13" s="38" t="n">
        <x:f>$E13+$F13</x:f>
        <x:v>190.65685343317162</x:v>
      </x:c>
      <x:c r="H13" s="38" t="str">
        <x:f>IF($A13=0,"",Assumptions!$B$21)</x:f>
      </x:c>
      <x:c r="I13" s="37" t="str">
        <x:f>IF($A13=0,"",INDEX(Assumptions!$C$24:$C$35,$C13)*IF($A13=0,"",IF($A13=1,1-Assumptions!$B$16,(1-Assumptions!$B$16)*(1-Assumptions!$B$17)^($A13-1))))</x:f>
      </x:c>
      <x:c r="J13" s="39" t="str">
        <x:f>IF($A13=0,"",IF($I13&gt;0,$K13/$I13,0))</x:f>
      </x:c>
      <x:c r="K13" s="37" t="str">
        <x:f>IF($A13=0,"",LET(direct,MIN($I13,$D13),surplus,MAX(0,$I13-direct),deficit,MAX(0,$D13-direct),charge,MIN(surplus,Assumptions!$B$10,direct,deficit),direct+charge))</x:f>
      </x:c>
      <x:c r="L13" s="37" t="str">
        <x:f>IF($A13=0,"",LET(direct,MIN($I13,$D13),surplus,MAX(0,$I13-direct),deficit,MAX(0,$D13-direct),charge,MIN(surplus,Assumptions!$B$10,direct,deficit),surplus-charge))</x:f>
      </x:c>
      <x:c r="M13" s="37" t="str">
        <x:f>IF($A13=0,"",LET(direct,MIN($I13,$D13),surplus,MAX(0,$I13-direct),deficit,MAX(0,$D13-direct),charge,MIN(surplus,Assumptions!$B$10,direct,deficit),deficit-charge))</x:f>
      </x:c>
      <x:c r="N13" s="38" t="str">
        <x:f>IF($A13=0,"",$M13*Assumptions!$B$11*IF($A13=0,1,(1+Assumptions!$B$14)^($A13-1)))</x:f>
      </x:c>
      <x:c r="O13" s="38" t="str">
        <x:f>IF($A13=0,"",$B13*Assumptions!$B$13)</x:f>
      </x:c>
      <x:c r="P13" s="38" t="str">
        <x:f>IF($A13=0,"",$L13*Assumptions!$B$12)</x:f>
      </x:c>
      <x:c r="Q13" s="38" t="str">
        <x:f>IF($A13=0,"",$N13+$O13-$P13)</x:f>
      </x:c>
      <x:c r="R13" s="38" t="str">
        <x:f>IF($A13=0,"",$G13-$Q13)</x:f>
      </x:c>
      <x:c r="S13" s="38" t="str">
        <x:f>IF($A13=0,"",SUM($R$17:R13))</x:f>
      </x:c>
      <x:c r="T13" s="38" t="str">
        <x:f>IF($A13=0,"",$S13-$H13)</x:f>
      </x:c>
    </x:row>
    <x:row r="14">
      <x:c r="A14" s="36" t="n">
        <x:v>0</x:v>
      </x:c>
      <x:c r="B14" s="36" t="n">
        <x:v>31</x:v>
      </x:c>
      <x:c r="C14" s="36" t="n">
        <x:v>10</x:v>
      </x:c>
      <x:c r="D14" s="37" t="n">
        <x:f>INDEX(Assumptions!$D$24:$D$35,$C14)</x:f>
        <x:v>965.136511636476</x:v>
      </x:c>
      <x:c r="E14" s="38" t="n">
        <x:f>$D14*Assumptions!$B$11*IF($A14=0,1,(1+Assumptions!$B$14)^($A14-1))</x:f>
        <x:v>337.7977790727666</x:v>
      </x:c>
      <x:c r="F14" s="38" t="n">
        <x:f>$B14*Assumptions!$B$13</x:f>
        <x:v>21.7</x:v>
      </x:c>
      <x:c r="G14" s="38" t="n">
        <x:f>$E14+$F14</x:f>
        <x:v>359.4977790727666</x:v>
      </x:c>
      <x:c r="H14" s="38" t="str">
        <x:f>IF($A14=0,"",Assumptions!$B$21)</x:f>
      </x:c>
      <x:c r="I14" s="37" t="str">
        <x:f>IF($A14=0,"",INDEX(Assumptions!$C$24:$C$35,$C14)*IF($A14=0,"",IF($A14=1,1-Assumptions!$B$16,(1-Assumptions!$B$16)*(1-Assumptions!$B$17)^($A14-1))))</x:f>
      </x:c>
      <x:c r="J14" s="39" t="str">
        <x:f>IF($A14=0,"",IF($I14&gt;0,$K14/$I14,0))</x:f>
      </x:c>
      <x:c r="K14" s="37" t="str">
        <x:f>IF($A14=0,"",LET(direct,MIN($I14,$D14),surplus,MAX(0,$I14-direct),deficit,MAX(0,$D14-direct),charge,MIN(surplus,Assumptions!$B$10,direct,deficit),direct+charge))</x:f>
      </x:c>
      <x:c r="L14" s="37" t="str">
        <x:f>IF($A14=0,"",LET(direct,MIN($I14,$D14),surplus,MAX(0,$I14-direct),deficit,MAX(0,$D14-direct),charge,MIN(surplus,Assumptions!$B$10,direct,deficit),surplus-charge))</x:f>
      </x:c>
      <x:c r="M14" s="37" t="str">
        <x:f>IF($A14=0,"",LET(direct,MIN($I14,$D14),surplus,MAX(0,$I14-direct),deficit,MAX(0,$D14-direct),charge,MIN(surplus,Assumptions!$B$10,direct,deficit),deficit-charge))</x:f>
      </x:c>
      <x:c r="N14" s="38" t="str">
        <x:f>IF($A14=0,"",$M14*Assumptions!$B$11*IF($A14=0,1,(1+Assumptions!$B$14)^($A14-1)))</x:f>
      </x:c>
      <x:c r="O14" s="38" t="str">
        <x:f>IF($A14=0,"",$B14*Assumptions!$B$13)</x:f>
      </x:c>
      <x:c r="P14" s="38" t="str">
        <x:f>IF($A14=0,"",$L14*Assumptions!$B$12)</x:f>
      </x:c>
      <x:c r="Q14" s="38" t="str">
        <x:f>IF($A14=0,"",$N14+$O14-$P14)</x:f>
      </x:c>
      <x:c r="R14" s="38" t="str">
        <x:f>IF($A14=0,"",$G14-$Q14)</x:f>
      </x:c>
      <x:c r="S14" s="38" t="str">
        <x:f>IF($A14=0,"",SUM($R$17:R14))</x:f>
      </x:c>
      <x:c r="T14" s="38" t="str">
        <x:f>IF($A14=0,"",$S14-$H14)</x:f>
      </x:c>
    </x:row>
    <x:row r="15">
      <x:c r="A15" s="36" t="n">
        <x:v>0</x:v>
      </x:c>
      <x:c r="B15" s="36" t="n">
        <x:v>30</x:v>
      </x:c>
      <x:c r="C15" s="36" t="n">
        <x:v>11</x:v>
      </x:c>
      <x:c r="D15" s="37" t="n">
        <x:f>INDEX(Assumptions!$D$24:$D$35,$C15)</x:f>
        <x:v>948.3553735444794</x:v>
      </x:c>
      <x:c r="E15" s="38" t="n">
        <x:f>$D15*Assumptions!$B$11*IF($A15=0,1,(1+Assumptions!$B$14)^($A15-1))</x:f>
        <x:v>331.9243807405678</x:v>
      </x:c>
      <x:c r="F15" s="38" t="n">
        <x:f>$B15*Assumptions!$B$13</x:f>
        <x:v>21</x:v>
      </x:c>
      <x:c r="G15" s="38" t="n">
        <x:f>$E15+$F15</x:f>
        <x:v>352.9243807405678</x:v>
      </x:c>
      <x:c r="H15" s="38" t="str">
        <x:f>IF($A15=0,"",Assumptions!$B$21)</x:f>
      </x:c>
      <x:c r="I15" s="37" t="str">
        <x:f>IF($A15=0,"",INDEX(Assumptions!$C$24:$C$35,$C15)*IF($A15=0,"",IF($A15=1,1-Assumptions!$B$16,(1-Assumptions!$B$16)*(1-Assumptions!$B$17)^($A15-1))))</x:f>
      </x:c>
      <x:c r="J15" s="39" t="str">
        <x:f>IF($A15=0,"",IF($I15&gt;0,$K15/$I15,0))</x:f>
      </x:c>
      <x:c r="K15" s="37" t="str">
        <x:f>IF($A15=0,"",LET(direct,MIN($I15,$D15),surplus,MAX(0,$I15-direct),deficit,MAX(0,$D15-direct),charge,MIN(surplus,Assumptions!$B$10,direct,deficit),direct+charge))</x:f>
      </x:c>
      <x:c r="L15" s="37" t="str">
        <x:f>IF($A15=0,"",LET(direct,MIN($I15,$D15),surplus,MAX(0,$I15-direct),deficit,MAX(0,$D15-direct),charge,MIN(surplus,Assumptions!$B$10,direct,deficit),surplus-charge))</x:f>
      </x:c>
      <x:c r="M15" s="37" t="str">
        <x:f>IF($A15=0,"",LET(direct,MIN($I15,$D15),surplus,MAX(0,$I15-direct),deficit,MAX(0,$D15-direct),charge,MIN(surplus,Assumptions!$B$10,direct,deficit),deficit-charge))</x:f>
      </x:c>
      <x:c r="N15" s="38" t="str">
        <x:f>IF($A15=0,"",$M15*Assumptions!$B$11*IF($A15=0,1,(1+Assumptions!$B$14)^($A15-1)))</x:f>
      </x:c>
      <x:c r="O15" s="38" t="str">
        <x:f>IF($A15=0,"",$B15*Assumptions!$B$13)</x:f>
      </x:c>
      <x:c r="P15" s="38" t="str">
        <x:f>IF($A15=0,"",$L15*Assumptions!$B$12)</x:f>
      </x:c>
      <x:c r="Q15" s="38" t="str">
        <x:f>IF($A15=0,"",$N15+$O15-$P15)</x:f>
      </x:c>
      <x:c r="R15" s="38" t="str">
        <x:f>IF($A15=0,"",$G15-$Q15)</x:f>
      </x:c>
      <x:c r="S15" s="38" t="str">
        <x:f>IF($A15=0,"",SUM($R$17:R15))</x:f>
      </x:c>
      <x:c r="T15" s="38" t="str">
        <x:f>IF($A15=0,"",$S15-$H15)</x:f>
      </x:c>
    </x:row>
    <x:row r="16">
      <x:c r="A16" s="36" t="n">
        <x:v>0</x:v>
      </x:c>
      <x:c r="B16" s="36" t="n">
        <x:v>31</x:v>
      </x:c>
      <x:c r="C16" s="36" t="n">
        <x:v>12</x:v>
      </x:c>
      <x:c r="D16" s="37" t="n">
        <x:f>INDEX(Assumptions!$D$24:$D$35,$C16)</x:f>
        <x:v>928.0413642752205</x:v>
      </x:c>
      <x:c r="E16" s="38" t="n">
        <x:f>$D16*Assumptions!$B$11*IF($A16=0,1,(1+Assumptions!$B$14)^($A16-1))</x:f>
        <x:v>324.8144774963272</x:v>
      </x:c>
      <x:c r="F16" s="38" t="n">
        <x:f>$B16*Assumptions!$B$13</x:f>
        <x:v>21.7</x:v>
      </x:c>
      <x:c r="G16" s="38" t="n">
        <x:f>$E16+$F16</x:f>
        <x:v>346.5144774963272</x:v>
      </x:c>
      <x:c r="H16" s="38" t="str">
        <x:f>IF($A16=0,"",Assumptions!$B$21)</x:f>
      </x:c>
      <x:c r="I16" s="37" t="str">
        <x:f>IF($A16=0,"",INDEX(Assumptions!$C$24:$C$35,$C16)*IF($A16=0,"",IF($A16=1,1-Assumptions!$B$16,(1-Assumptions!$B$16)*(1-Assumptions!$B$17)^($A16-1))))</x:f>
      </x:c>
      <x:c r="J16" s="39" t="str">
        <x:f>IF($A16=0,"",IF($I16&gt;0,$K16/$I16,0))</x:f>
      </x:c>
      <x:c r="K16" s="37" t="str">
        <x:f>IF($A16=0,"",LET(direct,MIN($I16,$D16),surplus,MAX(0,$I16-direct),deficit,MAX(0,$D16-direct),charge,MIN(surplus,Assumptions!$B$10,direct,deficit),direct+charge))</x:f>
      </x:c>
      <x:c r="L16" s="37" t="str">
        <x:f>IF($A16=0,"",LET(direct,MIN($I16,$D16),surplus,MAX(0,$I16-direct),deficit,MAX(0,$D16-direct),charge,MIN(surplus,Assumptions!$B$10,direct,deficit),surplus-charge))</x:f>
      </x:c>
      <x:c r="M16" s="37" t="str">
        <x:f>IF($A16=0,"",LET(direct,MIN($I16,$D16),surplus,MAX(0,$I16-direct),deficit,MAX(0,$D16-direct),charge,MIN(surplus,Assumptions!$B$10,direct,deficit),deficit-charge))</x:f>
      </x:c>
      <x:c r="N16" s="38" t="str">
        <x:f>IF($A16=0,"",$M16*Assumptions!$B$11*IF($A16=0,1,(1+Assumptions!$B$14)^($A16-1)))</x:f>
      </x:c>
      <x:c r="O16" s="38" t="str">
        <x:f>IF($A16=0,"",$B16*Assumptions!$B$13)</x:f>
      </x:c>
      <x:c r="P16" s="38" t="str">
        <x:f>IF($A16=0,"",$L16*Assumptions!$B$12)</x:f>
      </x:c>
      <x:c r="Q16" s="38" t="str">
        <x:f>IF($A16=0,"",$N16+$O16-$P16)</x:f>
      </x:c>
      <x:c r="R16" s="38" t="str">
        <x:f>IF($A16=0,"",$G16-$Q16)</x:f>
      </x:c>
      <x:c r="S16" s="38" t="str">
        <x:f>IF($A16=0,"",SUM($R$17:R16))</x:f>
      </x:c>
      <x:c r="T16" s="38" t="str">
        <x:f>IF($A16=0,"",$S16-$H16)</x:f>
      </x:c>
    </x:row>
    <x:row r="17">
      <x:c r="A17" s="40" t="n">
        <x:v>1</x:v>
      </x:c>
      <x:c r="B17" s="40" t="n">
        <x:v>31</x:v>
      </x:c>
      <x:c r="C17" s="40" t="n">
        <x:v>1</x:v>
      </x:c>
      <x:c r="D17" s="31" t="n">
        <x:f>INDEX(Assumptions!$D$24:$D$35,$C17)</x:f>
        <x:v>921.8588397150115</x:v>
      </x:c>
      <x:c r="E17" s="30" t="n">
        <x:f>$D17*Assumptions!$B$11*IF($A17=0,1,(1+Assumptions!$B$14)^($A17-1))</x:f>
        <x:v>322.650593900254</x:v>
      </x:c>
      <x:c r="F17" s="30" t="n">
        <x:f>$B17*Assumptions!$B$13</x:f>
        <x:v>21.7</x:v>
      </x:c>
      <x:c r="G17" s="30" t="n">
        <x:f>$E17+$F17</x:f>
        <x:v>344.350593900254</x:v>
      </x:c>
      <x:c r="H17" s="30" t="n">
        <x:f>IF($A17=0,"",Assumptions!$B$21)</x:f>
        <x:v>5459.5</x:v>
      </x:c>
      <x:c r="I17" s="31" t="n">
        <x:f>IF($A17=0,"",INDEX(Assumptions!$C$24:$C$35,$C17)*IF($A17=0,"",IF($A17=1,1-Assumptions!$B$16,(1-Assumptions!$B$16)*(1-Assumptions!$B$17)^($A17-1))))</x:f>
        <x:v>97.74068278795949</x:v>
      </x:c>
      <x:c r="J17" s="32" t="n">
        <x:f>IF($A17=0,"",IF($I17&gt;0,$K17/$I17,0))</x:f>
        <x:v>1</x:v>
      </x:c>
      <x:c r="K17" s="31" t="n">
        <x:f>IF($A17=0,"",LET(direct,MIN($I17,$D17),surplus,MAX(0,$I17-direct),deficit,MAX(0,$D17-direct),charge,MIN(surplus,Assumptions!$B$10,direct,deficit),direct+charge))</x:f>
        <x:v>97.74068278795949</x:v>
      </x:c>
      <x:c r="L17" s="31" t="n">
        <x:f>IF($A17=0,"",LET(direct,MIN($I17,$D17),surplus,MAX(0,$I17-direct),deficit,MAX(0,$D17-direct),charge,MIN(surplus,Assumptions!$B$10,direct,deficit),surplus-charge))</x:f>
        <x:v>0</x:v>
      </x:c>
      <x:c r="M17" s="31" t="n">
        <x:f>IF($A17=0,"",LET(direct,MIN($I17,$D17),surplus,MAX(0,$I17-direct),deficit,MAX(0,$D17-direct),charge,MIN(surplus,Assumptions!$B$10,direct,deficit),deficit-charge))</x:f>
        <x:v>824.118156927052</x:v>
      </x:c>
      <x:c r="N17" s="30" t="n">
        <x:f>IF($A17=0,"",$M17*Assumptions!$B$11*IF($A17=0,1,(1+Assumptions!$B$14)^($A17-1)))</x:f>
        <x:v>288.4413549244682</x:v>
      </x:c>
      <x:c r="O17" s="30" t="n">
        <x:f>IF($A17=0,"",$B17*Assumptions!$B$13)</x:f>
        <x:v>21.7</x:v>
      </x:c>
      <x:c r="P17" s="30" t="n">
        <x:f>IF($A17=0,"",$L17*Assumptions!$B$12)</x:f>
        <x:v>0</x:v>
      </x:c>
      <x:c r="Q17" s="30" t="n">
        <x:f>IF($A17=0,"",$N17+$O17-$P17)</x:f>
        <x:v>310.1413549244682</x:v>
      </x:c>
      <x:c r="R17" s="30" t="n">
        <x:f>IF($A17=0,"",$G17-$Q17)</x:f>
        <x:v>34.20923897578581</x:v>
      </x:c>
      <x:c r="S17" s="30" t="n">
        <x:f>IF($A17=0,"",SUM($R$17:R17))</x:f>
        <x:v>34.20923897578581</x:v>
      </x:c>
      <x:c r="T17" s="30" t="n">
        <x:f>IF($A17=0,"",$S17-$H17)</x:f>
        <x:v>-5425.290761024215</x:v>
      </x:c>
    </x:row>
    <x:row r="18">
      <x:c r="A18" s="40" t="n">
        <x:v>1</x:v>
      </x:c>
      <x:c r="B18" s="40" t="n">
        <x:v>28</x:v>
      </x:c>
      <x:c r="C18" s="40" t="n">
        <x:v>2</x:v>
      </x:c>
      <x:c r="D18" s="31" t="n">
        <x:f>INDEX(Assumptions!$D$24:$D$35,$C18)</x:f>
        <x:v>923.6252753036425</x:v>
      </x:c>
      <x:c r="E18" s="30" t="n">
        <x:f>$D18*Assumptions!$B$11*IF($A18=0,1,(1+Assumptions!$B$14)^($A18-1))</x:f>
        <x:v>323.2688463562749</x:v>
      </x:c>
      <x:c r="F18" s="30" t="n">
        <x:f>$B18*Assumptions!$B$13</x:f>
        <x:v>19.599999999999998</x:v>
      </x:c>
      <x:c r="G18" s="30" t="n">
        <x:f>$E18+$F18</x:f>
        <x:v>342.8688463562749</x:v>
      </x:c>
      <x:c r="H18" s="30" t="n">
        <x:f>IF($A18=0,"",Assumptions!$B$21)</x:f>
        <x:v>5459.5</x:v>
      </x:c>
      <x:c r="I18" s="31" t="n">
        <x:f>IF($A18=0,"",INDEX(Assumptions!$C$24:$C$35,$C18)*IF($A18=0,"",IF($A18=1,1-Assumptions!$B$16,(1-Assumptions!$B$16)*(1-Assumptions!$B$17)^($A18-1))))</x:f>
        <x:v>154.51975684989145</x:v>
      </x:c>
      <x:c r="J18" s="32" t="n">
        <x:f>IF($A18=0,"",IF($I18&gt;0,$K18/$I18,0))</x:f>
        <x:v>1</x:v>
      </x:c>
      <x:c r="K18" s="31" t="n">
        <x:f>IF($A18=0,"",LET(direct,MIN($I18,$D18),surplus,MAX(0,$I18-direct),deficit,MAX(0,$D18-direct),charge,MIN(surplus,Assumptions!$B$10,direct,deficit),direct+charge))</x:f>
        <x:v>154.51975684989145</x:v>
      </x:c>
      <x:c r="L18" s="31" t="n">
        <x:f>IF($A18=0,"",LET(direct,MIN($I18,$D18),surplus,MAX(0,$I18-direct),deficit,MAX(0,$D18-direct),charge,MIN(surplus,Assumptions!$B$10,direct,deficit),surplus-charge))</x:f>
        <x:v>0</x:v>
      </x:c>
      <x:c r="M18" s="31" t="n">
        <x:f>IF($A18=0,"",LET(direct,MIN($I18,$D18),surplus,MAX(0,$I18-direct),deficit,MAX(0,$D18-direct),charge,MIN(surplus,Assumptions!$B$10,direct,deficit),deficit-charge))</x:f>
        <x:v>769.1055184537511</x:v>
      </x:c>
      <x:c r="N18" s="30" t="n">
        <x:f>IF($A18=0,"",$M18*Assumptions!$B$11*IF($A18=0,1,(1+Assumptions!$B$14)^($A18-1)))</x:f>
        <x:v>269.18693145881286</x:v>
      </x:c>
      <x:c r="O18" s="30" t="n">
        <x:f>IF($A18=0,"",$B18*Assumptions!$B$13)</x:f>
        <x:v>19.599999999999998</x:v>
      </x:c>
      <x:c r="P18" s="30" t="n">
        <x:f>IF($A18=0,"",$L18*Assumptions!$B$12)</x:f>
        <x:v>0</x:v>
      </x:c>
      <x:c r="Q18" s="30" t="n">
        <x:f>IF($A18=0,"",$N18+$O18-$P18)</x:f>
        <x:v>288.7869314588129</x:v>
      </x:c>
      <x:c r="R18" s="30" t="n">
        <x:f>IF($A18=0,"",$G18-$Q18)</x:f>
        <x:v>54.08191489746201</x:v>
      </x:c>
      <x:c r="S18" s="30" t="n">
        <x:f>IF($A18=0,"",SUM($R$17:R18))</x:f>
        <x:v>88.29115387324782</x:v>
      </x:c>
      <x:c r="T18" s="30" t="n">
        <x:f>IF($A18=0,"",$S18-$H18)</x:f>
        <x:v>-5371.208846126752</x:v>
      </x:c>
    </x:row>
    <x:row r="19">
      <x:c r="A19" s="40" t="n">
        <x:v>1</x:v>
      </x:c>
      <x:c r="B19" s="40" t="n">
        <x:v>31</x:v>
      </x:c>
      <x:c r="C19" s="40" t="n">
        <x:v>3</x:v>
      </x:c>
      <x:c r="D19" s="31" t="n">
        <x:f>INDEX(Assumptions!$D$24:$D$35,$C19)</x:f>
        <x:v>907.7273550059616</x:v>
      </x:c>
      <x:c r="E19" s="30" t="n">
        <x:f>$D19*Assumptions!$B$11*IF($A19=0,1,(1+Assumptions!$B$14)^($A19-1))</x:f>
        <x:v>317.70457425208656</x:v>
      </x:c>
      <x:c r="F19" s="30" t="n">
        <x:f>$B19*Assumptions!$B$13</x:f>
        <x:v>21.7</x:v>
      </x:c>
      <x:c r="G19" s="30" t="n">
        <x:f>$E19+$F19</x:f>
        <x:v>339.40457425208655</x:v>
      </x:c>
      <x:c r="H19" s="30" t="n">
        <x:f>IF($A19=0,"",Assumptions!$B$21)</x:f>
        <x:v>5459.5</x:v>
      </x:c>
      <x:c r="I19" s="31" t="n">
        <x:f>IF($A19=0,"",INDEX(Assumptions!$C$24:$C$35,$C19)*IF($A19=0,"",IF($A19=1,1-Assumptions!$B$16,(1-Assumptions!$B$16)*(1-Assumptions!$B$17)^($A19-1))))</x:f>
        <x:v>272.76019866587967</x:v>
      </x:c>
      <x:c r="J19" s="32" t="n">
        <x:f>IF($A19=0,"",IF($I19&gt;0,$K19/$I19,0))</x:f>
        <x:v>1</x:v>
      </x:c>
      <x:c r="K19" s="31" t="n">
        <x:f>IF($A19=0,"",LET(direct,MIN($I19,$D19),surplus,MAX(0,$I19-direct),deficit,MAX(0,$D19-direct),charge,MIN(surplus,Assumptions!$B$10,direct,deficit),direct+charge))</x:f>
        <x:v>272.76019866587967</x:v>
      </x:c>
      <x:c r="L19" s="31" t="n">
        <x:f>IF($A19=0,"",LET(direct,MIN($I19,$D19),surplus,MAX(0,$I19-direct),deficit,MAX(0,$D19-direct),charge,MIN(surplus,Assumptions!$B$10,direct,deficit),surplus-charge))</x:f>
        <x:v>0</x:v>
      </x:c>
      <x:c r="M19" s="31" t="n">
        <x:f>IF($A19=0,"",LET(direct,MIN($I19,$D19),surplus,MAX(0,$I19-direct),deficit,MAX(0,$D19-direct),charge,MIN(surplus,Assumptions!$B$10,direct,deficit),deficit-charge))</x:f>
        <x:v>634.9671563400819</x:v>
      </x:c>
      <x:c r="N19" s="30" t="n">
        <x:f>IF($A19=0,"",$M19*Assumptions!$B$11*IF($A19=0,1,(1+Assumptions!$B$14)^($A19-1)))</x:f>
        <x:v>222.23850471902867</x:v>
      </x:c>
      <x:c r="O19" s="30" t="n">
        <x:f>IF($A19=0,"",$B19*Assumptions!$B$13)</x:f>
        <x:v>21.7</x:v>
      </x:c>
      <x:c r="P19" s="30" t="n">
        <x:f>IF($A19=0,"",$L19*Assumptions!$B$12)</x:f>
        <x:v>0</x:v>
      </x:c>
      <x:c r="Q19" s="30" t="n">
        <x:f>IF($A19=0,"",$N19+$O19-$P19)</x:f>
        <x:v>243.93850471902866</x:v>
      </x:c>
      <x:c r="R19" s="30" t="n">
        <x:f>IF($A19=0,"",$G19-$Q19)</x:f>
        <x:v>95.46606953305789</x:v>
      </x:c>
      <x:c r="S19" s="30" t="n">
        <x:f>IF($A19=0,"",SUM($R$17:R19))</x:f>
        <x:v>183.7572234063057</x:v>
      </x:c>
      <x:c r="T19" s="30" t="n">
        <x:f>IF($A19=0,"",$S19-$H19)</x:f>
        <x:v>-5275.7427765936945</x:v>
      </x:c>
    </x:row>
    <x:row r="20">
      <x:c r="A20" s="40" t="n">
        <x:v>1</x:v>
      </x:c>
      <x:c r="B20" s="40" t="n">
        <x:v>30</x:v>
      </x:c>
      <x:c r="C20" s="40" t="n">
        <x:v>4</x:v>
      </x:c>
      <x:c r="D20" s="31" t="n">
        <x:f>INDEX(Assumptions!$D$24:$D$35,$C20)</x:f>
        <x:v>951.0050269274262</x:v>
      </x:c>
      <x:c r="E20" s="30" t="n">
        <x:f>$D20*Assumptions!$B$11*IF($A20=0,1,(1+Assumptions!$B$14)^($A20-1))</x:f>
        <x:v>332.85175942459915</x:v>
      </x:c>
      <x:c r="F20" s="30" t="n">
        <x:f>$B20*Assumptions!$B$13</x:f>
        <x:v>21</x:v>
      </x:c>
      <x:c r="G20" s="30" t="n">
        <x:f>$E20+$F20</x:f>
        <x:v>353.85175942459915</x:v>
      </x:c>
      <x:c r="H20" s="30" t="n">
        <x:f>IF($A20=0,"",Assumptions!$B$21)</x:f>
        <x:v>5459.5</x:v>
      </x:c>
      <x:c r="I20" s="31" t="n">
        <x:f>IF($A20=0,"",INDEX(Assumptions!$C$24:$C$35,$C20)*IF($A20=0,"",IF($A20=1,1-Assumptions!$B$16,(1-Assumptions!$B$16)*(1-Assumptions!$B$17)^($A20-1))))</x:f>
        <x:v>363.23428296239996</x:v>
      </x:c>
      <x:c r="J20" s="32" t="n">
        <x:f>IF($A20=0,"",IF($I20&gt;0,$K20/$I20,0))</x:f>
        <x:v>1</x:v>
      </x:c>
      <x:c r="K20" s="31" t="n">
        <x:f>IF($A20=0,"",LET(direct,MIN($I20,$D20),surplus,MAX(0,$I20-direct),deficit,MAX(0,$D20-direct),charge,MIN(surplus,Assumptions!$B$10,direct,deficit),direct+charge))</x:f>
        <x:v>363.23428296239996</x:v>
      </x:c>
      <x:c r="L20" s="31" t="n">
        <x:f>IF($A20=0,"",LET(direct,MIN($I20,$D20),surplus,MAX(0,$I20-direct),deficit,MAX(0,$D20-direct),charge,MIN(surplus,Assumptions!$B$10,direct,deficit),surplus-charge))</x:f>
        <x:v>0</x:v>
      </x:c>
      <x:c r="M20" s="31" t="n">
        <x:f>IF($A20=0,"",LET(direct,MIN($I20,$D20),surplus,MAX(0,$I20-direct),deficit,MAX(0,$D20-direct),charge,MIN(surplus,Assumptions!$B$10,direct,deficit),deficit-charge))</x:f>
        <x:v>587.7707439650262</x:v>
      </x:c>
      <x:c r="N20" s="30" t="n">
        <x:f>IF($A20=0,"",$M20*Assumptions!$B$11*IF($A20=0,1,(1+Assumptions!$B$14)^($A20-1)))</x:f>
        <x:v>205.71976038775915</x:v>
      </x:c>
      <x:c r="O20" s="30" t="n">
        <x:f>IF($A20=0,"",$B20*Assumptions!$B$13)</x:f>
        <x:v>21</x:v>
      </x:c>
      <x:c r="P20" s="30" t="n">
        <x:f>IF($A20=0,"",$L20*Assumptions!$B$12)</x:f>
        <x:v>0</x:v>
      </x:c>
      <x:c r="Q20" s="30" t="n">
        <x:f>IF($A20=0,"",$N20+$O20-$P20)</x:f>
        <x:v>226.71976038775915</x:v>
      </x:c>
      <x:c r="R20" s="30" t="n">
        <x:f>IF($A20=0,"",$G20-$Q20)</x:f>
        <x:v>127.13199903684</x:v>
      </x:c>
      <x:c r="S20" s="30" t="n">
        <x:f>IF($A20=0,"",SUM($R$17:R20))</x:f>
        <x:v>310.88922244314574</x:v>
      </x:c>
      <x:c r="T20" s="30" t="n">
        <x:f>IF($A20=0,"",$S20-$H20)</x:f>
        <x:v>-5148.610777556854</x:v>
      </x:c>
    </x:row>
    <x:row r="21">
      <x:c r="A21" s="40" t="n">
        <x:v>1</x:v>
      </x:c>
      <x:c r="B21" s="40" t="n">
        <x:v>31</x:v>
      </x:c>
      <x:c r="C21" s="40" t="n">
        <x:v>5</x:v>
      </x:c>
      <x:c r="D21" s="31" t="n">
        <x:f>INDEX(Assumptions!$D$24:$D$35,$C21)</x:f>
        <x:v>480.47094299256736</x:v>
      </x:c>
      <x:c r="E21" s="30" t="n">
        <x:f>$D21*Assumptions!$B$11*IF($A21=0,1,(1+Assumptions!$B$14)^($A21-1))</x:f>
        <x:v>168.16483004739857</x:v>
      </x:c>
      <x:c r="F21" s="30" t="n">
        <x:f>$B21*Assumptions!$B$13</x:f>
        <x:v>21.7</x:v>
      </x:c>
      <x:c r="G21" s="30" t="n">
        <x:f>$E21+$F21</x:f>
        <x:v>189.86483004739856</x:v>
      </x:c>
      <x:c r="H21" s="30" t="n">
        <x:f>IF($A21=0,"",Assumptions!$B$21)</x:f>
        <x:v>5459.5</x:v>
      </x:c>
      <x:c r="I21" s="31" t="n">
        <x:f>IF($A21=0,"",INDEX(Assumptions!$C$24:$C$35,$C21)*IF($A21=0,"",IF($A21=1,1-Assumptions!$B$16,(1-Assumptions!$B$16)*(1-Assumptions!$B$17)^($A21-1))))</x:f>
        <x:v>402.42712024610285</x:v>
      </x:c>
      <x:c r="J21" s="32" t="n">
        <x:f>IF($A21=0,"",IF($I21&gt;0,$K21/$I21,0))</x:f>
        <x:v>1</x:v>
      </x:c>
      <x:c r="K21" s="31" t="n">
        <x:f>IF($A21=0,"",LET(direct,MIN($I21,$D21),surplus,MAX(0,$I21-direct),deficit,MAX(0,$D21-direct),charge,MIN(surplus,Assumptions!$B$10,direct,deficit),direct+charge))</x:f>
        <x:v>402.42712024610285</x:v>
      </x:c>
      <x:c r="L21" s="31" t="n">
        <x:f>IF($A21=0,"",LET(direct,MIN($I21,$D21),surplus,MAX(0,$I21-direct),deficit,MAX(0,$D21-direct),charge,MIN(surplus,Assumptions!$B$10,direct,deficit),surplus-charge))</x:f>
        <x:v>0</x:v>
      </x:c>
      <x:c r="M21" s="31" t="n">
        <x:f>IF($A21=0,"",LET(direct,MIN($I21,$D21),surplus,MAX(0,$I21-direct),deficit,MAX(0,$D21-direct),charge,MIN(surplus,Assumptions!$B$10,direct,deficit),deficit-charge))</x:f>
        <x:v>78.04382274646451</x:v>
      </x:c>
      <x:c r="N21" s="30" t="n">
        <x:f>IF($A21=0,"",$M21*Assumptions!$B$11*IF($A21=0,1,(1+Assumptions!$B$14)^($A21-1)))</x:f>
        <x:v>27.31533796126258</x:v>
      </x:c>
      <x:c r="O21" s="30" t="n">
        <x:f>IF($A21=0,"",$B21*Assumptions!$B$13)</x:f>
        <x:v>21.7</x:v>
      </x:c>
      <x:c r="P21" s="30" t="n">
        <x:f>IF($A21=0,"",$L21*Assumptions!$B$12)</x:f>
        <x:v>0</x:v>
      </x:c>
      <x:c r="Q21" s="30" t="n">
        <x:f>IF($A21=0,"",$N21+$O21-$P21)</x:f>
        <x:v>49.015337961262574</x:v>
      </x:c>
      <x:c r="R21" s="30" t="n">
        <x:f>IF($A21=0,"",$G21-$Q21)</x:f>
        <x:v>140.84949208613597</x:v>
      </x:c>
      <x:c r="S21" s="30" t="n">
        <x:f>IF($A21=0,"",SUM($R$17:R21))</x:f>
        <x:v>451.7387145292817</x:v>
      </x:c>
      <x:c r="T21" s="30" t="n">
        <x:f>IF($A21=0,"",$S21-$H21)</x:f>
        <x:v>-5007.761285470719</x:v>
      </x:c>
    </x:row>
    <x:row r="22">
      <x:c r="A22" s="40" t="n">
        <x:v>1</x:v>
      </x:c>
      <x:c r="B22" s="40" t="n">
        <x:v>30</x:v>
      </x:c>
      <x:c r="C22" s="40" t="n">
        <x:v>6</x:v>
      </x:c>
      <x:c r="D22" s="31" t="n">
        <x:f>INDEX(Assumptions!$D$24:$D$35,$C22)</x:f>
        <x:v>491.73724202799656</x:v>
      </x:c>
      <x:c r="E22" s="30" t="n">
        <x:f>$D22*Assumptions!$B$11*IF($A22=0,1,(1+Assumptions!$B$14)^($A22-1))</x:f>
        <x:v>172.10803470979877</x:v>
      </x:c>
      <x:c r="F22" s="30" t="n">
        <x:f>$B22*Assumptions!$B$13</x:f>
        <x:v>21</x:v>
      </x:c>
      <x:c r="G22" s="30" t="n">
        <x:f>$E22+$F22</x:f>
        <x:v>193.10803470979877</x:v>
      </x:c>
      <x:c r="H22" s="30" t="n">
        <x:f>IF($A22=0,"",Assumptions!$B$21)</x:f>
        <x:v>5459.5</x:v>
      </x:c>
      <x:c r="I22" s="31" t="n">
        <x:f>IF($A22=0,"",INDEX(Assumptions!$C$24:$C$35,$C22)*IF($A22=0,"",IF($A22=1,1-Assumptions!$B$16,(1-Assumptions!$B$16)*(1-Assumptions!$B$17)^($A22-1))))</x:f>
        <x:v>412.65089451514586</x:v>
      </x:c>
      <x:c r="J22" s="32" t="n">
        <x:f>IF($A22=0,"",IF($I22&gt;0,$K22/$I22,0))</x:f>
        <x:v>1</x:v>
      </x:c>
      <x:c r="K22" s="31" t="n">
        <x:f>IF($A22=0,"",LET(direct,MIN($I22,$D22),surplus,MAX(0,$I22-direct),deficit,MAX(0,$D22-direct),charge,MIN(surplus,Assumptions!$B$10,direct,deficit),direct+charge))</x:f>
        <x:v>412.65089451514586</x:v>
      </x:c>
      <x:c r="L22" s="31" t="n">
        <x:f>IF($A22=0,"",LET(direct,MIN($I22,$D22),surplus,MAX(0,$I22-direct),deficit,MAX(0,$D22-direct),charge,MIN(surplus,Assumptions!$B$10,direct,deficit),surplus-charge))</x:f>
        <x:v>0</x:v>
      </x:c>
      <x:c r="M22" s="31" t="n">
        <x:f>IF($A22=0,"",LET(direct,MIN($I22,$D22),surplus,MAX(0,$I22-direct),deficit,MAX(0,$D22-direct),charge,MIN(surplus,Assumptions!$B$10,direct,deficit),deficit-charge))</x:f>
        <x:v>79.0863475128507</x:v>
      </x:c>
      <x:c r="N22" s="30" t="n">
        <x:f>IF($A22=0,"",$M22*Assumptions!$B$11*IF($A22=0,1,(1+Assumptions!$B$14)^($A22-1)))</x:f>
        <x:v>27.68022162949774</x:v>
      </x:c>
      <x:c r="O22" s="30" t="n">
        <x:f>IF($A22=0,"",$B22*Assumptions!$B$13)</x:f>
        <x:v>21</x:v>
      </x:c>
      <x:c r="P22" s="30" t="n">
        <x:f>IF($A22=0,"",$L22*Assumptions!$B$12)</x:f>
        <x:v>0</x:v>
      </x:c>
      <x:c r="Q22" s="30" t="n">
        <x:f>IF($A22=0,"",$N22+$O22-$P22)</x:f>
        <x:v>48.68022162949774</x:v>
      </x:c>
      <x:c r="R22" s="30" t="n">
        <x:f>IF($A22=0,"",$G22-$Q22)</x:f>
        <x:v>144.42781308030104</x:v>
      </x:c>
      <x:c r="S22" s="30" t="n">
        <x:f>IF($A22=0,"",SUM($R$17:R22))</x:f>
        <x:v>596.1665276095828</x:v>
      </x:c>
      <x:c r="T22" s="30" t="n">
        <x:f>IF($A22=0,"",$S22-$H22)</x:f>
        <x:v>-4863.333472390417</x:v>
      </x:c>
    </x:row>
    <x:row r="23">
      <x:c r="A23" s="40" t="n">
        <x:v>1</x:v>
      </x:c>
      <x:c r="B23" s="40" t="n">
        <x:v>31</x:v>
      </x:c>
      <x:c r="C23" s="40" t="n">
        <x:v>7</x:v>
      </x:c>
      <x:c r="D23" s="31" t="n">
        <x:f>INDEX(Assumptions!$D$24:$D$35,$C23)</x:f>
        <x:v>504.2215193375261</x:v>
      </x:c>
      <x:c r="E23" s="30" t="n">
        <x:f>$D23*Assumptions!$B$11*IF($A23=0,1,(1+Assumptions!$B$14)^($A23-1))</x:f>
        <x:v>176.47753176813413</x:v>
      </x:c>
      <x:c r="F23" s="30" t="n">
        <x:f>$B23*Assumptions!$B$13</x:f>
        <x:v>21.7</x:v>
      </x:c>
      <x:c r="G23" s="30" t="n">
        <x:f>$E23+$F23</x:f>
        <x:v>198.17753176813412</x:v>
      </x:c>
      <x:c r="H23" s="30" t="n">
        <x:f>IF($A23=0,"",Assumptions!$B$21)</x:f>
        <x:v>5459.5</x:v>
      </x:c>
      <x:c r="I23" s="31" t="n">
        <x:f>IF($A23=0,"",INDEX(Assumptions!$C$24:$C$35,$C23)*IF($A23=0,"",IF($A23=1,1-Assumptions!$B$16,(1-Assumptions!$B$16)*(1-Assumptions!$B$17)^($A23-1))))</x:f>
        <x:v>426.3868098785364</x:v>
      </x:c>
      <x:c r="J23" s="32" t="n">
        <x:f>IF($A23=0,"",IF($I23&gt;0,$K23/$I23,0))</x:f>
        <x:v>1</x:v>
      </x:c>
      <x:c r="K23" s="31" t="n">
        <x:f>IF($A23=0,"",LET(direct,MIN($I23,$D23),surplus,MAX(0,$I23-direct),deficit,MAX(0,$D23-direct),charge,MIN(surplus,Assumptions!$B$10,direct,deficit),direct+charge))</x:f>
        <x:v>426.3868098785364</x:v>
      </x:c>
      <x:c r="L23" s="31" t="n">
        <x:f>IF($A23=0,"",LET(direct,MIN($I23,$D23),surplus,MAX(0,$I23-direct),deficit,MAX(0,$D23-direct),charge,MIN(surplus,Assumptions!$B$10,direct,deficit),surplus-charge))</x:f>
        <x:v>0</x:v>
      </x:c>
      <x:c r="M23" s="31" t="n">
        <x:f>IF($A23=0,"",LET(direct,MIN($I23,$D23),surplus,MAX(0,$I23-direct),deficit,MAX(0,$D23-direct),charge,MIN(surplus,Assumptions!$B$10,direct,deficit),deficit-charge))</x:f>
        <x:v>77.83470945898972</x:v>
      </x:c>
      <x:c r="N23" s="30" t="n">
        <x:f>IF($A23=0,"",$M23*Assumptions!$B$11*IF($A23=0,1,(1+Assumptions!$B$14)^($A23-1)))</x:f>
        <x:v>27.2421483106464</x:v>
      </x:c>
      <x:c r="O23" s="30" t="n">
        <x:f>IF($A23=0,"",$B23*Assumptions!$B$13)</x:f>
        <x:v>21.7</x:v>
      </x:c>
      <x:c r="P23" s="30" t="n">
        <x:f>IF($A23=0,"",$L23*Assumptions!$B$12)</x:f>
        <x:v>0</x:v>
      </x:c>
      <x:c r="Q23" s="30" t="n">
        <x:f>IF($A23=0,"",$N23+$O23-$P23)</x:f>
        <x:v>48.9421483106464</x:v>
      </x:c>
      <x:c r="R23" s="30" t="n">
        <x:f>IF($A23=0,"",$G23-$Q23)</x:f>
        <x:v>149.23538345748773</x:v>
      </x:c>
      <x:c r="S23" s="30" t="n">
        <x:f>IF($A23=0,"",SUM($R$17:R23))</x:f>
        <x:v>745.4019110670705</x:v>
      </x:c>
      <x:c r="T23" s="30" t="n">
        <x:f>IF($A23=0,"",$S23-$H23)</x:f>
        <x:v>-4714.098088932929</x:v>
      </x:c>
    </x:row>
    <x:row r="24">
      <x:c r="A24" s="40" t="n">
        <x:v>1</x:v>
      </x:c>
      <x:c r="B24" s="40" t="n">
        <x:v>31</x:v>
      </x:c>
      <x:c r="C24" s="40" t="n">
        <x:v>8</x:v>
      </x:c>
      <x:c r="D24" s="31" t="n">
        <x:f>INDEX(Assumptions!$D$24:$D$35,$C24)</x:f>
        <x:v>495.0866822817727</x:v>
      </x:c>
      <x:c r="E24" s="30" t="n">
        <x:f>$D24*Assumptions!$B$11*IF($A24=0,1,(1+Assumptions!$B$14)^($A24-1))</x:f>
        <x:v>173.28033879862045</x:v>
      </x:c>
      <x:c r="F24" s="30" t="n">
        <x:f>$B24*Assumptions!$B$13</x:f>
        <x:v>21.7</x:v>
      </x:c>
      <x:c r="G24" s="30" t="n">
        <x:f>$E24+$F24</x:f>
        <x:v>194.98033879862044</x:v>
      </x:c>
      <x:c r="H24" s="30" t="n">
        <x:f>IF($A24=0,"",Assumptions!$B$21)</x:f>
        <x:v>5459.5</x:v>
      </x:c>
      <x:c r="I24" s="31" t="n">
        <x:f>IF($A24=0,"",INDEX(Assumptions!$C$24:$C$35,$C24)*IF($A24=0,"",IF($A24=1,1-Assumptions!$B$16,(1-Assumptions!$B$16)*(1-Assumptions!$B$17)^($A24-1))))</x:f>
        <x:v>355.7779895722974</x:v>
      </x:c>
      <x:c r="J24" s="32" t="n">
        <x:f>IF($A24=0,"",IF($I24&gt;0,$K24/$I24,0))</x:f>
        <x:v>1</x:v>
      </x:c>
      <x:c r="K24" s="31" t="n">
        <x:f>IF($A24=0,"",LET(direct,MIN($I24,$D24),surplus,MAX(0,$I24-direct),deficit,MAX(0,$D24-direct),charge,MIN(surplus,Assumptions!$B$10,direct,deficit),direct+charge))</x:f>
        <x:v>355.7779895722974</x:v>
      </x:c>
      <x:c r="L24" s="31" t="n">
        <x:f>IF($A24=0,"",LET(direct,MIN($I24,$D24),surplus,MAX(0,$I24-direct),deficit,MAX(0,$D24-direct),charge,MIN(surplus,Assumptions!$B$10,direct,deficit),surplus-charge))</x:f>
        <x:v>0</x:v>
      </x:c>
      <x:c r="M24" s="31" t="n">
        <x:f>IF($A24=0,"",LET(direct,MIN($I24,$D24),surplus,MAX(0,$I24-direct),deficit,MAX(0,$D24-direct),charge,MIN(surplus,Assumptions!$B$10,direct,deficit),deficit-charge))</x:f>
        <x:v>139.30869270947534</x:v>
      </x:c>
      <x:c r="N24" s="30" t="n">
        <x:f>IF($A24=0,"",$M24*Assumptions!$B$11*IF($A24=0,1,(1+Assumptions!$B$14)^($A24-1)))</x:f>
        <x:v>48.75804244831637</x:v>
      </x:c>
      <x:c r="O24" s="30" t="n">
        <x:f>IF($A24=0,"",$B24*Assumptions!$B$13)</x:f>
        <x:v>21.7</x:v>
      </x:c>
      <x:c r="P24" s="30" t="n">
        <x:f>IF($A24=0,"",$L24*Assumptions!$B$12)</x:f>
        <x:v>0</x:v>
      </x:c>
      <x:c r="Q24" s="30" t="n">
        <x:f>IF($A24=0,"",$N24+$O24-$P24)</x:f>
        <x:v>70.45804244831636</x:v>
      </x:c>
      <x:c r="R24" s="30" t="n">
        <x:f>IF($A24=0,"",$G24-$Q24)</x:f>
        <x:v>124.52229635030407</x:v>
      </x:c>
      <x:c r="S24" s="30" t="n">
        <x:f>IF($A24=0,"",SUM($R$17:R24))</x:f>
        <x:v>869.9242074173745</x:v>
      </x:c>
      <x:c r="T24" s="30" t="n">
        <x:f>IF($A24=0,"",$S24-$H24)</x:f>
        <x:v>-4589.575792582626</x:v>
      </x:c>
    </x:row>
    <x:row r="25">
      <x:c r="A25" s="40" t="n">
        <x:v>1</x:v>
      </x:c>
      <x:c r="B25" s="40" t="n">
        <x:v>30</x:v>
      </x:c>
      <x:c r="C25" s="40" t="n">
        <x:v>9</x:v>
      </x:c>
      <x:c r="D25" s="31" t="n">
        <x:f>INDEX(Assumptions!$D$24:$D$35,$C25)</x:f>
        <x:v>484.7338669519189</x:v>
      </x:c>
      <x:c r="E25" s="30" t="n">
        <x:f>$D25*Assumptions!$B$11*IF($A25=0,1,(1+Assumptions!$B$14)^($A25-1))</x:f>
        <x:v>169.65685343317162</x:v>
      </x:c>
      <x:c r="F25" s="30" t="n">
        <x:f>$B25*Assumptions!$B$13</x:f>
        <x:v>21</x:v>
      </x:c>
      <x:c r="G25" s="30" t="n">
        <x:f>$E25+$F25</x:f>
        <x:v>190.65685343317162</x:v>
      </x:c>
      <x:c r="H25" s="30" t="n">
        <x:f>IF($A25=0,"",Assumptions!$B$21)</x:f>
        <x:v>5459.5</x:v>
      </x:c>
      <x:c r="I25" s="31" t="n">
        <x:f>IF($A25=0,"",INDEX(Assumptions!$C$24:$C$35,$C25)*IF($A25=0,"",IF($A25=1,1-Assumptions!$B$16,(1-Assumptions!$B$16)*(1-Assumptions!$B$17)^($A25-1))))</x:f>
        <x:v>261.96456117381604</x:v>
      </x:c>
      <x:c r="J25" s="32" t="n">
        <x:f>IF($A25=0,"",IF($I25&gt;0,$K25/$I25,0))</x:f>
        <x:v>1</x:v>
      </x:c>
      <x:c r="K25" s="31" t="n">
        <x:f>IF($A25=0,"",LET(direct,MIN($I25,$D25),surplus,MAX(0,$I25-direct),deficit,MAX(0,$D25-direct),charge,MIN(surplus,Assumptions!$B$10,direct,deficit),direct+charge))</x:f>
        <x:v>261.96456117381604</x:v>
      </x:c>
      <x:c r="L25" s="31" t="n">
        <x:f>IF($A25=0,"",LET(direct,MIN($I25,$D25),surplus,MAX(0,$I25-direct),deficit,MAX(0,$D25-direct),charge,MIN(surplus,Assumptions!$B$10,direct,deficit),surplus-charge))</x:f>
        <x:v>0</x:v>
      </x:c>
      <x:c r="M25" s="31" t="n">
        <x:f>IF($A25=0,"",LET(direct,MIN($I25,$D25),surplus,MAX(0,$I25-direct),deficit,MAX(0,$D25-direct),charge,MIN(surplus,Assumptions!$B$10,direct,deficit),deficit-charge))</x:f>
        <x:v>222.76930577810288</x:v>
      </x:c>
      <x:c r="N25" s="30" t="n">
        <x:f>IF($A25=0,"",$M25*Assumptions!$B$11*IF($A25=0,1,(1+Assumptions!$B$14)^($A25-1)))</x:f>
        <x:v>77.969257022336</x:v>
      </x:c>
      <x:c r="O25" s="30" t="n">
        <x:f>IF($A25=0,"",$B25*Assumptions!$B$13)</x:f>
        <x:v>21</x:v>
      </x:c>
      <x:c r="P25" s="30" t="n">
        <x:f>IF($A25=0,"",$L25*Assumptions!$B$12)</x:f>
        <x:v>0</x:v>
      </x:c>
      <x:c r="Q25" s="30" t="n">
        <x:f>IF($A25=0,"",$N25+$O25-$P25)</x:f>
        <x:v>98.969257022336</x:v>
      </x:c>
      <x:c r="R25" s="30" t="n">
        <x:f>IF($A25=0,"",$G25-$Q25)</x:f>
        <x:v>91.68759641083562</x:v>
      </x:c>
      <x:c r="S25" s="30" t="n">
        <x:f>IF($A25=0,"",SUM($R$17:R25))</x:f>
        <x:v>961.6118038282102</x:v>
      </x:c>
      <x:c r="T25" s="30" t="n">
        <x:f>IF($A25=0,"",$S25-$H25)</x:f>
        <x:v>-4497.88819617179</x:v>
      </x:c>
    </x:row>
    <x:row r="26">
      <x:c r="A26" s="40" t="n">
        <x:v>1</x:v>
      </x:c>
      <x:c r="B26" s="40" t="n">
        <x:v>31</x:v>
      </x:c>
      <x:c r="C26" s="40" t="n">
        <x:v>10</x:v>
      </x:c>
      <x:c r="D26" s="31" t="n">
        <x:f>INDEX(Assumptions!$D$24:$D$35,$C26)</x:f>
        <x:v>965.136511636476</x:v>
      </x:c>
      <x:c r="E26" s="30" t="n">
        <x:f>$D26*Assumptions!$B$11*IF($A26=0,1,(1+Assumptions!$B$14)^($A26-1))</x:f>
        <x:v>337.7977790727666</x:v>
      </x:c>
      <x:c r="F26" s="30" t="n">
        <x:f>$B26*Assumptions!$B$13</x:f>
        <x:v>21.7</x:v>
      </x:c>
      <x:c r="G26" s="30" t="n">
        <x:f>$E26+$F26</x:f>
        <x:v>359.4977790727666</x:v>
      </x:c>
      <x:c r="H26" s="30" t="n">
        <x:f>IF($A26=0,"",Assumptions!$B$21)</x:f>
        <x:v>5459.5</x:v>
      </x:c>
      <x:c r="I26" s="31" t="n">
        <x:f>IF($A26=0,"",INDEX(Assumptions!$C$24:$C$35,$C26)*IF($A26=0,"",IF($A26=1,1-Assumptions!$B$16,(1-Assumptions!$B$16)*(1-Assumptions!$B$17)^($A26-1))))</x:f>
        <x:v>183.41711825141755</x:v>
      </x:c>
      <x:c r="J26" s="32" t="n">
        <x:f>IF($A26=0,"",IF($I26&gt;0,$K26/$I26,0))</x:f>
        <x:v>1</x:v>
      </x:c>
      <x:c r="K26" s="31" t="n">
        <x:f>IF($A26=0,"",LET(direct,MIN($I26,$D26),surplus,MAX(0,$I26-direct),deficit,MAX(0,$D26-direct),charge,MIN(surplus,Assumptions!$B$10,direct,deficit),direct+charge))</x:f>
        <x:v>183.41711825141755</x:v>
      </x:c>
      <x:c r="L26" s="31" t="n">
        <x:f>IF($A26=0,"",LET(direct,MIN($I26,$D26),surplus,MAX(0,$I26-direct),deficit,MAX(0,$D26-direct),charge,MIN(surplus,Assumptions!$B$10,direct,deficit),surplus-charge))</x:f>
        <x:v>0</x:v>
      </x:c>
      <x:c r="M26" s="31" t="n">
        <x:f>IF($A26=0,"",LET(direct,MIN($I26,$D26),surplus,MAX(0,$I26-direct),deficit,MAX(0,$D26-direct),charge,MIN(surplus,Assumptions!$B$10,direct,deficit),deficit-charge))</x:f>
        <x:v>781.7193933850585</x:v>
      </x:c>
      <x:c r="N26" s="30" t="n">
        <x:f>IF($A26=0,"",$M26*Assumptions!$B$11*IF($A26=0,1,(1+Assumptions!$B$14)^($A26-1)))</x:f>
        <x:v>273.60178768477044</x:v>
      </x:c>
      <x:c r="O26" s="30" t="n">
        <x:f>IF($A26=0,"",$B26*Assumptions!$B$13)</x:f>
        <x:v>21.7</x:v>
      </x:c>
      <x:c r="P26" s="30" t="n">
        <x:f>IF($A26=0,"",$L26*Assumptions!$B$12)</x:f>
        <x:v>0</x:v>
      </x:c>
      <x:c r="Q26" s="30" t="n">
        <x:f>IF($A26=0,"",$N26+$O26-$P26)</x:f>
        <x:v>295.30178768477043</x:v>
      </x:c>
      <x:c r="R26" s="30" t="n">
        <x:f>IF($A26=0,"",$G26-$Q26)</x:f>
        <x:v>64.19599138799617</x:v>
      </x:c>
      <x:c r="S26" s="30" t="n">
        <x:f>IF($A26=0,"",SUM($R$17:R26))</x:f>
        <x:v>1025.8077952162064</x:v>
      </x:c>
      <x:c r="T26" s="30" t="n">
        <x:f>IF($A26=0,"",$S26-$H26)</x:f>
        <x:v>-4433.692204783793</x:v>
      </x:c>
    </x:row>
    <x:row r="27">
      <x:c r="A27" s="40" t="n">
        <x:v>1</x:v>
      </x:c>
      <x:c r="B27" s="40" t="n">
        <x:v>30</x:v>
      </x:c>
      <x:c r="C27" s="40" t="n">
        <x:v>11</x:v>
      </x:c>
      <x:c r="D27" s="31" t="n">
        <x:f>INDEX(Assumptions!$D$24:$D$35,$C27)</x:f>
        <x:v>948.3553735444794</x:v>
      </x:c>
      <x:c r="E27" s="30" t="n">
        <x:f>$D27*Assumptions!$B$11*IF($A27=0,1,(1+Assumptions!$B$14)^($A27-1))</x:f>
        <x:v>331.9243807405678</x:v>
      </x:c>
      <x:c r="F27" s="30" t="n">
        <x:f>$B27*Assumptions!$B$13</x:f>
        <x:v>21</x:v>
      </x:c>
      <x:c r="G27" s="30" t="n">
        <x:f>$E27+$F27</x:f>
        <x:v>352.9243807405678</x:v>
      </x:c>
      <x:c r="H27" s="30" t="n">
        <x:f>IF($A27=0,"",Assumptions!$B$21)</x:f>
        <x:v>5459.5</x:v>
      </x:c>
      <x:c r="I27" s="31" t="n">
        <x:f>IF($A27=0,"",INDEX(Assumptions!$C$24:$C$35,$C27)*IF($A27=0,"",IF($A27=1,1-Assumptions!$B$16,(1-Assumptions!$B$16)*(1-Assumptions!$B$17)^($A27-1))))</x:f>
        <x:v>108.90235631422937</x:v>
      </x:c>
      <x:c r="J27" s="32" t="n">
        <x:f>IF($A27=0,"",IF($I27&gt;0,$K27/$I27,0))</x:f>
        <x:v>1</x:v>
      </x:c>
      <x:c r="K27" s="31" t="n">
        <x:f>IF($A27=0,"",LET(direct,MIN($I27,$D27),surplus,MAX(0,$I27-direct),deficit,MAX(0,$D27-direct),charge,MIN(surplus,Assumptions!$B$10,direct,deficit),direct+charge))</x:f>
        <x:v>108.90235631422937</x:v>
      </x:c>
      <x:c r="L27" s="31" t="n">
        <x:f>IF($A27=0,"",LET(direct,MIN($I27,$D27),surplus,MAX(0,$I27-direct),deficit,MAX(0,$D27-direct),charge,MIN(surplus,Assumptions!$B$10,direct,deficit),surplus-charge))</x:f>
        <x:v>0</x:v>
      </x:c>
      <x:c r="M27" s="31" t="n">
        <x:f>IF($A27=0,"",LET(direct,MIN($I27,$D27),surplus,MAX(0,$I27-direct),deficit,MAX(0,$D27-direct),charge,MIN(surplus,Assumptions!$B$10,direct,deficit),deficit-charge))</x:f>
        <x:v>839.4530172302501</x:v>
      </x:c>
      <x:c r="N27" s="30" t="n">
        <x:f>IF($A27=0,"",$M27*Assumptions!$B$11*IF($A27=0,1,(1+Assumptions!$B$14)^($A27-1)))</x:f>
        <x:v>293.8085560305875</x:v>
      </x:c>
      <x:c r="O27" s="30" t="n">
        <x:f>IF($A27=0,"",$B27*Assumptions!$B$13)</x:f>
        <x:v>21</x:v>
      </x:c>
      <x:c r="P27" s="30" t="n">
        <x:f>IF($A27=0,"",$L27*Assumptions!$B$12)</x:f>
        <x:v>0</x:v>
      </x:c>
      <x:c r="Q27" s="30" t="n">
        <x:f>IF($A27=0,"",$N27+$O27-$P27)</x:f>
        <x:v>314.8085560305875</x:v>
      </x:c>
      <x:c r="R27" s="30" t="n">
        <x:f>IF($A27=0,"",$G27-$Q27)</x:f>
        <x:v>38.1158247099803</x:v>
      </x:c>
      <x:c r="S27" s="30" t="n">
        <x:f>IF($A27=0,"",SUM($R$17:R27))</x:f>
        <x:v>1063.9236199261868</x:v>
      </x:c>
      <x:c r="T27" s="30" t="n">
        <x:f>IF($A27=0,"",$S27-$H27)</x:f>
        <x:v>-4395.576380073813</x:v>
      </x:c>
    </x:row>
    <x:row r="28">
      <x:c r="A28" s="40" t="n">
        <x:v>1</x:v>
      </x:c>
      <x:c r="B28" s="40" t="n">
        <x:v>31</x:v>
      </x:c>
      <x:c r="C28" s="40" t="n">
        <x:v>12</x:v>
      </x:c>
      <x:c r="D28" s="31" t="n">
        <x:f>INDEX(Assumptions!$D$24:$D$35,$C28)</x:f>
        <x:v>928.0413642752205</x:v>
      </x:c>
      <x:c r="E28" s="30" t="n">
        <x:f>$D28*Assumptions!$B$11*IF($A28=0,1,(1+Assumptions!$B$14)^($A28-1))</x:f>
        <x:v>324.8144774963272</x:v>
      </x:c>
      <x:c r="F28" s="30" t="n">
        <x:f>$B28*Assumptions!$B$13</x:f>
        <x:v>21.7</x:v>
      </x:c>
      <x:c r="G28" s="30" t="n">
        <x:f>$E28+$F28</x:f>
        <x:v>346.5144774963272</x:v>
      </x:c>
      <x:c r="H28" s="30" t="n">
        <x:f>IF($A28=0,"",Assumptions!$B$21)</x:f>
        <x:v>5459.5</x:v>
      </x:c>
      <x:c r="I28" s="31" t="n">
        <x:f>IF($A28=0,"",INDEX(Assumptions!$C$24:$C$35,$C28)*IF($A28=0,"",IF($A28=1,1-Assumptions!$B$16,(1-Assumptions!$B$16)*(1-Assumptions!$B$17)^($A28-1))))</x:f>
        <x:v>80.29579346563466</x:v>
      </x:c>
      <x:c r="J28" s="32" t="n">
        <x:f>IF($A28=0,"",IF($I28&gt;0,$K28/$I28,0))</x:f>
        <x:v>1</x:v>
      </x:c>
      <x:c r="K28" s="31" t="n">
        <x:f>IF($A28=0,"",LET(direct,MIN($I28,$D28),surplus,MAX(0,$I28-direct),deficit,MAX(0,$D28-direct),charge,MIN(surplus,Assumptions!$B$10,direct,deficit),direct+charge))</x:f>
        <x:v>80.29579346563466</x:v>
      </x:c>
      <x:c r="L28" s="31" t="n">
        <x:f>IF($A28=0,"",LET(direct,MIN($I28,$D28),surplus,MAX(0,$I28-direct),deficit,MAX(0,$D28-direct),charge,MIN(surplus,Assumptions!$B$10,direct,deficit),surplus-charge))</x:f>
        <x:v>0</x:v>
      </x:c>
      <x:c r="M28" s="31" t="n">
        <x:f>IF($A28=0,"",LET(direct,MIN($I28,$D28),surplus,MAX(0,$I28-direct),deficit,MAX(0,$D28-direct),charge,MIN(surplus,Assumptions!$B$10,direct,deficit),deficit-charge))</x:f>
        <x:v>847.7455708095858</x:v>
      </x:c>
      <x:c r="N28" s="30" t="n">
        <x:f>IF($A28=0,"",$M28*Assumptions!$B$11*IF($A28=0,1,(1+Assumptions!$B$14)^($A28-1)))</x:f>
        <x:v>296.71094978335503</x:v>
      </x:c>
      <x:c r="O28" s="30" t="n">
        <x:f>IF($A28=0,"",$B28*Assumptions!$B$13)</x:f>
        <x:v>21.7</x:v>
      </x:c>
      <x:c r="P28" s="30" t="n">
        <x:f>IF($A28=0,"",$L28*Assumptions!$B$12)</x:f>
        <x:v>0</x:v>
      </x:c>
      <x:c r="Q28" s="30" t="n">
        <x:f>IF($A28=0,"",$N28+$O28-$P28)</x:f>
        <x:v>318.410949783355</x:v>
      </x:c>
      <x:c r="R28" s="30" t="n">
        <x:f>IF($A28=0,"",$G28-$Q28)</x:f>
        <x:v>28.103527712972152</x:v>
      </x:c>
      <x:c r="S28" s="30" t="n">
        <x:f>IF($A28=0,"",SUM($R$17:R28))</x:f>
        <x:v>1092.027147639159</x:v>
      </x:c>
      <x:c r="T28" s="30" t="n">
        <x:f>IF($A28=0,"",$S28-$H28)</x:f>
        <x:v>-4367.472852360841</x:v>
      </x:c>
    </x:row>
    <x:row r="29">
      <x:c r="A29" s="40" t="n">
        <x:v>2</x:v>
      </x:c>
      <x:c r="B29" s="40" t="n">
        <x:v>31</x:v>
      </x:c>
      <x:c r="C29" s="40" t="n">
        <x:v>1</x:v>
      </x:c>
      <x:c r="D29" s="31" t="n">
        <x:f>INDEX(Assumptions!$D$24:$D$35,$C29)</x:f>
        <x:v>921.8588397150115</x:v>
      </x:c>
      <x:c r="E29" s="30" t="n">
        <x:f>$D29*Assumptions!$B$11*IF($A29=0,1,(1+Assumptions!$B$14)^($A29-1))</x:f>
        <x:v>329.1036057782591</x:v>
      </x:c>
      <x:c r="F29" s="30" t="n">
        <x:f>$B29*Assumptions!$B$13</x:f>
        <x:v>21.7</x:v>
      </x:c>
      <x:c r="G29" s="30" t="n">
        <x:f>$E29+$F29</x:f>
        <x:v>350.8036057782591</x:v>
      </x:c>
      <x:c r="H29" s="30" t="n">
        <x:f>IF($A29=0,"",Assumptions!$B$21)</x:f>
        <x:v>5459.5</x:v>
      </x:c>
      <x:c r="I29" s="31" t="n">
        <x:f>IF($A29=0,"",INDEX(Assumptions!$C$24:$C$35,$C29)*IF($A29=0,"",IF($A29=1,1-Assumptions!$B$16,(1-Assumptions!$B$16)*(1-Assumptions!$B$17)^($A29-1))))</x:f>
        <x:v>97.34972005680764</x:v>
      </x:c>
      <x:c r="J29" s="32" t="n">
        <x:f>IF($A29=0,"",IF($I29&gt;0,$K29/$I29,0))</x:f>
        <x:v>1</x:v>
      </x:c>
      <x:c r="K29" s="31" t="n">
        <x:f>IF($A29=0,"",LET(direct,MIN($I29,$D29),surplus,MAX(0,$I29-direct),deficit,MAX(0,$D29-direct),charge,MIN(surplus,Assumptions!$B$10,direct,deficit),direct+charge))</x:f>
        <x:v>97.34972005680764</x:v>
      </x:c>
      <x:c r="L29" s="31" t="n">
        <x:f>IF($A29=0,"",LET(direct,MIN($I29,$D29),surplus,MAX(0,$I29-direct),deficit,MAX(0,$D29-direct),charge,MIN(surplus,Assumptions!$B$10,direct,deficit),surplus-charge))</x:f>
        <x:v>0</x:v>
      </x:c>
      <x:c r="M29" s="31" t="n">
        <x:f>IF($A29=0,"",LET(direct,MIN($I29,$D29),surplus,MAX(0,$I29-direct),deficit,MAX(0,$D29-direct),charge,MIN(surplus,Assumptions!$B$10,direct,deficit),deficit-charge))</x:f>
        <x:v>824.5091196582039</x:v>
      </x:c>
      <x:c r="N29" s="30" t="n">
        <x:f>IF($A29=0,"",$M29*Assumptions!$B$11*IF($A29=0,1,(1+Assumptions!$B$14)^($A29-1)))</x:f>
        <x:v>294.3497557179788</x:v>
      </x:c>
      <x:c r="O29" s="30" t="n">
        <x:f>IF($A29=0,"",$B29*Assumptions!$B$13)</x:f>
        <x:v>21.7</x:v>
      </x:c>
      <x:c r="P29" s="30" t="n">
        <x:f>IF($A29=0,"",$L29*Assumptions!$B$12)</x:f>
        <x:v>0</x:v>
      </x:c>
      <x:c r="Q29" s="30" t="n">
        <x:f>IF($A29=0,"",$N29+$O29-$P29)</x:f>
        <x:v>316.04975571797877</x:v>
      </x:c>
      <x:c r="R29" s="30" t="n">
        <x:f>IF($A29=0,"",$G29-$Q29)</x:f>
        <x:v>34.75385006028034</x:v>
      </x:c>
      <x:c r="S29" s="30" t="n">
        <x:f>IF($A29=0,"",SUM($R$17:R29))</x:f>
        <x:v>1126.7809976994395</x:v>
      </x:c>
      <x:c r="T29" s="30" t="n">
        <x:f>IF($A29=0,"",$S29-$H29)</x:f>
        <x:v>-4332.7190023005605</x:v>
      </x:c>
    </x:row>
    <x:row r="30">
      <x:c r="A30" s="40" t="n">
        <x:v>2</x:v>
      </x:c>
      <x:c r="B30" s="40" t="n">
        <x:v>28</x:v>
      </x:c>
      <x:c r="C30" s="40" t="n">
        <x:v>2</x:v>
      </x:c>
      <x:c r="D30" s="31" t="n">
        <x:f>INDEX(Assumptions!$D$24:$D$35,$C30)</x:f>
        <x:v>923.6252753036425</x:v>
      </x:c>
      <x:c r="E30" s="30" t="n">
        <x:f>$D30*Assumptions!$B$11*IF($A30=0,1,(1+Assumptions!$B$14)^($A30-1))</x:f>
        <x:v>329.73422328340035</x:v>
      </x:c>
      <x:c r="F30" s="30" t="n">
        <x:f>$B30*Assumptions!$B$13</x:f>
        <x:v>19.599999999999998</x:v>
      </x:c>
      <x:c r="G30" s="30" t="n">
        <x:f>$E30+$F30</x:f>
        <x:v>349.3342232834004</x:v>
      </x:c>
      <x:c r="H30" s="30" t="n">
        <x:f>IF($A30=0,"",Assumptions!$B$21)</x:f>
        <x:v>5459.5</x:v>
      </x:c>
      <x:c r="I30" s="31" t="n">
        <x:f>IF($A30=0,"",INDEX(Assumptions!$C$24:$C$35,$C30)*IF($A30=0,"",IF($A30=1,1-Assumptions!$B$16,(1-Assumptions!$B$16)*(1-Assumptions!$B$17)^($A30-1))))</x:f>
        <x:v>153.90167782249188</x:v>
      </x:c>
      <x:c r="J30" s="32" t="n">
        <x:f>IF($A30=0,"",IF($I30&gt;0,$K30/$I30,0))</x:f>
        <x:v>1</x:v>
      </x:c>
      <x:c r="K30" s="31" t="n">
        <x:f>IF($A30=0,"",LET(direct,MIN($I30,$D30),surplus,MAX(0,$I30-direct),deficit,MAX(0,$D30-direct),charge,MIN(surplus,Assumptions!$B$10,direct,deficit),direct+charge))</x:f>
        <x:v>153.90167782249188</x:v>
      </x:c>
      <x:c r="L30" s="31" t="n">
        <x:f>IF($A30=0,"",LET(direct,MIN($I30,$D30),surplus,MAX(0,$I30-direct),deficit,MAX(0,$D30-direct),charge,MIN(surplus,Assumptions!$B$10,direct,deficit),surplus-charge))</x:f>
        <x:v>0</x:v>
      </x:c>
      <x:c r="M30" s="31" t="n">
        <x:f>IF($A30=0,"",LET(direct,MIN($I30,$D30),surplus,MAX(0,$I30-direct),deficit,MAX(0,$D30-direct),charge,MIN(surplus,Assumptions!$B$10,direct,deficit),deficit-charge))</x:f>
        <x:v>769.7235974811506</x:v>
      </x:c>
      <x:c r="N30" s="30" t="n">
        <x:f>IF($A30=0,"",$M30*Assumptions!$B$11*IF($A30=0,1,(1+Assumptions!$B$14)^($A30-1)))</x:f>
        <x:v>274.7913243007707</x:v>
      </x:c>
      <x:c r="O30" s="30" t="n">
        <x:f>IF($A30=0,"",$B30*Assumptions!$B$13)</x:f>
        <x:v>19.599999999999998</x:v>
      </x:c>
      <x:c r="P30" s="30" t="n">
        <x:f>IF($A30=0,"",$L30*Assumptions!$B$12)</x:f>
        <x:v>0</x:v>
      </x:c>
      <x:c r="Q30" s="30" t="n">
        <x:f>IF($A30=0,"",$N30+$O30-$P30)</x:f>
        <x:v>294.39132430077075</x:v>
      </x:c>
      <x:c r="R30" s="30" t="n">
        <x:f>IF($A30=0,"",$G30-$Q30)</x:f>
        <x:v>54.94289898262963</x:v>
      </x:c>
      <x:c r="S30" s="30" t="n">
        <x:f>IF($A30=0,"",SUM($R$17:R30))</x:f>
        <x:v>1181.7238966820692</x:v>
      </x:c>
      <x:c r="T30" s="30" t="n">
        <x:f>IF($A30=0,"",$S30-$H30)</x:f>
        <x:v>-4277.77610331793</x:v>
      </x:c>
    </x:row>
    <x:row r="31">
      <x:c r="A31" s="40" t="n">
        <x:v>2</x:v>
      </x:c>
      <x:c r="B31" s="40" t="n">
        <x:v>31</x:v>
      </x:c>
      <x:c r="C31" s="40" t="n">
        <x:v>3</x:v>
      </x:c>
      <x:c r="D31" s="31" t="n">
        <x:f>INDEX(Assumptions!$D$24:$D$35,$C31)</x:f>
        <x:v>907.7273550059616</x:v>
      </x:c>
      <x:c r="E31" s="30" t="n">
        <x:f>$D31*Assumptions!$B$11*IF($A31=0,1,(1+Assumptions!$B$14)^($A31-1))</x:f>
        <x:v>324.0586657371283</x:v>
      </x:c>
      <x:c r="F31" s="30" t="n">
        <x:f>$B31*Assumptions!$B$13</x:f>
        <x:v>21.7</x:v>
      </x:c>
      <x:c r="G31" s="30" t="n">
        <x:f>$E31+$F31</x:f>
        <x:v>345.7586657371283</x:v>
      </x:c>
      <x:c r="H31" s="30" t="n">
        <x:f>IF($A31=0,"",Assumptions!$B$21)</x:f>
        <x:v>5459.5</x:v>
      </x:c>
      <x:c r="I31" s="31" t="n">
        <x:f>IF($A31=0,"",INDEX(Assumptions!$C$24:$C$35,$C31)*IF($A31=0,"",IF($A31=1,1-Assumptions!$B$16,(1-Assumptions!$B$16)*(1-Assumptions!$B$17)^($A31-1))))</x:f>
        <x:v>271.66915787121616</x:v>
      </x:c>
      <x:c r="J31" s="32" t="n">
        <x:f>IF($A31=0,"",IF($I31&gt;0,$K31/$I31,0))</x:f>
        <x:v>1</x:v>
      </x:c>
      <x:c r="K31" s="31" t="n">
        <x:f>IF($A31=0,"",LET(direct,MIN($I31,$D31),surplus,MAX(0,$I31-direct),deficit,MAX(0,$D31-direct),charge,MIN(surplus,Assumptions!$B$10,direct,deficit),direct+charge))</x:f>
        <x:v>271.66915787121616</x:v>
      </x:c>
      <x:c r="L31" s="31" t="n">
        <x:f>IF($A31=0,"",LET(direct,MIN($I31,$D31),surplus,MAX(0,$I31-direct),deficit,MAX(0,$D31-direct),charge,MIN(surplus,Assumptions!$B$10,direct,deficit),surplus-charge))</x:f>
        <x:v>0</x:v>
      </x:c>
      <x:c r="M31" s="31" t="n">
        <x:f>IF($A31=0,"",LET(direct,MIN($I31,$D31),surplus,MAX(0,$I31-direct),deficit,MAX(0,$D31-direct),charge,MIN(surplus,Assumptions!$B$10,direct,deficit),deficit-charge))</x:f>
        <x:v>636.0581971347455</x:v>
      </x:c>
      <x:c r="N31" s="30" t="n">
        <x:f>IF($A31=0,"",$M31*Assumptions!$B$11*IF($A31=0,1,(1+Assumptions!$B$14)^($A31-1)))</x:f>
        <x:v>227.07277637710413</x:v>
      </x:c>
      <x:c r="O31" s="30" t="n">
        <x:f>IF($A31=0,"",$B31*Assumptions!$B$13)</x:f>
        <x:v>21.7</x:v>
      </x:c>
      <x:c r="P31" s="30" t="n">
        <x:f>IF($A31=0,"",$L31*Assumptions!$B$12)</x:f>
        <x:v>0</x:v>
      </x:c>
      <x:c r="Q31" s="30" t="n">
        <x:f>IF($A31=0,"",$N31+$O31-$P31)</x:f>
        <x:v>248.77277637710412</x:v>
      </x:c>
      <x:c r="R31" s="30" t="n">
        <x:f>IF($A31=0,"",$G31-$Q31)</x:f>
        <x:v>96.98588936002417</x:v>
      </x:c>
      <x:c r="S31" s="30" t="n">
        <x:f>IF($A31=0,"",SUM($R$17:R31))</x:f>
        <x:v>1278.7097860420934</x:v>
      </x:c>
      <x:c r="T31" s="30" t="n">
        <x:f>IF($A31=0,"",$S31-$H31)</x:f>
        <x:v>-4180.790213957906</x:v>
      </x:c>
    </x:row>
    <x:row r="32">
      <x:c r="A32" s="40" t="n">
        <x:v>2</x:v>
      </x:c>
      <x:c r="B32" s="40" t="n">
        <x:v>30</x:v>
      </x:c>
      <x:c r="C32" s="40" t="n">
        <x:v>4</x:v>
      </x:c>
      <x:c r="D32" s="31" t="n">
        <x:f>INDEX(Assumptions!$D$24:$D$35,$C32)</x:f>
        <x:v>951.0050269274262</x:v>
      </x:c>
      <x:c r="E32" s="30" t="n">
        <x:f>$D32*Assumptions!$B$11*IF($A32=0,1,(1+Assumptions!$B$14)^($A32-1))</x:f>
        <x:v>339.50879461309114</x:v>
      </x:c>
      <x:c r="F32" s="30" t="n">
        <x:f>$B32*Assumptions!$B$13</x:f>
        <x:v>21</x:v>
      </x:c>
      <x:c r="G32" s="30" t="n">
        <x:f>$E32+$F32</x:f>
        <x:v>360.50879461309114</x:v>
      </x:c>
      <x:c r="H32" s="30" t="n">
        <x:f>IF($A32=0,"",Assumptions!$B$21)</x:f>
        <x:v>5459.5</x:v>
      </x:c>
      <x:c r="I32" s="31" t="n">
        <x:f>IF($A32=0,"",INDEX(Assumptions!$C$24:$C$35,$C32)*IF($A32=0,"",IF($A32=1,1-Assumptions!$B$16,(1-Assumptions!$B$16)*(1-Assumptions!$B$17)^($A32-1))))</x:f>
        <x:v>361.7813458305504</x:v>
      </x:c>
      <x:c r="J32" s="32" t="n">
        <x:f>IF($A32=0,"",IF($I32&gt;0,$K32/$I32,0))</x:f>
        <x:v>1</x:v>
      </x:c>
      <x:c r="K32" s="31" t="n">
        <x:f>IF($A32=0,"",LET(direct,MIN($I32,$D32),surplus,MAX(0,$I32-direct),deficit,MAX(0,$D32-direct),charge,MIN(surplus,Assumptions!$B$10,direct,deficit),direct+charge))</x:f>
        <x:v>361.7813458305504</x:v>
      </x:c>
      <x:c r="L32" s="31" t="n">
        <x:f>IF($A32=0,"",LET(direct,MIN($I32,$D32),surplus,MAX(0,$I32-direct),deficit,MAX(0,$D32-direct),charge,MIN(surplus,Assumptions!$B$10,direct,deficit),surplus-charge))</x:f>
        <x:v>0</x:v>
      </x:c>
      <x:c r="M32" s="31" t="n">
        <x:f>IF($A32=0,"",LET(direct,MIN($I32,$D32),surplus,MAX(0,$I32-direct),deficit,MAX(0,$D32-direct),charge,MIN(surplus,Assumptions!$B$10,direct,deficit),deficit-charge))</x:f>
        <x:v>589.2236810968759</x:v>
      </x:c>
      <x:c r="N32" s="30" t="n">
        <x:f>IF($A32=0,"",$M32*Assumptions!$B$11*IF($A32=0,1,(1+Assumptions!$B$14)^($A32-1)))</x:f>
        <x:v>210.35285415158467</x:v>
      </x:c>
      <x:c r="O32" s="30" t="n">
        <x:f>IF($A32=0,"",$B32*Assumptions!$B$13)</x:f>
        <x:v>21</x:v>
      </x:c>
      <x:c r="P32" s="30" t="n">
        <x:f>IF($A32=0,"",$L32*Assumptions!$B$12)</x:f>
        <x:v>0</x:v>
      </x:c>
      <x:c r="Q32" s="30" t="n">
        <x:f>IF($A32=0,"",$N32+$O32-$P32)</x:f>
        <x:v>231.35285415158467</x:v>
      </x:c>
      <x:c r="R32" s="30" t="n">
        <x:f>IF($A32=0,"",$G32-$Q32)</x:f>
        <x:v>129.15594046150648</x:v>
      </x:c>
      <x:c r="S32" s="30" t="n">
        <x:f>IF($A32=0,"",SUM($R$17:R32))</x:f>
        <x:v>1407.8657265036</x:v>
      </x:c>
      <x:c r="T32" s="30" t="n">
        <x:f>IF($A32=0,"",$S32-$H32)</x:f>
        <x:v>-4051.6342734964</x:v>
      </x:c>
    </x:row>
    <x:row r="33">
      <x:c r="A33" s="40" t="n">
        <x:v>2</x:v>
      </x:c>
      <x:c r="B33" s="40" t="n">
        <x:v>31</x:v>
      </x:c>
      <x:c r="C33" s="40" t="n">
        <x:v>5</x:v>
      </x:c>
      <x:c r="D33" s="31" t="n">
        <x:f>INDEX(Assumptions!$D$24:$D$35,$C33)</x:f>
        <x:v>480.47094299256736</x:v>
      </x:c>
      <x:c r="E33" s="30" t="n">
        <x:f>$D33*Assumptions!$B$11*IF($A33=0,1,(1+Assumptions!$B$14)^($A33-1))</x:f>
        <x:v>171.52812664834653</x:v>
      </x:c>
      <x:c r="F33" s="30" t="n">
        <x:f>$B33*Assumptions!$B$13</x:f>
        <x:v>21.7</x:v>
      </x:c>
      <x:c r="G33" s="30" t="n">
        <x:f>$E33+$F33</x:f>
        <x:v>193.22812664834652</x:v>
      </x:c>
      <x:c r="H33" s="30" t="n">
        <x:f>IF($A33=0,"",Assumptions!$B$21)</x:f>
        <x:v>5459.5</x:v>
      </x:c>
      <x:c r="I33" s="31" t="n">
        <x:f>IF($A33=0,"",INDEX(Assumptions!$C$24:$C$35,$C33)*IF($A33=0,"",IF($A33=1,1-Assumptions!$B$16,(1-Assumptions!$B$16)*(1-Assumptions!$B$17)^($A33-1))))</x:f>
        <x:v>400.81741176511844</x:v>
      </x:c>
      <x:c r="J33" s="32" t="n">
        <x:f>IF($A33=0,"",IF($I33&gt;0,$K33/$I33,0))</x:f>
        <x:v>1</x:v>
      </x:c>
      <x:c r="K33" s="31" t="n">
        <x:f>IF($A33=0,"",LET(direct,MIN($I33,$D33),surplus,MAX(0,$I33-direct),deficit,MAX(0,$D33-direct),charge,MIN(surplus,Assumptions!$B$10,direct,deficit),direct+charge))</x:f>
        <x:v>400.81741176511844</x:v>
      </x:c>
      <x:c r="L33" s="31" t="n">
        <x:f>IF($A33=0,"",LET(direct,MIN($I33,$D33),surplus,MAX(0,$I33-direct),deficit,MAX(0,$D33-direct),charge,MIN(surplus,Assumptions!$B$10,direct,deficit),surplus-charge))</x:f>
        <x:v>0</x:v>
      </x:c>
      <x:c r="M33" s="31" t="n">
        <x:f>IF($A33=0,"",LET(direct,MIN($I33,$D33),surplus,MAX(0,$I33-direct),deficit,MAX(0,$D33-direct),charge,MIN(surplus,Assumptions!$B$10,direct,deficit),deficit-charge))</x:f>
        <x:v>79.65353122744892</x:v>
      </x:c>
      <x:c r="N33" s="30" t="n">
        <x:f>IF($A33=0,"",$M33*Assumptions!$B$11*IF($A33=0,1,(1+Assumptions!$B$14)^($A33-1)))</x:f>
        <x:v>28.436310648199264</x:v>
      </x:c>
      <x:c r="O33" s="30" t="n">
        <x:f>IF($A33=0,"",$B33*Assumptions!$B$13)</x:f>
        <x:v>21.7</x:v>
      </x:c>
      <x:c r="P33" s="30" t="n">
        <x:f>IF($A33=0,"",$L33*Assumptions!$B$12)</x:f>
        <x:v>0</x:v>
      </x:c>
      <x:c r="Q33" s="30" t="n">
        <x:f>IF($A33=0,"",$N33+$O33-$P33)</x:f>
        <x:v>50.13631064819926</x:v>
      </x:c>
      <x:c r="R33" s="30" t="n">
        <x:f>IF($A33=0,"",$G33-$Q33)</x:f>
        <x:v>143.09181600014725</x:v>
      </x:c>
      <x:c r="S33" s="30" t="n">
        <x:f>IF($A33=0,"",SUM($R$17:R33))</x:f>
        <x:v>1550.9575425037472</x:v>
      </x:c>
      <x:c r="T33" s="30" t="n">
        <x:f>IF($A33=0,"",$S33-$H33)</x:f>
        <x:v>-3908.5424574962526</x:v>
      </x:c>
    </x:row>
    <x:row r="34">
      <x:c r="A34" s="40" t="n">
        <x:v>2</x:v>
      </x:c>
      <x:c r="B34" s="40" t="n">
        <x:v>30</x:v>
      </x:c>
      <x:c r="C34" s="40" t="n">
        <x:v>6</x:v>
      </x:c>
      <x:c r="D34" s="31" t="n">
        <x:f>INDEX(Assumptions!$D$24:$D$35,$C34)</x:f>
        <x:v>491.73724202799656</x:v>
      </x:c>
      <x:c r="E34" s="30" t="n">
        <x:f>$D34*Assumptions!$B$11*IF($A34=0,1,(1+Assumptions!$B$14)^($A34-1))</x:f>
        <x:v>175.55019540399476</x:v>
      </x:c>
      <x:c r="F34" s="30" t="n">
        <x:f>$B34*Assumptions!$B$13</x:f>
        <x:v>21</x:v>
      </x:c>
      <x:c r="G34" s="30" t="n">
        <x:f>$E34+$F34</x:f>
        <x:v>196.55019540399476</x:v>
      </x:c>
      <x:c r="H34" s="30" t="n">
        <x:f>IF($A34=0,"",Assumptions!$B$21)</x:f>
        <x:v>5459.5</x:v>
      </x:c>
      <x:c r="I34" s="31" t="n">
        <x:f>IF($A34=0,"",INDEX(Assumptions!$C$24:$C$35,$C34)*IF($A34=0,"",IF($A34=1,1-Assumptions!$B$16,(1-Assumptions!$B$16)*(1-Assumptions!$B$17)^($A34-1))))</x:f>
        <x:v>411.00029093708525</x:v>
      </x:c>
      <x:c r="J34" s="32" t="n">
        <x:f>IF($A34=0,"",IF($I34&gt;0,$K34/$I34,0))</x:f>
        <x:v>1</x:v>
      </x:c>
      <x:c r="K34" s="31" t="n">
        <x:f>IF($A34=0,"",LET(direct,MIN($I34,$D34),surplus,MAX(0,$I34-direct),deficit,MAX(0,$D34-direct),charge,MIN(surplus,Assumptions!$B$10,direct,deficit),direct+charge))</x:f>
        <x:v>411.00029093708525</x:v>
      </x:c>
      <x:c r="L34" s="31" t="n">
        <x:f>IF($A34=0,"",LET(direct,MIN($I34,$D34),surplus,MAX(0,$I34-direct),deficit,MAX(0,$D34-direct),charge,MIN(surplus,Assumptions!$B$10,direct,deficit),surplus-charge))</x:f>
        <x:v>0</x:v>
      </x:c>
      <x:c r="M34" s="31" t="n">
        <x:f>IF($A34=0,"",LET(direct,MIN($I34,$D34),surplus,MAX(0,$I34-direct),deficit,MAX(0,$D34-direct),charge,MIN(surplus,Assumptions!$B$10,direct,deficit),deficit-charge))</x:f>
        <x:v>80.7369510909113</x:v>
      </x:c>
      <x:c r="N34" s="30" t="n">
        <x:f>IF($A34=0,"",$M34*Assumptions!$B$11*IF($A34=0,1,(1+Assumptions!$B$14)^($A34-1)))</x:f>
        <x:v>28.823091539455337</x:v>
      </x:c>
      <x:c r="O34" s="30" t="n">
        <x:f>IF($A34=0,"",$B34*Assumptions!$B$13)</x:f>
        <x:v>21</x:v>
      </x:c>
      <x:c r="P34" s="30" t="n">
        <x:f>IF($A34=0,"",$L34*Assumptions!$B$12)</x:f>
        <x:v>0</x:v>
      </x:c>
      <x:c r="Q34" s="30" t="n">
        <x:f>IF($A34=0,"",$N34+$O34-$P34)</x:f>
        <x:v>49.82309153945533</x:v>
      </x:c>
      <x:c r="R34" s="30" t="n">
        <x:f>IF($A34=0,"",$G34-$Q34)</x:f>
        <x:v>146.72710386453943</x:v>
      </x:c>
      <x:c r="S34" s="30" t="n">
        <x:f>IF($A34=0,"",SUM($R$17:R34))</x:f>
        <x:v>1697.6846463682866</x:v>
      </x:c>
      <x:c r="T34" s="30" t="n">
        <x:f>IF($A34=0,"",$S34-$H34)</x:f>
        <x:v>-3761.815353631713</x:v>
      </x:c>
    </x:row>
    <x:row r="35">
      <x:c r="A35" s="40" t="n">
        <x:v>2</x:v>
      </x:c>
      <x:c r="B35" s="40" t="n">
        <x:v>31</x:v>
      </x:c>
      <x:c r="C35" s="40" t="n">
        <x:v>7</x:v>
      </x:c>
      <x:c r="D35" s="31" t="n">
        <x:f>INDEX(Assumptions!$D$24:$D$35,$C35)</x:f>
        <x:v>504.2215193375261</x:v>
      </x:c>
      <x:c r="E35" s="30" t="n">
        <x:f>$D35*Assumptions!$B$11*IF($A35=0,1,(1+Assumptions!$B$14)^($A35-1))</x:f>
        <x:v>180.0070824034968</x:v>
      </x:c>
      <x:c r="F35" s="30" t="n">
        <x:f>$B35*Assumptions!$B$13</x:f>
        <x:v>21.7</x:v>
      </x:c>
      <x:c r="G35" s="30" t="n">
        <x:f>$E35+$F35</x:f>
        <x:v>201.7070824034968</x:v>
      </x:c>
      <x:c r="H35" s="30" t="n">
        <x:f>IF($A35=0,"",Assumptions!$B$21)</x:f>
        <x:v>5459.5</x:v>
      </x:c>
      <x:c r="I35" s="31" t="n">
        <x:f>IF($A35=0,"",INDEX(Assumptions!$C$24:$C$35,$C35)*IF($A35=0,"",IF($A35=1,1-Assumptions!$B$16,(1-Assumptions!$B$16)*(1-Assumptions!$B$17)^($A35-1))))</x:f>
        <x:v>424.68126263902224</x:v>
      </x:c>
      <x:c r="J35" s="32" t="n">
        <x:f>IF($A35=0,"",IF($I35&gt;0,$K35/$I35,0))</x:f>
        <x:v>1</x:v>
      </x:c>
      <x:c r="K35" s="31" t="n">
        <x:f>IF($A35=0,"",LET(direct,MIN($I35,$D35),surplus,MAX(0,$I35-direct),deficit,MAX(0,$D35-direct),charge,MIN(surplus,Assumptions!$B$10,direct,deficit),direct+charge))</x:f>
        <x:v>424.68126263902224</x:v>
      </x:c>
      <x:c r="L35" s="31" t="n">
        <x:f>IF($A35=0,"",LET(direct,MIN($I35,$D35),surplus,MAX(0,$I35-direct),deficit,MAX(0,$D35-direct),charge,MIN(surplus,Assumptions!$B$10,direct,deficit),surplus-charge))</x:f>
        <x:v>0</x:v>
      </x:c>
      <x:c r="M35" s="31" t="n">
        <x:f>IF($A35=0,"",LET(direct,MIN($I35,$D35),surplus,MAX(0,$I35-direct),deficit,MAX(0,$D35-direct),charge,MIN(surplus,Assumptions!$B$10,direct,deficit),deficit-charge))</x:f>
        <x:v>79.54025669850387</x:v>
      </x:c>
      <x:c r="N35" s="30" t="n">
        <x:f>IF($A35=0,"",$M35*Assumptions!$B$11*IF($A35=0,1,(1+Assumptions!$B$14)^($A35-1)))</x:f>
        <x:v>28.39587164136588</x:v>
      </x:c>
      <x:c r="O35" s="30" t="n">
        <x:f>IF($A35=0,"",$B35*Assumptions!$B$13)</x:f>
        <x:v>21.7</x:v>
      </x:c>
      <x:c r="P35" s="30" t="n">
        <x:f>IF($A35=0,"",$L35*Assumptions!$B$12)</x:f>
        <x:v>0</x:v>
      </x:c>
      <x:c r="Q35" s="30" t="n">
        <x:f>IF($A35=0,"",$N35+$O35-$P35)</x:f>
        <x:v>50.095871641365875</x:v>
      </x:c>
      <x:c r="R35" s="30" t="n">
        <x:f>IF($A35=0,"",$G35-$Q35)</x:f>
        <x:v>151.61121076213092</x:v>
      </x:c>
      <x:c r="S35" s="30" t="n">
        <x:f>IF($A35=0,"",SUM($R$17:R35))</x:f>
        <x:v>1849.2958571304175</x:v>
      </x:c>
      <x:c r="T35" s="30" t="n">
        <x:f>IF($A35=0,"",$S35-$H35)</x:f>
        <x:v>-3610.2041428695825</x:v>
      </x:c>
    </x:row>
    <x:row r="36">
      <x:c r="A36" s="40" t="n">
        <x:v>2</x:v>
      </x:c>
      <x:c r="B36" s="40" t="n">
        <x:v>31</x:v>
      </x:c>
      <x:c r="C36" s="40" t="n">
        <x:v>8</x:v>
      </x:c>
      <x:c r="D36" s="31" t="n">
        <x:f>INDEX(Assumptions!$D$24:$D$35,$C36)</x:f>
        <x:v>495.0866822817727</x:v>
      </x:c>
      <x:c r="E36" s="30" t="n">
        <x:f>$D36*Assumptions!$B$11*IF($A36=0,1,(1+Assumptions!$B$14)^($A36-1))</x:f>
        <x:v>176.74594557459287</x:v>
      </x:c>
      <x:c r="F36" s="30" t="n">
        <x:f>$B36*Assumptions!$B$13</x:f>
        <x:v>21.7</x:v>
      </x:c>
      <x:c r="G36" s="30" t="n">
        <x:f>$E36+$F36</x:f>
        <x:v>198.44594557459286</x:v>
      </x:c>
      <x:c r="H36" s="30" t="n">
        <x:f>IF($A36=0,"",Assumptions!$B$21)</x:f>
        <x:v>5459.5</x:v>
      </x:c>
      <x:c r="I36" s="31" t="n">
        <x:f>IF($A36=0,"",INDEX(Assumptions!$C$24:$C$35,$C36)*IF($A36=0,"",IF($A36=1,1-Assumptions!$B$16,(1-Assumptions!$B$16)*(1-Assumptions!$B$17)^($A36-1))))</x:f>
        <x:v>354.35487761400816</x:v>
      </x:c>
      <x:c r="J36" s="32" t="n">
        <x:f>IF($A36=0,"",IF($I36&gt;0,$K36/$I36,0))</x:f>
        <x:v>1</x:v>
      </x:c>
      <x:c r="K36" s="31" t="n">
        <x:f>IF($A36=0,"",LET(direct,MIN($I36,$D36),surplus,MAX(0,$I36-direct),deficit,MAX(0,$D36-direct),charge,MIN(surplus,Assumptions!$B$10,direct,deficit),direct+charge))</x:f>
        <x:v>354.35487761400816</x:v>
      </x:c>
      <x:c r="L36" s="31" t="n">
        <x:f>IF($A36=0,"",LET(direct,MIN($I36,$D36),surplus,MAX(0,$I36-direct),deficit,MAX(0,$D36-direct),charge,MIN(surplus,Assumptions!$B$10,direct,deficit),surplus-charge))</x:f>
        <x:v>0</x:v>
      </x:c>
      <x:c r="M36" s="31" t="n">
        <x:f>IF($A36=0,"",LET(direct,MIN($I36,$D36),surplus,MAX(0,$I36-direct),deficit,MAX(0,$D36-direct),charge,MIN(surplus,Assumptions!$B$10,direct,deficit),deficit-charge))</x:f>
        <x:v>140.73180466776455</x:v>
      </x:c>
      <x:c r="N36" s="30" t="n">
        <x:f>IF($A36=0,"",$M36*Assumptions!$B$11*IF($A36=0,1,(1+Assumptions!$B$14)^($A36-1)))</x:f>
        <x:v>50.24125426639194</x:v>
      </x:c>
      <x:c r="O36" s="30" t="n">
        <x:f>IF($A36=0,"",$B36*Assumptions!$B$13)</x:f>
        <x:v>21.7</x:v>
      </x:c>
      <x:c r="P36" s="30" t="n">
        <x:f>IF($A36=0,"",$L36*Assumptions!$B$12)</x:f>
        <x:v>0</x:v>
      </x:c>
      <x:c r="Q36" s="30" t="n">
        <x:f>IF($A36=0,"",$N36+$O36-$P36)</x:f>
        <x:v>71.94125426639194</x:v>
      </x:c>
      <x:c r="R36" s="30" t="n">
        <x:f>IF($A36=0,"",$G36-$Q36)</x:f>
        <x:v>126.50469130820092</x:v>
      </x:c>
      <x:c r="S36" s="30" t="n">
        <x:f>IF($A36=0,"",SUM($R$17:R36))</x:f>
        <x:v>1975.8005484386185</x:v>
      </x:c>
      <x:c r="T36" s="30" t="n">
        <x:f>IF($A36=0,"",$S36-$H36)</x:f>
        <x:v>-3483.6994515613815</x:v>
      </x:c>
    </x:row>
    <x:row r="37">
      <x:c r="A37" s="40" t="n">
        <x:v>2</x:v>
      </x:c>
      <x:c r="B37" s="40" t="n">
        <x:v>30</x:v>
      </x:c>
      <x:c r="C37" s="40" t="n">
        <x:v>9</x:v>
      </x:c>
      <x:c r="D37" s="31" t="n">
        <x:f>INDEX(Assumptions!$D$24:$D$35,$C37)</x:f>
        <x:v>484.7338669519189</x:v>
      </x:c>
      <x:c r="E37" s="30" t="n">
        <x:f>$D37*Assumptions!$B$11*IF($A37=0,1,(1+Assumptions!$B$14)^($A37-1))</x:f>
        <x:v>173.04999050183505</x:v>
      </x:c>
      <x:c r="F37" s="30" t="n">
        <x:f>$B37*Assumptions!$B$13</x:f>
        <x:v>21</x:v>
      </x:c>
      <x:c r="G37" s="30" t="n">
        <x:f>$E37+$F37</x:f>
        <x:v>194.04999050183505</x:v>
      </x:c>
      <x:c r="H37" s="30" t="n">
        <x:f>IF($A37=0,"",Assumptions!$B$21)</x:f>
        <x:v>5459.5</x:v>
      </x:c>
      <x:c r="I37" s="31" t="n">
        <x:f>IF($A37=0,"",INDEX(Assumptions!$C$24:$C$35,$C37)*IF($A37=0,"",IF($A37=1,1-Assumptions!$B$16,(1-Assumptions!$B$16)*(1-Assumptions!$B$17)^($A37-1))))</x:f>
        <x:v>260.9167029291208</x:v>
      </x:c>
      <x:c r="J37" s="32" t="n">
        <x:f>IF($A37=0,"",IF($I37&gt;0,$K37/$I37,0))</x:f>
        <x:v>1</x:v>
      </x:c>
      <x:c r="K37" s="31" t="n">
        <x:f>IF($A37=0,"",LET(direct,MIN($I37,$D37),surplus,MAX(0,$I37-direct),deficit,MAX(0,$D37-direct),charge,MIN(surplus,Assumptions!$B$10,direct,deficit),direct+charge))</x:f>
        <x:v>260.9167029291208</x:v>
      </x:c>
      <x:c r="L37" s="31" t="n">
        <x:f>IF($A37=0,"",LET(direct,MIN($I37,$D37),surplus,MAX(0,$I37-direct),deficit,MAX(0,$D37-direct),charge,MIN(surplus,Assumptions!$B$10,direct,deficit),surplus-charge))</x:f>
        <x:v>0</x:v>
      </x:c>
      <x:c r="M37" s="31" t="n">
        <x:f>IF($A37=0,"",LET(direct,MIN($I37,$D37),surplus,MAX(0,$I37-direct),deficit,MAX(0,$D37-direct),charge,MIN(surplus,Assumptions!$B$10,direct,deficit),deficit-charge))</x:f>
        <x:v>223.81716402279812</x:v>
      </x:c>
      <x:c r="N37" s="30" t="n">
        <x:f>IF($A37=0,"",$M37*Assumptions!$B$11*IF($A37=0,1,(1+Assumptions!$B$14)^($A37-1)))</x:f>
        <x:v>79.90272755613893</x:v>
      </x:c>
      <x:c r="O37" s="30" t="n">
        <x:f>IF($A37=0,"",$B37*Assumptions!$B$13)</x:f>
        <x:v>21</x:v>
      </x:c>
      <x:c r="P37" s="30" t="n">
        <x:f>IF($A37=0,"",$L37*Assumptions!$B$12)</x:f>
        <x:v>0</x:v>
      </x:c>
      <x:c r="Q37" s="30" t="n">
        <x:f>IF($A37=0,"",$N37+$O37-$P37)</x:f>
        <x:v>100.90272755613893</x:v>
      </x:c>
      <x:c r="R37" s="30" t="n">
        <x:f>IF($A37=0,"",$G37-$Q37)</x:f>
        <x:v>93.14726294569613</x:v>
      </x:c>
      <x:c r="S37" s="30" t="n">
        <x:f>IF($A37=0,"",SUM($R$17:R37))</x:f>
        <x:v>2068.9478113843147</x:v>
      </x:c>
      <x:c r="T37" s="30" t="n">
        <x:f>IF($A37=0,"",$S37-$H37)</x:f>
        <x:v>-3390.5521886156853</x:v>
      </x:c>
    </x:row>
    <x:row r="38">
      <x:c r="A38" s="40" t="n">
        <x:v>2</x:v>
      </x:c>
      <x:c r="B38" s="40" t="n">
        <x:v>31</x:v>
      </x:c>
      <x:c r="C38" s="40" t="n">
        <x:v>10</x:v>
      </x:c>
      <x:c r="D38" s="31" t="n">
        <x:f>INDEX(Assumptions!$D$24:$D$35,$C38)</x:f>
        <x:v>965.136511636476</x:v>
      </x:c>
      <x:c r="E38" s="30" t="n">
        <x:f>$D38*Assumptions!$B$11*IF($A38=0,1,(1+Assumptions!$B$14)^($A38-1))</x:f>
        <x:v>344.55373465422196</x:v>
      </x:c>
      <x:c r="F38" s="30" t="n">
        <x:f>$B38*Assumptions!$B$13</x:f>
        <x:v>21.7</x:v>
      </x:c>
      <x:c r="G38" s="30" t="n">
        <x:f>$E38+$F38</x:f>
        <x:v>366.25373465422194</x:v>
      </x:c>
      <x:c r="H38" s="30" t="n">
        <x:f>IF($A38=0,"",Assumptions!$B$21)</x:f>
        <x:v>5459.5</x:v>
      </x:c>
      <x:c r="I38" s="31" t="n">
        <x:f>IF($A38=0,"",INDEX(Assumptions!$C$24:$C$35,$C38)*IF($A38=0,"",IF($A38=1,1-Assumptions!$B$16,(1-Assumptions!$B$16)*(1-Assumptions!$B$17)^($A38-1))))</x:f>
        <x:v>182.68344977841187</x:v>
      </x:c>
      <x:c r="J38" s="32" t="n">
        <x:f>IF($A38=0,"",IF($I38&gt;0,$K38/$I38,0))</x:f>
        <x:v>1</x:v>
      </x:c>
      <x:c r="K38" s="31" t="n">
        <x:f>IF($A38=0,"",LET(direct,MIN($I38,$D38),surplus,MAX(0,$I38-direct),deficit,MAX(0,$D38-direct),charge,MIN(surplus,Assumptions!$B$10,direct,deficit),direct+charge))</x:f>
        <x:v>182.68344977841187</x:v>
      </x:c>
      <x:c r="L38" s="31" t="n">
        <x:f>IF($A38=0,"",LET(direct,MIN($I38,$D38),surplus,MAX(0,$I38-direct),deficit,MAX(0,$D38-direct),charge,MIN(surplus,Assumptions!$B$10,direct,deficit),surplus-charge))</x:f>
        <x:v>0</x:v>
      </x:c>
      <x:c r="M38" s="31" t="n">
        <x:f>IF($A38=0,"",LET(direct,MIN($I38,$D38),surplus,MAX(0,$I38-direct),deficit,MAX(0,$D38-direct),charge,MIN(surplus,Assumptions!$B$10,direct,deficit),deficit-charge))</x:f>
        <x:v>782.4530618580642</x:v>
      </x:c>
      <x:c r="N38" s="30" t="n">
        <x:f>IF($A38=0,"",$M38*Assumptions!$B$11*IF($A38=0,1,(1+Assumptions!$B$14)^($A38-1)))</x:f>
        <x:v>279.3357430833289</x:v>
      </x:c>
      <x:c r="O38" s="30" t="n">
        <x:f>IF($A38=0,"",$B38*Assumptions!$B$13)</x:f>
        <x:v>21.7</x:v>
      </x:c>
      <x:c r="P38" s="30" t="n">
        <x:f>IF($A38=0,"",$L38*Assumptions!$B$12)</x:f>
        <x:v>0</x:v>
      </x:c>
      <x:c r="Q38" s="30" t="n">
        <x:f>IF($A38=0,"",$N38+$O38-$P38)</x:f>
        <x:v>301.0357430833289</x:v>
      </x:c>
      <x:c r="R38" s="30" t="n">
        <x:f>IF($A38=0,"",$G38-$Q38)</x:f>
        <x:v>65.21799157089305</x:v>
      </x:c>
      <x:c r="S38" s="30" t="n">
        <x:f>IF($A38=0,"",SUM($R$17:R38))</x:f>
        <x:v>2134.1658029552077</x:v>
      </x:c>
      <x:c r="T38" s="30" t="n">
        <x:f>IF($A38=0,"",$S38-$H38)</x:f>
        <x:v>-3325.3341970447923</x:v>
      </x:c>
    </x:row>
    <x:row r="39">
      <x:c r="A39" s="40" t="n">
        <x:v>2</x:v>
      </x:c>
      <x:c r="B39" s="40" t="n">
        <x:v>30</x:v>
      </x:c>
      <x:c r="C39" s="40" t="n">
        <x:v>11</x:v>
      </x:c>
      <x:c r="D39" s="31" t="n">
        <x:f>INDEX(Assumptions!$D$24:$D$35,$C39)</x:f>
        <x:v>948.3553735444794</x:v>
      </x:c>
      <x:c r="E39" s="30" t="n">
        <x:f>$D39*Assumptions!$B$11*IF($A39=0,1,(1+Assumptions!$B$14)^($A39-1))</x:f>
        <x:v>338.5628683553792</x:v>
      </x:c>
      <x:c r="F39" s="30" t="n">
        <x:f>$B39*Assumptions!$B$13</x:f>
        <x:v>21</x:v>
      </x:c>
      <x:c r="G39" s="30" t="n">
        <x:f>$E39+$F39</x:f>
        <x:v>359.5628683553792</x:v>
      </x:c>
      <x:c r="H39" s="30" t="n">
        <x:f>IF($A39=0,"",Assumptions!$B$21)</x:f>
        <x:v>5459.5</x:v>
      </x:c>
      <x:c r="I39" s="31" t="n">
        <x:f>IF($A39=0,"",INDEX(Assumptions!$C$24:$C$35,$C39)*IF($A39=0,"",IF($A39=1,1-Assumptions!$B$16,(1-Assumptions!$B$16)*(1-Assumptions!$B$17)^($A39-1))))</x:f>
        <x:v>108.46674688897245</x:v>
      </x:c>
      <x:c r="J39" s="32" t="n">
        <x:f>IF($A39=0,"",IF($I39&gt;0,$K39/$I39,0))</x:f>
        <x:v>1</x:v>
      </x:c>
      <x:c r="K39" s="31" t="n">
        <x:f>IF($A39=0,"",LET(direct,MIN($I39,$D39),surplus,MAX(0,$I39-direct),deficit,MAX(0,$D39-direct),charge,MIN(surplus,Assumptions!$B$10,direct,deficit),direct+charge))</x:f>
        <x:v>108.46674688897245</x:v>
      </x:c>
      <x:c r="L39" s="31" t="n">
        <x:f>IF($A39=0,"",LET(direct,MIN($I39,$D39),surplus,MAX(0,$I39-direct),deficit,MAX(0,$D39-direct),charge,MIN(surplus,Assumptions!$B$10,direct,deficit),surplus-charge))</x:f>
        <x:v>0</x:v>
      </x:c>
      <x:c r="M39" s="31" t="n">
        <x:f>IF($A39=0,"",LET(direct,MIN($I39,$D39),surplus,MAX(0,$I39-direct),deficit,MAX(0,$D39-direct),charge,MIN(surplus,Assumptions!$B$10,direct,deficit),deficit-charge))</x:f>
        <x:v>839.888626655507</x:v>
      </x:c>
      <x:c r="N39" s="30" t="n">
        <x:f>IF($A39=0,"",$M39*Assumptions!$B$11*IF($A39=0,1,(1+Assumptions!$B$14)^($A39-1)))</x:f>
        <x:v>299.84023971601596</x:v>
      </x:c>
      <x:c r="O39" s="30" t="n">
        <x:f>IF($A39=0,"",$B39*Assumptions!$B$13)</x:f>
        <x:v>21</x:v>
      </x:c>
      <x:c r="P39" s="30" t="n">
        <x:f>IF($A39=0,"",$L39*Assumptions!$B$12)</x:f>
        <x:v>0</x:v>
      </x:c>
      <x:c r="Q39" s="30" t="n">
        <x:f>IF($A39=0,"",$N39+$O39-$P39)</x:f>
        <x:v>320.84023971601596</x:v>
      </x:c>
      <x:c r="R39" s="30" t="n">
        <x:f>IF($A39=0,"",$G39-$Q39)</x:f>
        <x:v>38.72262863936322</x:v>
      </x:c>
      <x:c r="S39" s="30" t="n">
        <x:f>IF($A39=0,"",SUM($R$17:R39))</x:f>
        <x:v>2172.888431594571</x:v>
      </x:c>
      <x:c r="T39" s="30" t="n">
        <x:f>IF($A39=0,"",$S39-$H39)</x:f>
        <x:v>-3286.611568405429</x:v>
      </x:c>
    </x:row>
    <x:row r="40">
      <x:c r="A40" s="40" t="n">
        <x:v>2</x:v>
      </x:c>
      <x:c r="B40" s="40" t="n">
        <x:v>31</x:v>
      </x:c>
      <x:c r="C40" s="40" t="n">
        <x:v>12</x:v>
      </x:c>
      <x:c r="D40" s="31" t="n">
        <x:f>INDEX(Assumptions!$D$24:$D$35,$C40)</x:f>
        <x:v>928.0413642752205</x:v>
      </x:c>
      <x:c r="E40" s="30" t="n">
        <x:f>$D40*Assumptions!$B$11*IF($A40=0,1,(1+Assumptions!$B$14)^($A40-1))</x:f>
        <x:v>331.3107670462537</x:v>
      </x:c>
      <x:c r="F40" s="30" t="n">
        <x:f>$B40*Assumptions!$B$13</x:f>
        <x:v>21.7</x:v>
      </x:c>
      <x:c r="G40" s="30" t="n">
        <x:f>$E40+$F40</x:f>
        <x:v>353.0107670462537</x:v>
      </x:c>
      <x:c r="H40" s="30" t="n">
        <x:f>IF($A40=0,"",Assumptions!$B$21)</x:f>
        <x:v>5459.5</x:v>
      </x:c>
      <x:c r="I40" s="31" t="n">
        <x:f>IF($A40=0,"",INDEX(Assumptions!$C$24:$C$35,$C40)*IF($A40=0,"",IF($A40=1,1-Assumptions!$B$16,(1-Assumptions!$B$16)*(1-Assumptions!$B$17)^($A40-1))))</x:f>
        <x:v>79.97461029177212</x:v>
      </x:c>
      <x:c r="J40" s="32" t="n">
        <x:f>IF($A40=0,"",IF($I40&gt;0,$K40/$I40,0))</x:f>
        <x:v>1</x:v>
      </x:c>
      <x:c r="K40" s="31" t="n">
        <x:f>IF($A40=0,"",LET(direct,MIN($I40,$D40),surplus,MAX(0,$I40-direct),deficit,MAX(0,$D40-direct),charge,MIN(surplus,Assumptions!$B$10,direct,deficit),direct+charge))</x:f>
        <x:v>79.97461029177212</x:v>
      </x:c>
      <x:c r="L40" s="31" t="n">
        <x:f>IF($A40=0,"",LET(direct,MIN($I40,$D40),surplus,MAX(0,$I40-direct),deficit,MAX(0,$D40-direct),charge,MIN(surplus,Assumptions!$B$10,direct,deficit),surplus-charge))</x:f>
        <x:v>0</x:v>
      </x:c>
      <x:c r="M40" s="31" t="n">
        <x:f>IF($A40=0,"",LET(direct,MIN($I40,$D40),surplus,MAX(0,$I40-direct),deficit,MAX(0,$D40-direct),charge,MIN(surplus,Assumptions!$B$10,direct,deficit),deficit-charge))</x:f>
        <x:v>848.0667539834484</x:v>
      </x:c>
      <x:c r="N40" s="30" t="n">
        <x:f>IF($A40=0,"",$M40*Assumptions!$B$11*IF($A40=0,1,(1+Assumptions!$B$14)^($A40-1)))</x:f>
        <x:v>302.7598311720911</x:v>
      </x:c>
      <x:c r="O40" s="30" t="n">
        <x:f>IF($A40=0,"",$B40*Assumptions!$B$13)</x:f>
        <x:v>21.7</x:v>
      </x:c>
      <x:c r="P40" s="30" t="n">
        <x:f>IF($A40=0,"",$L40*Assumptions!$B$12)</x:f>
        <x:v>0</x:v>
      </x:c>
      <x:c r="Q40" s="30" t="n">
        <x:f>IF($A40=0,"",$N40+$O40-$P40)</x:f>
        <x:v>324.45983117209107</x:v>
      </x:c>
      <x:c r="R40" s="30" t="n">
        <x:f>IF($A40=0,"",$G40-$Q40)</x:f>
        <x:v>28.550935874162633</x:v>
      </x:c>
      <x:c r="S40" s="30" t="n">
        <x:f>IF($A40=0,"",SUM($R$17:R40))</x:f>
        <x:v>2201.4393674687335</x:v>
      </x:c>
      <x:c r="T40" s="30" t="n">
        <x:f>IF($A40=0,"",$S40-$H40)</x:f>
        <x:v>-3258.0606325312665</x:v>
      </x:c>
    </x:row>
    <x:row r="41">
      <x:c r="A41" s="40" t="n">
        <x:v>3</x:v>
      </x:c>
      <x:c r="B41" s="40" t="n">
        <x:v>31</x:v>
      </x:c>
      <x:c r="C41" s="40" t="n">
        <x:v>1</x:v>
      </x:c>
      <x:c r="D41" s="31" t="n">
        <x:f>INDEX(Assumptions!$D$24:$D$35,$C41)</x:f>
        <x:v>921.8588397150115</x:v>
      </x:c>
      <x:c r="E41" s="30" t="n">
        <x:f>$D41*Assumptions!$B$11*IF($A41=0,1,(1+Assumptions!$B$14)^($A41-1))</x:f>
        <x:v>335.6856778938243</x:v>
      </x:c>
      <x:c r="F41" s="30" t="n">
        <x:f>$B41*Assumptions!$B$13</x:f>
        <x:v>21.7</x:v>
      </x:c>
      <x:c r="G41" s="30" t="n">
        <x:f>$E41+$F41</x:f>
        <x:v>357.38567789382427</x:v>
      </x:c>
      <x:c r="H41" s="30" t="n">
        <x:f>IF($A41=0,"",Assumptions!$B$21)</x:f>
        <x:v>5459.5</x:v>
      </x:c>
      <x:c r="I41" s="31" t="n">
        <x:f>IF($A41=0,"",INDEX(Assumptions!$C$24:$C$35,$C41)*IF($A41=0,"",IF($A41=1,1-Assumptions!$B$16,(1-Assumptions!$B$16)*(1-Assumptions!$B$17)^($A41-1))))</x:f>
        <x:v>96.96032117658042</x:v>
      </x:c>
      <x:c r="J41" s="32" t="n">
        <x:f>IF($A41=0,"",IF($I41&gt;0,$K41/$I41,0))</x:f>
        <x:v>1</x:v>
      </x:c>
      <x:c r="K41" s="31" t="n">
        <x:f>IF($A41=0,"",LET(direct,MIN($I41,$D41),surplus,MAX(0,$I41-direct),deficit,MAX(0,$D41-direct),charge,MIN(surplus,Assumptions!$B$10,direct,deficit),direct+charge))</x:f>
        <x:v>96.96032117658042</x:v>
      </x:c>
      <x:c r="L41" s="31" t="n">
        <x:f>IF($A41=0,"",LET(direct,MIN($I41,$D41),surplus,MAX(0,$I41-direct),deficit,MAX(0,$D41-direct),charge,MIN(surplus,Assumptions!$B$10,direct,deficit),surplus-charge))</x:f>
        <x:v>0</x:v>
      </x:c>
      <x:c r="M41" s="31" t="n">
        <x:f>IF($A41=0,"",LET(direct,MIN($I41,$D41),surplus,MAX(0,$I41-direct),deficit,MAX(0,$D41-direct),charge,MIN(surplus,Assumptions!$B$10,direct,deficit),deficit-charge))</x:f>
        <x:v>824.8985185384311</x:v>
      </x:c>
      <x:c r="N41" s="30" t="n">
        <x:f>IF($A41=0,"",$M41*Assumptions!$B$11*IF($A41=0,1,(1+Assumptions!$B$14)^($A41-1)))</x:f>
        <x:v>300.3785465405843</x:v>
      </x:c>
      <x:c r="O41" s="30" t="n">
        <x:f>IF($A41=0,"",$B41*Assumptions!$B$13)</x:f>
        <x:v>21.7</x:v>
      </x:c>
      <x:c r="P41" s="30" t="n">
        <x:f>IF($A41=0,"",$L41*Assumptions!$B$12)</x:f>
        <x:v>0</x:v>
      </x:c>
      <x:c r="Q41" s="30" t="n">
        <x:f>IF($A41=0,"",$N41+$O41-$P41)</x:f>
        <x:v>322.0785465405843</x:v>
      </x:c>
      <x:c r="R41" s="30" t="n">
        <x:f>IF($A41=0,"",$G41-$Q41)</x:f>
        <x:v>35.30713135323998</x:v>
      </x:c>
      <x:c r="S41" s="30" t="n">
        <x:f>IF($A41=0,"",SUM($R$17:R41))</x:f>
        <x:v>2236.7464988219735</x:v>
      </x:c>
      <x:c r="T41" s="30" t="n">
        <x:f>IF($A41=0,"",$S41-$H41)</x:f>
        <x:v>-3222.7535011780265</x:v>
      </x:c>
    </x:row>
    <x:row r="42">
      <x:c r="A42" s="40" t="n">
        <x:v>3</x:v>
      </x:c>
      <x:c r="B42" s="40" t="n">
        <x:v>28</x:v>
      </x:c>
      <x:c r="C42" s="40" t="n">
        <x:v>2</x:v>
      </x:c>
      <x:c r="D42" s="31" t="n">
        <x:f>INDEX(Assumptions!$D$24:$D$35,$C42)</x:f>
        <x:v>923.6252753036425</x:v>
      </x:c>
      <x:c r="E42" s="30" t="n">
        <x:f>$D42*Assumptions!$B$11*IF($A42=0,1,(1+Assumptions!$B$14)^($A42-1))</x:f>
        <x:v>336.3289077490684</x:v>
      </x:c>
      <x:c r="F42" s="30" t="n">
        <x:f>$B42*Assumptions!$B$13</x:f>
        <x:v>19.599999999999998</x:v>
      </x:c>
      <x:c r="G42" s="30" t="n">
        <x:f>$E42+$F42</x:f>
        <x:v>355.9289077490684</x:v>
      </x:c>
      <x:c r="H42" s="30" t="n">
        <x:f>IF($A42=0,"",Assumptions!$B$21)</x:f>
        <x:v>5459.5</x:v>
      </x:c>
      <x:c r="I42" s="31" t="n">
        <x:f>IF($A42=0,"",INDEX(Assumptions!$C$24:$C$35,$C42)*IF($A42=0,"",IF($A42=1,1-Assumptions!$B$16,(1-Assumptions!$B$16)*(1-Assumptions!$B$17)^($A42-1))))</x:f>
        <x:v>153.28607111120192</x:v>
      </x:c>
      <x:c r="J42" s="32" t="n">
        <x:f>IF($A42=0,"",IF($I42&gt;0,$K42/$I42,0))</x:f>
        <x:v>1</x:v>
      </x:c>
      <x:c r="K42" s="31" t="n">
        <x:f>IF($A42=0,"",LET(direct,MIN($I42,$D42),surplus,MAX(0,$I42-direct),deficit,MAX(0,$D42-direct),charge,MIN(surplus,Assumptions!$B$10,direct,deficit),direct+charge))</x:f>
        <x:v>153.28607111120192</x:v>
      </x:c>
      <x:c r="L42" s="31" t="n">
        <x:f>IF($A42=0,"",LET(direct,MIN($I42,$D42),surplus,MAX(0,$I42-direct),deficit,MAX(0,$D42-direct),charge,MIN(surplus,Assumptions!$B$10,direct,deficit),surplus-charge))</x:f>
        <x:v>0</x:v>
      </x:c>
      <x:c r="M42" s="31" t="n">
        <x:f>IF($A42=0,"",LET(direct,MIN($I42,$D42),surplus,MAX(0,$I42-direct),deficit,MAX(0,$D42-direct),charge,MIN(surplus,Assumptions!$B$10,direct,deficit),deficit-charge))</x:f>
        <x:v>770.3392041924405</x:v>
      </x:c>
      <x:c r="N42" s="30" t="n">
        <x:f>IF($A42=0,"",$M42*Assumptions!$B$11*IF($A42=0,1,(1+Assumptions!$B$14)^($A42-1)))</x:f>
        <x:v>280.5113178146353</x:v>
      </x:c>
      <x:c r="O42" s="30" t="n">
        <x:f>IF($A42=0,"",$B42*Assumptions!$B$13)</x:f>
        <x:v>19.599999999999998</x:v>
      </x:c>
      <x:c r="P42" s="30" t="n">
        <x:f>IF($A42=0,"",$L42*Assumptions!$B$12)</x:f>
        <x:v>0</x:v>
      </x:c>
      <x:c r="Q42" s="30" t="n">
        <x:f>IF($A42=0,"",$N42+$O42-$P42)</x:f>
        <x:v>300.1113178146353</x:v>
      </x:c>
      <x:c r="R42" s="30" t="n">
        <x:f>IF($A42=0,"",$G42-$Q42)</x:f>
        <x:v>55.8175899344331</x:v>
      </x:c>
      <x:c r="S42" s="30" t="n">
        <x:f>IF($A42=0,"",SUM($R$17:R42))</x:f>
        <x:v>2292.564088756407</x:v>
      </x:c>
      <x:c r="T42" s="30" t="n">
        <x:f>IF($A42=0,"",$S42-$H42)</x:f>
        <x:v>-3166.935911243593</x:v>
      </x:c>
    </x:row>
    <x:row r="43">
      <x:c r="A43" s="40" t="n">
        <x:v>3</x:v>
      </x:c>
      <x:c r="B43" s="40" t="n">
        <x:v>31</x:v>
      </x:c>
      <x:c r="C43" s="40" t="n">
        <x:v>3</x:v>
      </x:c>
      <x:c r="D43" s="31" t="n">
        <x:f>INDEX(Assumptions!$D$24:$D$35,$C43)</x:f>
        <x:v>907.7273550059616</x:v>
      </x:c>
      <x:c r="E43" s="30" t="n">
        <x:f>$D43*Assumptions!$B$11*IF($A43=0,1,(1+Assumptions!$B$14)^($A43-1))</x:f>
        <x:v>330.53983905187084</x:v>
      </x:c>
      <x:c r="F43" s="30" t="n">
        <x:f>$B43*Assumptions!$B$13</x:f>
        <x:v>21.7</x:v>
      </x:c>
      <x:c r="G43" s="30" t="n">
        <x:f>$E43+$F43</x:f>
        <x:v>352.23983905187083</x:v>
      </x:c>
      <x:c r="H43" s="30" t="n">
        <x:f>IF($A43=0,"",Assumptions!$B$21)</x:f>
        <x:v>5459.5</x:v>
      </x:c>
      <x:c r="I43" s="31" t="n">
        <x:f>IF($A43=0,"",INDEX(Assumptions!$C$24:$C$35,$C43)*IF($A43=0,"",IF($A43=1,1-Assumptions!$B$16,(1-Assumptions!$B$16)*(1-Assumptions!$B$17)^($A43-1))))</x:f>
        <x:v>270.5824812397313</x:v>
      </x:c>
      <x:c r="J43" s="32" t="n">
        <x:f>IF($A43=0,"",IF($I43&gt;0,$K43/$I43,0))</x:f>
        <x:v>1</x:v>
      </x:c>
      <x:c r="K43" s="31" t="n">
        <x:f>IF($A43=0,"",LET(direct,MIN($I43,$D43),surplus,MAX(0,$I43-direct),deficit,MAX(0,$D43-direct),charge,MIN(surplus,Assumptions!$B$10,direct,deficit),direct+charge))</x:f>
        <x:v>270.5824812397313</x:v>
      </x:c>
      <x:c r="L43" s="31" t="n">
        <x:f>IF($A43=0,"",LET(direct,MIN($I43,$D43),surplus,MAX(0,$I43-direct),deficit,MAX(0,$D43-direct),charge,MIN(surplus,Assumptions!$B$10,direct,deficit),surplus-charge))</x:f>
        <x:v>0</x:v>
      </x:c>
      <x:c r="M43" s="31" t="n">
        <x:f>IF($A43=0,"",LET(direct,MIN($I43,$D43),surplus,MAX(0,$I43-direct),deficit,MAX(0,$D43-direct),charge,MIN(surplus,Assumptions!$B$10,direct,deficit),deficit-charge))</x:f>
        <x:v>637.1448737662304</x:v>
      </x:c>
      <x:c r="N43" s="30" t="n">
        <x:f>IF($A43=0,"",$M43*Assumptions!$B$11*IF($A43=0,1,(1+Assumptions!$B$14)^($A43-1)))</x:f>
        <x:v>232.00993433323512</x:v>
      </x:c>
      <x:c r="O43" s="30" t="n">
        <x:f>IF($A43=0,"",$B43*Assumptions!$B$13)</x:f>
        <x:v>21.7</x:v>
      </x:c>
      <x:c r="P43" s="30" t="n">
        <x:f>IF($A43=0,"",$L43*Assumptions!$B$12)</x:f>
        <x:v>0</x:v>
      </x:c>
      <x:c r="Q43" s="30" t="n">
        <x:f>IF($A43=0,"",$N43+$O43-$P43)</x:f>
        <x:v>253.7099343332351</x:v>
      </x:c>
      <x:c r="R43" s="30" t="n">
        <x:f>IF($A43=0,"",$G43-$Q43)</x:f>
        <x:v>98.52990471863572</x:v>
      </x:c>
      <x:c r="S43" s="30" t="n">
        <x:f>IF($A43=0,"",SUM($R$17:R43))</x:f>
        <x:v>2391.0939934750427</x:v>
      </x:c>
      <x:c r="T43" s="30" t="n">
        <x:f>IF($A43=0,"",$S43-$H43)</x:f>
        <x:v>-3068.4060065249573</x:v>
      </x:c>
    </x:row>
    <x:row r="44">
      <x:c r="A44" s="40" t="n">
        <x:v>3</x:v>
      </x:c>
      <x:c r="B44" s="40" t="n">
        <x:v>30</x:v>
      </x:c>
      <x:c r="C44" s="40" t="n">
        <x:v>4</x:v>
      </x:c>
      <x:c r="D44" s="31" t="n">
        <x:f>INDEX(Assumptions!$D$24:$D$35,$C44)</x:f>
        <x:v>951.0050269274262</x:v>
      </x:c>
      <x:c r="E44" s="30" t="n">
        <x:f>$D44*Assumptions!$B$11*IF($A44=0,1,(1+Assumptions!$B$14)^($A44-1))</x:f>
        <x:v>346.29897050535294</x:v>
      </x:c>
      <x:c r="F44" s="30" t="n">
        <x:f>$B44*Assumptions!$B$13</x:f>
        <x:v>21</x:v>
      </x:c>
      <x:c r="G44" s="30" t="n">
        <x:f>$E44+$F44</x:f>
        <x:v>367.29897050535294</x:v>
      </x:c>
      <x:c r="H44" s="30" t="n">
        <x:f>IF($A44=0,"",Assumptions!$B$21)</x:f>
        <x:v>5459.5</x:v>
      </x:c>
      <x:c r="I44" s="31" t="n">
        <x:f>IF($A44=0,"",INDEX(Assumptions!$C$24:$C$35,$C44)*IF($A44=0,"",IF($A44=1,1-Assumptions!$B$16,(1-Assumptions!$B$16)*(1-Assumptions!$B$17)^($A44-1))))</x:f>
        <x:v>360.3342204472282</x:v>
      </x:c>
      <x:c r="J44" s="32" t="n">
        <x:f>IF($A44=0,"",IF($I44&gt;0,$K44/$I44,0))</x:f>
        <x:v>1</x:v>
      </x:c>
      <x:c r="K44" s="31" t="n">
        <x:f>IF($A44=0,"",LET(direct,MIN($I44,$D44),surplus,MAX(0,$I44-direct),deficit,MAX(0,$D44-direct),charge,MIN(surplus,Assumptions!$B$10,direct,deficit),direct+charge))</x:f>
        <x:v>360.3342204472282</x:v>
      </x:c>
      <x:c r="L44" s="31" t="n">
        <x:f>IF($A44=0,"",LET(direct,MIN($I44,$D44),surplus,MAX(0,$I44-direct),deficit,MAX(0,$D44-direct),charge,MIN(surplus,Assumptions!$B$10,direct,deficit),surplus-charge))</x:f>
        <x:v>0</x:v>
      </x:c>
      <x:c r="M44" s="31" t="n">
        <x:f>IF($A44=0,"",LET(direct,MIN($I44,$D44),surplus,MAX(0,$I44-direct),deficit,MAX(0,$D44-direct),charge,MIN(surplus,Assumptions!$B$10,direct,deficit),deficit-charge))</x:f>
        <x:v>590.670806480198</x:v>
      </x:c>
      <x:c r="N44" s="30" t="n">
        <x:f>IF($A44=0,"",$M44*Assumptions!$B$11*IF($A44=0,1,(1+Assumptions!$B$14)^($A44-1)))</x:f>
        <x:v>215.0868674716993</x:v>
      </x:c>
      <x:c r="O44" s="30" t="n">
        <x:f>IF($A44=0,"",$B44*Assumptions!$B$13)</x:f>
        <x:v>21</x:v>
      </x:c>
      <x:c r="P44" s="30" t="n">
        <x:f>IF($A44=0,"",$L44*Assumptions!$B$12)</x:f>
        <x:v>0</x:v>
      </x:c>
      <x:c r="Q44" s="30" t="n">
        <x:f>IF($A44=0,"",$N44+$O44-$P44)</x:f>
        <x:v>236.0868674716993</x:v>
      </x:c>
      <x:c r="R44" s="30" t="n">
        <x:f>IF($A44=0,"",$G44-$Q44)</x:f>
        <x:v>131.21210303365365</x:v>
      </x:c>
      <x:c r="S44" s="30" t="n">
        <x:f>IF($A44=0,"",SUM($R$17:R44))</x:f>
        <x:v>2522.306096508696</x:v>
      </x:c>
      <x:c r="T44" s="30" t="n">
        <x:f>IF($A44=0,"",$S44-$H44)</x:f>
        <x:v>-2937.193903491304</x:v>
      </x:c>
    </x:row>
    <x:row r="45">
      <x:c r="A45" s="40" t="n">
        <x:v>3</x:v>
      </x:c>
      <x:c r="B45" s="40" t="n">
        <x:v>31</x:v>
      </x:c>
      <x:c r="C45" s="40" t="n">
        <x:v>5</x:v>
      </x:c>
      <x:c r="D45" s="31" t="n">
        <x:f>INDEX(Assumptions!$D$24:$D$35,$C45)</x:f>
        <x:v>480.47094299256736</x:v>
      </x:c>
      <x:c r="E45" s="30" t="n">
        <x:f>$D45*Assumptions!$B$11*IF($A45=0,1,(1+Assumptions!$B$14)^($A45-1))</x:f>
        <x:v>174.95868918131347</x:v>
      </x:c>
      <x:c r="F45" s="30" t="n">
        <x:f>$B45*Assumptions!$B$13</x:f>
        <x:v>21.7</x:v>
      </x:c>
      <x:c r="G45" s="30" t="n">
        <x:f>$E45+$F45</x:f>
        <x:v>196.65868918131346</x:v>
      </x:c>
      <x:c r="H45" s="30" t="n">
        <x:f>IF($A45=0,"",Assumptions!$B$21)</x:f>
        <x:v>5459.5</x:v>
      </x:c>
      <x:c r="I45" s="31" t="n">
        <x:f>IF($A45=0,"",INDEX(Assumptions!$C$24:$C$35,$C45)*IF($A45=0,"",IF($A45=1,1-Assumptions!$B$16,(1-Assumptions!$B$16)*(1-Assumptions!$B$17)^($A45-1))))</x:f>
        <x:v>399.21414211805796</x:v>
      </x:c>
      <x:c r="J45" s="32" t="n">
        <x:f>IF($A45=0,"",IF($I45&gt;0,$K45/$I45,0))</x:f>
        <x:v>1</x:v>
      </x:c>
      <x:c r="K45" s="31" t="n">
        <x:f>IF($A45=0,"",LET(direct,MIN($I45,$D45),surplus,MAX(0,$I45-direct),deficit,MAX(0,$D45-direct),charge,MIN(surplus,Assumptions!$B$10,direct,deficit),direct+charge))</x:f>
        <x:v>399.21414211805796</x:v>
      </x:c>
      <x:c r="L45" s="31" t="n">
        <x:f>IF($A45=0,"",LET(direct,MIN($I45,$D45),surplus,MAX(0,$I45-direct),deficit,MAX(0,$D45-direct),charge,MIN(surplus,Assumptions!$B$10,direct,deficit),surplus-charge))</x:f>
        <x:v>0</x:v>
      </x:c>
      <x:c r="M45" s="31" t="n">
        <x:f>IF($A45=0,"",LET(direct,MIN($I45,$D45),surplus,MAX(0,$I45-direct),deficit,MAX(0,$D45-direct),charge,MIN(surplus,Assumptions!$B$10,direct,deficit),deficit-charge))</x:f>
        <x:v>81.2568008745094</x:v>
      </x:c>
      <x:c r="N45" s="30" t="n">
        <x:f>IF($A45=0,"",$M45*Assumptions!$B$11*IF($A45=0,1,(1+Assumptions!$B$14)^($A45-1)))</x:f>
        <x:v>29.58885147044385</x:v>
      </x:c>
      <x:c r="O45" s="30" t="n">
        <x:f>IF($A45=0,"",$B45*Assumptions!$B$13)</x:f>
        <x:v>21.7</x:v>
      </x:c>
      <x:c r="P45" s="30" t="n">
        <x:f>IF($A45=0,"",$L45*Assumptions!$B$12)</x:f>
        <x:v>0</x:v>
      </x:c>
      <x:c r="Q45" s="30" t="n">
        <x:f>IF($A45=0,"",$N45+$O45-$P45)</x:f>
        <x:v>51.288851470443845</x:v>
      </x:c>
      <x:c r="R45" s="30" t="n">
        <x:f>IF($A45=0,"",$G45-$Q45)</x:f>
        <x:v>145.3698377108696</x:v>
      </x:c>
      <x:c r="S45" s="30" t="n">
        <x:f>IF($A45=0,"",SUM($R$17:R45))</x:f>
        <x:v>2667.6759342195655</x:v>
      </x:c>
      <x:c r="T45" s="30" t="n">
        <x:f>IF($A45=0,"",$S45-$H45)</x:f>
        <x:v>-2791.8240657804345</x:v>
      </x:c>
    </x:row>
    <x:row r="46">
      <x:c r="A46" s="40" t="n">
        <x:v>3</x:v>
      </x:c>
      <x:c r="B46" s="40" t="n">
        <x:v>30</x:v>
      </x:c>
      <x:c r="C46" s="40" t="n">
        <x:v>6</x:v>
      </x:c>
      <x:c r="D46" s="31" t="n">
        <x:f>INDEX(Assumptions!$D$24:$D$35,$C46)</x:f>
        <x:v>491.73724202799656</x:v>
      </x:c>
      <x:c r="E46" s="30" t="n">
        <x:f>$D46*Assumptions!$B$11*IF($A46=0,1,(1+Assumptions!$B$14)^($A46-1))</x:f>
        <x:v>179.06119931207465</x:v>
      </x:c>
      <x:c r="F46" s="30" t="n">
        <x:f>$B46*Assumptions!$B$13</x:f>
        <x:v>21</x:v>
      </x:c>
      <x:c r="G46" s="30" t="n">
        <x:f>$E46+$F46</x:f>
        <x:v>200.06119931207465</x:v>
      </x:c>
      <x:c r="H46" s="30" t="n">
        <x:f>IF($A46=0,"",Assumptions!$B$21)</x:f>
        <x:v>5459.5</x:v>
      </x:c>
      <x:c r="I46" s="31" t="n">
        <x:f>IF($A46=0,"",INDEX(Assumptions!$C$24:$C$35,$C46)*IF($A46=0,"",IF($A46=1,1-Assumptions!$B$16,(1-Assumptions!$B$16)*(1-Assumptions!$B$17)^($A46-1))))</x:f>
        <x:v>409.3562897733369</x:v>
      </x:c>
      <x:c r="J46" s="32" t="n">
        <x:f>IF($A46=0,"",IF($I46&gt;0,$K46/$I46,0))</x:f>
        <x:v>1</x:v>
      </x:c>
      <x:c r="K46" s="31" t="n">
        <x:f>IF($A46=0,"",LET(direct,MIN($I46,$D46),surplus,MAX(0,$I46-direct),deficit,MAX(0,$D46-direct),charge,MIN(surplus,Assumptions!$B$10,direct,deficit),direct+charge))</x:f>
        <x:v>409.3562897733369</x:v>
      </x:c>
      <x:c r="L46" s="31" t="n">
        <x:f>IF($A46=0,"",LET(direct,MIN($I46,$D46),surplus,MAX(0,$I46-direct),deficit,MAX(0,$D46-direct),charge,MIN(surplus,Assumptions!$B$10,direct,deficit),surplus-charge))</x:f>
        <x:v>0</x:v>
      </x:c>
      <x:c r="M46" s="31" t="n">
        <x:f>IF($A46=0,"",LET(direct,MIN($I46,$D46),surplus,MAX(0,$I46-direct),deficit,MAX(0,$D46-direct),charge,MIN(surplus,Assumptions!$B$10,direct,deficit),deficit-charge))</x:f>
        <x:v>82.38095225465963</x:v>
      </x:c>
      <x:c r="N46" s="30" t="n">
        <x:f>IF($A46=0,"",$M46*Assumptions!$B$11*IF($A46=0,1,(1+Assumptions!$B$14)^($A46-1)))</x:f>
        <x:v>29.998199954011756</x:v>
      </x:c>
      <x:c r="O46" s="30" t="n">
        <x:f>IF($A46=0,"",$B46*Assumptions!$B$13)</x:f>
        <x:v>21</x:v>
      </x:c>
      <x:c r="P46" s="30" t="n">
        <x:f>IF($A46=0,"",$L46*Assumptions!$B$12)</x:f>
        <x:v>0</x:v>
      </x:c>
      <x:c r="Q46" s="30" t="n">
        <x:f>IF($A46=0,"",$N46+$O46-$P46)</x:f>
        <x:v>50.99819995401175</x:v>
      </x:c>
      <x:c r="R46" s="30" t="n">
        <x:f>IF($A46=0,"",$G46-$Q46)</x:f>
        <x:v>149.06299935806288</x:v>
      </x:c>
      <x:c r="S46" s="30" t="n">
        <x:f>IF($A46=0,"",SUM($R$17:R46))</x:f>
        <x:v>2816.7389335776284</x:v>
      </x:c>
      <x:c r="T46" s="30" t="n">
        <x:f>IF($A46=0,"",$S46-$H46)</x:f>
        <x:v>-2642.7610664223716</x:v>
      </x:c>
    </x:row>
    <x:row r="47">
      <x:c r="A47" s="40" t="n">
        <x:v>3</x:v>
      </x:c>
      <x:c r="B47" s="40" t="n">
        <x:v>31</x:v>
      </x:c>
      <x:c r="C47" s="40" t="n">
        <x:v>7</x:v>
      </x:c>
      <x:c r="D47" s="31" t="n">
        <x:f>INDEX(Assumptions!$D$24:$D$35,$C47)</x:f>
        <x:v>504.2215193375261</x:v>
      </x:c>
      <x:c r="E47" s="30" t="n">
        <x:f>$D47*Assumptions!$B$11*IF($A47=0,1,(1+Assumptions!$B$14)^($A47-1))</x:f>
        <x:v>183.60722405156673</x:v>
      </x:c>
      <x:c r="F47" s="30" t="n">
        <x:f>$B47*Assumptions!$B$13</x:f>
        <x:v>21.7</x:v>
      </x:c>
      <x:c r="G47" s="30" t="n">
        <x:f>$E47+$F47</x:f>
        <x:v>205.30722405156672</x:v>
      </x:c>
      <x:c r="H47" s="30" t="n">
        <x:f>IF($A47=0,"",Assumptions!$B$21)</x:f>
        <x:v>5459.5</x:v>
      </x:c>
      <x:c r="I47" s="31" t="n">
        <x:f>IF($A47=0,"",INDEX(Assumptions!$C$24:$C$35,$C47)*IF($A47=0,"",IF($A47=1,1-Assumptions!$B$16,(1-Assumptions!$B$16)*(1-Assumptions!$B$17)^($A47-1))))</x:f>
        <x:v>422.98253758846613</x:v>
      </x:c>
      <x:c r="J47" s="32" t="n">
        <x:f>IF($A47=0,"",IF($I47&gt;0,$K47/$I47,0))</x:f>
        <x:v>1</x:v>
      </x:c>
      <x:c r="K47" s="31" t="n">
        <x:f>IF($A47=0,"",LET(direct,MIN($I47,$D47),surplus,MAX(0,$I47-direct),deficit,MAX(0,$D47-direct),charge,MIN(surplus,Assumptions!$B$10,direct,deficit),direct+charge))</x:f>
        <x:v>422.98253758846613</x:v>
      </x:c>
      <x:c r="L47" s="31" t="n">
        <x:f>IF($A47=0,"",LET(direct,MIN($I47,$D47),surplus,MAX(0,$I47-direct),deficit,MAX(0,$D47-direct),charge,MIN(surplus,Assumptions!$B$10,direct,deficit),surplus-charge))</x:f>
        <x:v>0</x:v>
      </x:c>
      <x:c r="M47" s="31" t="n">
        <x:f>IF($A47=0,"",LET(direct,MIN($I47,$D47),surplus,MAX(0,$I47-direct),deficit,MAX(0,$D47-direct),charge,MIN(surplus,Assumptions!$B$10,direct,deficit),deficit-charge))</x:f>
        <x:v>81.23898174905997</x:v>
      </x:c>
      <x:c r="N47" s="30" t="n">
        <x:f>IF($A47=0,"",$M47*Assumptions!$B$11*IF($A47=0,1,(1+Assumptions!$B$14)^($A47-1)))</x:f>
        <x:v>29.582362814102698</x:v>
      </x:c>
      <x:c r="O47" s="30" t="n">
        <x:f>IF($A47=0,"",$B47*Assumptions!$B$13)</x:f>
        <x:v>21.7</x:v>
      </x:c>
      <x:c r="P47" s="30" t="n">
        <x:f>IF($A47=0,"",$L47*Assumptions!$B$12)</x:f>
        <x:v>0</x:v>
      </x:c>
      <x:c r="Q47" s="30" t="n">
        <x:f>IF($A47=0,"",$N47+$O47-$P47)</x:f>
        <x:v>51.2823628141027</x:v>
      </x:c>
      <x:c r="R47" s="30" t="n">
        <x:f>IF($A47=0,"",$G47-$Q47)</x:f>
        <x:v>154.02486123746402</x:v>
      </x:c>
      <x:c r="S47" s="30" t="n">
        <x:f>IF($A47=0,"",SUM($R$17:R47))</x:f>
        <x:v>2970.7637948150923</x:v>
      </x:c>
      <x:c r="T47" s="30" t="n">
        <x:f>IF($A47=0,"",$S47-$H47)</x:f>
        <x:v>-2488.7362051849077</x:v>
      </x:c>
    </x:row>
    <x:row r="48">
      <x:c r="A48" s="40" t="n">
        <x:v>3</x:v>
      </x:c>
      <x:c r="B48" s="40" t="n">
        <x:v>31</x:v>
      </x:c>
      <x:c r="C48" s="40" t="n">
        <x:v>8</x:v>
      </x:c>
      <x:c r="D48" s="31" t="n">
        <x:f>INDEX(Assumptions!$D$24:$D$35,$C48)</x:f>
        <x:v>495.0866822817727</x:v>
      </x:c>
      <x:c r="E48" s="30" t="n">
        <x:f>$D48*Assumptions!$B$11*IF($A48=0,1,(1+Assumptions!$B$14)^($A48-1))</x:f>
        <x:v>180.2808644860847</x:v>
      </x:c>
      <x:c r="F48" s="30" t="n">
        <x:f>$B48*Assumptions!$B$13</x:f>
        <x:v>21.7</x:v>
      </x:c>
      <x:c r="G48" s="30" t="n">
        <x:f>$E48+$F48</x:f>
        <x:v>201.9808644860847</x:v>
      </x:c>
      <x:c r="H48" s="30" t="n">
        <x:f>IF($A48=0,"",Assumptions!$B$21)</x:f>
        <x:v>5459.5</x:v>
      </x:c>
      <x:c r="I48" s="31" t="n">
        <x:f>IF($A48=0,"",INDEX(Assumptions!$C$24:$C$35,$C48)*IF($A48=0,"",IF($A48=1,1-Assumptions!$B$16,(1-Assumptions!$B$16)*(1-Assumptions!$B$17)^($A48-1))))</x:f>
        <x:v>352.93745810355216</x:v>
      </x:c>
      <x:c r="J48" s="32" t="n">
        <x:f>IF($A48=0,"",IF($I48&gt;0,$K48/$I48,0))</x:f>
        <x:v>1</x:v>
      </x:c>
      <x:c r="K48" s="31" t="n">
        <x:f>IF($A48=0,"",LET(direct,MIN($I48,$D48),surplus,MAX(0,$I48-direct),deficit,MAX(0,$D48-direct),charge,MIN(surplus,Assumptions!$B$10,direct,deficit),direct+charge))</x:f>
        <x:v>352.93745810355216</x:v>
      </x:c>
      <x:c r="L48" s="31" t="n">
        <x:f>IF($A48=0,"",LET(direct,MIN($I48,$D48),surplus,MAX(0,$I48-direct),deficit,MAX(0,$D48-direct),charge,MIN(surplus,Assumptions!$B$10,direct,deficit),surplus-charge))</x:f>
        <x:v>0</x:v>
      </x:c>
      <x:c r="M48" s="31" t="n">
        <x:f>IF($A48=0,"",LET(direct,MIN($I48,$D48),surplus,MAX(0,$I48-direct),deficit,MAX(0,$D48-direct),charge,MIN(surplus,Assumptions!$B$10,direct,deficit),deficit-charge))</x:f>
        <x:v>142.14922417822055</x:v>
      </x:c>
      <x:c r="N48" s="30" t="n">
        <x:f>IF($A48=0,"",$M48*Assumptions!$B$11*IF($A48=0,1,(1+Assumptions!$B$14)^($A48-1)))</x:f>
        <x:v>51.762218492257226</x:v>
      </x:c>
      <x:c r="O48" s="30" t="n">
        <x:f>IF($A48=0,"",$B48*Assumptions!$B$13)</x:f>
        <x:v>21.7</x:v>
      </x:c>
      <x:c r="P48" s="30" t="n">
        <x:f>IF($A48=0,"",$L48*Assumptions!$B$12)</x:f>
        <x:v>0</x:v>
      </x:c>
      <x:c r="Q48" s="30" t="n">
        <x:f>IF($A48=0,"",$N48+$O48-$P48)</x:f>
        <x:v>73.46221849225722</x:v>
      </x:c>
      <x:c r="R48" s="30" t="n">
        <x:f>IF($A48=0,"",$G48-$Q48)</x:f>
        <x:v>128.51864599382748</x:v>
      </x:c>
      <x:c r="S48" s="30" t="n">
        <x:f>IF($A48=0,"",SUM($R$17:R48))</x:f>
        <x:v>3099.28244080892</x:v>
      </x:c>
      <x:c r="T48" s="30" t="n">
        <x:f>IF($A48=0,"",$S48-$H48)</x:f>
        <x:v>-2360.21755919108</x:v>
      </x:c>
    </x:row>
    <x:row r="49">
      <x:c r="A49" s="40" t="n">
        <x:v>3</x:v>
      </x:c>
      <x:c r="B49" s="40" t="n">
        <x:v>30</x:v>
      </x:c>
      <x:c r="C49" s="40" t="n">
        <x:v>9</x:v>
      </x:c>
      <x:c r="D49" s="31" t="n">
        <x:f>INDEX(Assumptions!$D$24:$D$35,$C49)</x:f>
        <x:v>484.7338669519189</x:v>
      </x:c>
      <x:c r="E49" s="30" t="n">
        <x:f>$D49*Assumptions!$B$11*IF($A49=0,1,(1+Assumptions!$B$14)^($A49-1))</x:f>
        <x:v>176.51099031187175</x:v>
      </x:c>
      <x:c r="F49" s="30" t="n">
        <x:f>$B49*Assumptions!$B$13</x:f>
        <x:v>21</x:v>
      </x:c>
      <x:c r="G49" s="30" t="n">
        <x:f>$E49+$F49</x:f>
        <x:v>197.51099031187175</x:v>
      </x:c>
      <x:c r="H49" s="30" t="n">
        <x:f>IF($A49=0,"",Assumptions!$B$21)</x:f>
        <x:v>5459.5</x:v>
      </x:c>
      <x:c r="I49" s="31" t="n">
        <x:f>IF($A49=0,"",INDEX(Assumptions!$C$24:$C$35,$C49)*IF($A49=0,"",IF($A49=1,1-Assumptions!$B$16,(1-Assumptions!$B$16)*(1-Assumptions!$B$17)^($A49-1))))</x:f>
        <x:v>259.8730361174043</x:v>
      </x:c>
      <x:c r="J49" s="32" t="n">
        <x:f>IF($A49=0,"",IF($I49&gt;0,$K49/$I49,0))</x:f>
        <x:v>1</x:v>
      </x:c>
      <x:c r="K49" s="31" t="n">
        <x:f>IF($A49=0,"",LET(direct,MIN($I49,$D49),surplus,MAX(0,$I49-direct),deficit,MAX(0,$D49-direct),charge,MIN(surplus,Assumptions!$B$10,direct,deficit),direct+charge))</x:f>
        <x:v>259.8730361174043</x:v>
      </x:c>
      <x:c r="L49" s="31" t="n">
        <x:f>IF($A49=0,"",LET(direct,MIN($I49,$D49),surplus,MAX(0,$I49-direct),deficit,MAX(0,$D49-direct),charge,MIN(surplus,Assumptions!$B$10,direct,deficit),surplus-charge))</x:f>
        <x:v>0</x:v>
      </x:c>
      <x:c r="M49" s="31" t="n">
        <x:f>IF($A49=0,"",LET(direct,MIN($I49,$D49),surplus,MAX(0,$I49-direct),deficit,MAX(0,$D49-direct),charge,MIN(surplus,Assumptions!$B$10,direct,deficit),deficit-charge))</x:f>
        <x:v>224.86083083451462</x:v>
      </x:c>
      <x:c r="N49" s="30" t="n">
        <x:f>IF($A49=0,"",$M49*Assumptions!$B$11*IF($A49=0,1,(1+Assumptions!$B$14)^($A49-1)))</x:f>
        <x:v>81.88082294008015</x:v>
      </x:c>
      <x:c r="O49" s="30" t="n">
        <x:f>IF($A49=0,"",$B49*Assumptions!$B$13)</x:f>
        <x:v>21</x:v>
      </x:c>
      <x:c r="P49" s="30" t="n">
        <x:f>IF($A49=0,"",$L49*Assumptions!$B$12)</x:f>
        <x:v>0</x:v>
      </x:c>
      <x:c r="Q49" s="30" t="n">
        <x:f>IF($A49=0,"",$N49+$O49-$P49)</x:f>
        <x:v>102.88082294008015</x:v>
      </x:c>
      <x:c r="R49" s="30" t="n">
        <x:f>IF($A49=0,"",$G49-$Q49)</x:f>
        <x:v>94.6301673717916</x:v>
      </x:c>
      <x:c r="S49" s="30" t="n">
        <x:f>IF($A49=0,"",SUM($R$17:R49))</x:f>
        <x:v>3193.9126081807117</x:v>
      </x:c>
      <x:c r="T49" s="30" t="n">
        <x:f>IF($A49=0,"",$S49-$H49)</x:f>
        <x:v>-2265.5873918192883</x:v>
      </x:c>
    </x:row>
    <x:row r="50">
      <x:c r="A50" s="40" t="n">
        <x:v>3</x:v>
      </x:c>
      <x:c r="B50" s="40" t="n">
        <x:v>31</x:v>
      </x:c>
      <x:c r="C50" s="40" t="n">
        <x:v>10</x:v>
      </x:c>
      <x:c r="D50" s="31" t="n">
        <x:f>INDEX(Assumptions!$D$24:$D$35,$C50)</x:f>
        <x:v>965.136511636476</x:v>
      </x:c>
      <x:c r="E50" s="30" t="n">
        <x:f>$D50*Assumptions!$B$11*IF($A50=0,1,(1+Assumptions!$B$14)^($A50-1))</x:f>
        <x:v>351.4448093473064</x:v>
      </x:c>
      <x:c r="F50" s="30" t="n">
        <x:f>$B50*Assumptions!$B$13</x:f>
        <x:v>21.7</x:v>
      </x:c>
      <x:c r="G50" s="30" t="n">
        <x:f>$E50+$F50</x:f>
        <x:v>373.14480934730636</x:v>
      </x:c>
      <x:c r="H50" s="30" t="n">
        <x:f>IF($A50=0,"",Assumptions!$B$21)</x:f>
        <x:v>5459.5</x:v>
      </x:c>
      <x:c r="I50" s="31" t="n">
        <x:f>IF($A50=0,"",INDEX(Assumptions!$C$24:$C$35,$C50)*IF($A50=0,"",IF($A50=1,1-Assumptions!$B$16,(1-Assumptions!$B$16)*(1-Assumptions!$B$17)^($A50-1))))</x:f>
        <x:v>181.95271597929823</x:v>
      </x:c>
      <x:c r="J50" s="32" t="n">
        <x:f>IF($A50=0,"",IF($I50&gt;0,$K50/$I50,0))</x:f>
        <x:v>1</x:v>
      </x:c>
      <x:c r="K50" s="31" t="n">
        <x:f>IF($A50=0,"",LET(direct,MIN($I50,$D50),surplus,MAX(0,$I50-direct),deficit,MAX(0,$D50-direct),charge,MIN(surplus,Assumptions!$B$10,direct,deficit),direct+charge))</x:f>
        <x:v>181.95271597929823</x:v>
      </x:c>
      <x:c r="L50" s="31" t="n">
        <x:f>IF($A50=0,"",LET(direct,MIN($I50,$D50),surplus,MAX(0,$I50-direct),deficit,MAX(0,$D50-direct),charge,MIN(surplus,Assumptions!$B$10,direct,deficit),surplus-charge))</x:f>
        <x:v>0</x:v>
      </x:c>
      <x:c r="M50" s="31" t="n">
        <x:f>IF($A50=0,"",LET(direct,MIN($I50,$D50),surplus,MAX(0,$I50-direct),deficit,MAX(0,$D50-direct),charge,MIN(surplus,Assumptions!$B$10,direct,deficit),deficit-charge))</x:f>
        <x:v>783.1837956571778</x:v>
      </x:c>
      <x:c r="N50" s="30" t="n">
        <x:f>IF($A50=0,"",$M50*Assumptions!$B$11*IF($A50=0,1,(1+Assumptions!$B$14)^($A50-1)))</x:f>
        <x:v>285.1885473506047</x:v>
      </x:c>
      <x:c r="O50" s="30" t="n">
        <x:f>IF($A50=0,"",$B50*Assumptions!$B$13)</x:f>
        <x:v>21.7</x:v>
      </x:c>
      <x:c r="P50" s="30" t="n">
        <x:f>IF($A50=0,"",$L50*Assumptions!$B$12)</x:f>
        <x:v>0</x:v>
      </x:c>
      <x:c r="Q50" s="30" t="n">
        <x:f>IF($A50=0,"",$N50+$O50-$P50)</x:f>
        <x:v>306.8885473506047</x:v>
      </x:c>
      <x:c r="R50" s="30" t="n">
        <x:f>IF($A50=0,"",$G50-$Q50)</x:f>
        <x:v>66.25626199670165</x:v>
      </x:c>
      <x:c r="S50" s="30" t="n">
        <x:f>IF($A50=0,"",SUM($R$17:R50))</x:f>
        <x:v>3260.1688701774133</x:v>
      </x:c>
      <x:c r="T50" s="30" t="n">
        <x:f>IF($A50=0,"",$S50-$H50)</x:f>
        <x:v>-2199.3311298225867</x:v>
      </x:c>
    </x:row>
    <x:row r="51">
      <x:c r="A51" s="40" t="n">
        <x:v>3</x:v>
      </x:c>
      <x:c r="B51" s="40" t="n">
        <x:v>30</x:v>
      </x:c>
      <x:c r="C51" s="40" t="n">
        <x:v>11</x:v>
      </x:c>
      <x:c r="D51" s="31" t="n">
        <x:f>INDEX(Assumptions!$D$24:$D$35,$C51)</x:f>
        <x:v>948.3553735444794</x:v>
      </x:c>
      <x:c r="E51" s="30" t="n">
        <x:f>$D51*Assumptions!$B$11*IF($A51=0,1,(1+Assumptions!$B$14)^($A51-1))</x:f>
        <x:v>345.33412572248676</x:v>
      </x:c>
      <x:c r="F51" s="30" t="n">
        <x:f>$B51*Assumptions!$B$13</x:f>
        <x:v>21</x:v>
      </x:c>
      <x:c r="G51" s="30" t="n">
        <x:f>$E51+$F51</x:f>
        <x:v>366.33412572248676</x:v>
      </x:c>
      <x:c r="H51" s="30" t="n">
        <x:f>IF($A51=0,"",Assumptions!$B$21)</x:f>
        <x:v>5459.5</x:v>
      </x:c>
      <x:c r="I51" s="31" t="n">
        <x:f>IF($A51=0,"",INDEX(Assumptions!$C$24:$C$35,$C51)*IF($A51=0,"",IF($A51=1,1-Assumptions!$B$16,(1-Assumptions!$B$16)*(1-Assumptions!$B$17)^($A51-1))))</x:f>
        <x:v>108.03287990141656</x:v>
      </x:c>
      <x:c r="J51" s="32" t="n">
        <x:f>IF($A51=0,"",IF($I51&gt;0,$K51/$I51,0))</x:f>
        <x:v>1</x:v>
      </x:c>
      <x:c r="K51" s="31" t="n">
        <x:f>IF($A51=0,"",LET(direct,MIN($I51,$D51),surplus,MAX(0,$I51-direct),deficit,MAX(0,$D51-direct),charge,MIN(surplus,Assumptions!$B$10,direct,deficit),direct+charge))</x:f>
        <x:v>108.03287990141656</x:v>
      </x:c>
      <x:c r="L51" s="31" t="n">
        <x:f>IF($A51=0,"",LET(direct,MIN($I51,$D51),surplus,MAX(0,$I51-direct),deficit,MAX(0,$D51-direct),charge,MIN(surplus,Assumptions!$B$10,direct,deficit),surplus-charge))</x:f>
        <x:v>0</x:v>
      </x:c>
      <x:c r="M51" s="31" t="n">
        <x:f>IF($A51=0,"",LET(direct,MIN($I51,$D51),surplus,MAX(0,$I51-direct),deficit,MAX(0,$D51-direct),charge,MIN(surplus,Assumptions!$B$10,direct,deficit),deficit-charge))</x:f>
        <x:v>840.3224936430629</x:v>
      </x:c>
      <x:c r="N51" s="30" t="n">
        <x:f>IF($A51=0,"",$M51*Assumptions!$B$11*IF($A51=0,1,(1+Assumptions!$B$14)^($A51-1)))</x:f>
        <x:v>305.9950328351849</x:v>
      </x:c>
      <x:c r="O51" s="30" t="n">
        <x:f>IF($A51=0,"",$B51*Assumptions!$B$13)</x:f>
        <x:v>21</x:v>
      </x:c>
      <x:c r="P51" s="30" t="n">
        <x:f>IF($A51=0,"",$L51*Assumptions!$B$12)</x:f>
        <x:v>0</x:v>
      </x:c>
      <x:c r="Q51" s="30" t="n">
        <x:f>IF($A51=0,"",$N51+$O51-$P51)</x:f>
        <x:v>326.9950328351849</x:v>
      </x:c>
      <x:c r="R51" s="30" t="n">
        <x:f>IF($A51=0,"",$G51-$Q51)</x:f>
        <x:v>39.33909288730189</x:v>
      </x:c>
      <x:c r="S51" s="30" t="n">
        <x:f>IF($A51=0,"",SUM($R$17:R51))</x:f>
        <x:v>3299.507963064715</x:v>
      </x:c>
      <x:c r="T51" s="30" t="n">
        <x:f>IF($A51=0,"",$S51-$H51)</x:f>
        <x:v>-2159.992036935285</x:v>
      </x:c>
    </x:row>
    <x:row r="52">
      <x:c r="A52" s="40" t="n">
        <x:v>3</x:v>
      </x:c>
      <x:c r="B52" s="40" t="n">
        <x:v>31</x:v>
      </x:c>
      <x:c r="C52" s="40" t="n">
        <x:v>12</x:v>
      </x:c>
      <x:c r="D52" s="31" t="n">
        <x:f>INDEX(Assumptions!$D$24:$D$35,$C52)</x:f>
        <x:v>928.0413642752205</x:v>
      </x:c>
      <x:c r="E52" s="30" t="n">
        <x:f>$D52*Assumptions!$B$11*IF($A52=0,1,(1+Assumptions!$B$14)^($A52-1))</x:f>
        <x:v>337.9369823871788</x:v>
      </x:c>
      <x:c r="F52" s="30" t="n">
        <x:f>$B52*Assumptions!$B$13</x:f>
        <x:v>21.7</x:v>
      </x:c>
      <x:c r="G52" s="30" t="n">
        <x:f>$E52+$F52</x:f>
        <x:v>359.63698238717876</x:v>
      </x:c>
      <x:c r="H52" s="30" t="n">
        <x:f>IF($A52=0,"",Assumptions!$B$21)</x:f>
        <x:v>5459.5</x:v>
      </x:c>
      <x:c r="I52" s="31" t="n">
        <x:f>IF($A52=0,"",INDEX(Assumptions!$C$24:$C$35,$C52)*IF($A52=0,"",IF($A52=1,1-Assumptions!$B$16,(1-Assumptions!$B$16)*(1-Assumptions!$B$17)^($A52-1))))</x:f>
        <x:v>79.65471185060504</x:v>
      </x:c>
      <x:c r="J52" s="32" t="n">
        <x:f>IF($A52=0,"",IF($I52&gt;0,$K52/$I52,0))</x:f>
        <x:v>1</x:v>
      </x:c>
      <x:c r="K52" s="31" t="n">
        <x:f>IF($A52=0,"",LET(direct,MIN($I52,$D52),surplus,MAX(0,$I52-direct),deficit,MAX(0,$D52-direct),charge,MIN(surplus,Assumptions!$B$10,direct,deficit),direct+charge))</x:f>
        <x:v>79.65471185060504</x:v>
      </x:c>
      <x:c r="L52" s="31" t="n">
        <x:f>IF($A52=0,"",LET(direct,MIN($I52,$D52),surplus,MAX(0,$I52-direct),deficit,MAX(0,$D52-direct),charge,MIN(surplus,Assumptions!$B$10,direct,deficit),surplus-charge))</x:f>
        <x:v>0</x:v>
      </x:c>
      <x:c r="M52" s="31" t="n">
        <x:f>IF($A52=0,"",LET(direct,MIN($I52,$D52),surplus,MAX(0,$I52-direct),deficit,MAX(0,$D52-direct),charge,MIN(surplus,Assumptions!$B$10,direct,deficit),deficit-charge))</x:f>
        <x:v>848.3866524246155</x:v>
      </x:c>
      <x:c r="N52" s="30" t="n">
        <x:f>IF($A52=0,"",$M52*Assumptions!$B$11*IF($A52=0,1,(1+Assumptions!$B$14)^($A52-1)))</x:f>
        <x:v>308.9315156138994</x:v>
      </x:c>
      <x:c r="O52" s="30" t="n">
        <x:f>IF($A52=0,"",$B52*Assumptions!$B$13)</x:f>
        <x:v>21.7</x:v>
      </x:c>
      <x:c r="P52" s="30" t="n">
        <x:f>IF($A52=0,"",$L52*Assumptions!$B$12)</x:f>
        <x:v>0</x:v>
      </x:c>
      <x:c r="Q52" s="30" t="n">
        <x:f>IF($A52=0,"",$N52+$O52-$P52)</x:f>
        <x:v>330.6315156138994</x:v>
      </x:c>
      <x:c r="R52" s="30" t="n">
        <x:f>IF($A52=0,"",$G52-$Q52)</x:f>
        <x:v>29.005466773279352</x:v>
      </x:c>
      <x:c r="S52" s="30" t="n">
        <x:f>IF($A52=0,"",SUM($R$17:R52))</x:f>
        <x:v>3328.5134298379944</x:v>
      </x:c>
      <x:c r="T52" s="30" t="n">
        <x:f>IF($A52=0,"",$S52-$H52)</x:f>
        <x:v>-2130.9865701620056</x:v>
      </x:c>
    </x:row>
    <x:row r="53">
      <x:c r="A53" s="40" t="n">
        <x:v>4</x:v>
      </x:c>
      <x:c r="B53" s="40" t="n">
        <x:v>31</x:v>
      </x:c>
      <x:c r="C53" s="40" t="n">
        <x:v>1</x:v>
      </x:c>
      <x:c r="D53" s="31" t="n">
        <x:f>INDEX(Assumptions!$D$24:$D$35,$C53)</x:f>
        <x:v>921.8588397150115</x:v>
      </x:c>
      <x:c r="E53" s="30" t="n">
        <x:f>$D53*Assumptions!$B$11*IF($A53=0,1,(1+Assumptions!$B$14)^($A53-1))</x:f>
        <x:v>342.3993914517008</x:v>
      </x:c>
      <x:c r="F53" s="30" t="n">
        <x:f>$B53*Assumptions!$B$13</x:f>
        <x:v>21.7</x:v>
      </x:c>
      <x:c r="G53" s="30" t="n">
        <x:f>$E53+$F53</x:f>
        <x:v>364.0993914517008</x:v>
      </x:c>
      <x:c r="H53" s="30" t="n">
        <x:f>IF($A53=0,"",Assumptions!$B$21)</x:f>
        <x:v>5459.5</x:v>
      </x:c>
      <x:c r="I53" s="31" t="n">
        <x:f>IF($A53=0,"",INDEX(Assumptions!$C$24:$C$35,$C53)*IF($A53=0,"",IF($A53=1,1-Assumptions!$B$16,(1-Assumptions!$B$16)*(1-Assumptions!$B$17)^($A53-1))))</x:f>
        <x:v>96.5724798918741</x:v>
      </x:c>
      <x:c r="J53" s="32" t="n">
        <x:f>IF($A53=0,"",IF($I53&gt;0,$K53/$I53,0))</x:f>
        <x:v>1</x:v>
      </x:c>
      <x:c r="K53" s="31" t="n">
        <x:f>IF($A53=0,"",LET(direct,MIN($I53,$D53),surplus,MAX(0,$I53-direct),deficit,MAX(0,$D53-direct),charge,MIN(surplus,Assumptions!$B$10,direct,deficit),direct+charge))</x:f>
        <x:v>96.5724798918741</x:v>
      </x:c>
      <x:c r="L53" s="31" t="n">
        <x:f>IF($A53=0,"",LET(direct,MIN($I53,$D53),surplus,MAX(0,$I53-direct),deficit,MAX(0,$D53-direct),charge,MIN(surplus,Assumptions!$B$10,direct,deficit),surplus-charge))</x:f>
        <x:v>0</x:v>
      </x:c>
      <x:c r="M53" s="31" t="n">
        <x:f>IF($A53=0,"",LET(direct,MIN($I53,$D53),surplus,MAX(0,$I53-direct),deficit,MAX(0,$D53-direct),charge,MIN(surplus,Assumptions!$B$10,direct,deficit),deficit-charge))</x:f>
        <x:v>825.2863598231374</x:v>
      </x:c>
      <x:c r="N53" s="30" t="n">
        <x:f>IF($A53=0,"",$M53*Assumptions!$B$11*IF($A53=0,1,(1+Assumptions!$B$14)^($A53-1)))</x:f>
        <x:v>306.53017056731727</x:v>
      </x:c>
      <x:c r="O53" s="30" t="n">
        <x:f>IF($A53=0,"",$B53*Assumptions!$B$13)</x:f>
        <x:v>21.7</x:v>
      </x:c>
      <x:c r="P53" s="30" t="n">
        <x:f>IF($A53=0,"",$L53*Assumptions!$B$12)</x:f>
        <x:v>0</x:v>
      </x:c>
      <x:c r="Q53" s="30" t="n">
        <x:f>IF($A53=0,"",$N53+$O53-$P53)</x:f>
        <x:v>328.23017056731726</x:v>
      </x:c>
      <x:c r="R53" s="30" t="n">
        <x:f>IF($A53=0,"",$G53-$Q53)</x:f>
        <x:v>35.86922088438354</x:v>
      </x:c>
      <x:c r="S53" s="30" t="n">
        <x:f>IF($A53=0,"",SUM($R$17:R53))</x:f>
        <x:v>3364.382650722378</x:v>
      </x:c>
      <x:c r="T53" s="30" t="n">
        <x:f>IF($A53=0,"",$S53-$H53)</x:f>
        <x:v>-2095.117349277622</x:v>
      </x:c>
    </x:row>
    <x:row r="54">
      <x:c r="A54" s="40" t="n">
        <x:v>4</x:v>
      </x:c>
      <x:c r="B54" s="40" t="n">
        <x:v>28</x:v>
      </x:c>
      <x:c r="C54" s="40" t="n">
        <x:v>2</x:v>
      </x:c>
      <x:c r="D54" s="31" t="n">
        <x:f>INDEX(Assumptions!$D$24:$D$35,$C54)</x:f>
        <x:v>923.6252753036425</x:v>
      </x:c>
      <x:c r="E54" s="30" t="n">
        <x:f>$D54*Assumptions!$B$11*IF($A54=0,1,(1+Assumptions!$B$14)^($A54-1))</x:f>
        <x:v>343.0554859040498</x:v>
      </x:c>
      <x:c r="F54" s="30" t="n">
        <x:f>$B54*Assumptions!$B$13</x:f>
        <x:v>19.599999999999998</x:v>
      </x:c>
      <x:c r="G54" s="30" t="n">
        <x:f>$E54+$F54</x:f>
        <x:v>362.65548590404984</x:v>
      </x:c>
      <x:c r="H54" s="30" t="n">
        <x:f>IF($A54=0,"",Assumptions!$B$21)</x:f>
        <x:v>5459.5</x:v>
      </x:c>
      <x:c r="I54" s="31" t="n">
        <x:f>IF($A54=0,"",INDEX(Assumptions!$C$24:$C$35,$C54)*IF($A54=0,"",IF($A54=1,1-Assumptions!$B$16,(1-Assumptions!$B$16)*(1-Assumptions!$B$17)^($A54-1))))</x:f>
        <x:v>152.6729268267571</x:v>
      </x:c>
      <x:c r="J54" s="32" t="n">
        <x:f>IF($A54=0,"",IF($I54&gt;0,$K54/$I54,0))</x:f>
        <x:v>1</x:v>
      </x:c>
      <x:c r="K54" s="31" t="n">
        <x:f>IF($A54=0,"",LET(direct,MIN($I54,$D54),surplus,MAX(0,$I54-direct),deficit,MAX(0,$D54-direct),charge,MIN(surplus,Assumptions!$B$10,direct,deficit),direct+charge))</x:f>
        <x:v>152.6729268267571</x:v>
      </x:c>
      <x:c r="L54" s="31" t="n">
        <x:f>IF($A54=0,"",LET(direct,MIN($I54,$D54),surplus,MAX(0,$I54-direct),deficit,MAX(0,$D54-direct),charge,MIN(surplus,Assumptions!$B$10,direct,deficit),surplus-charge))</x:f>
        <x:v>0</x:v>
      </x:c>
      <x:c r="M54" s="31" t="n">
        <x:f>IF($A54=0,"",LET(direct,MIN($I54,$D54),surplus,MAX(0,$I54-direct),deficit,MAX(0,$D54-direct),charge,MIN(surplus,Assumptions!$B$10,direct,deficit),deficit-charge))</x:f>
        <x:v>770.9523484768854</x:v>
      </x:c>
      <x:c r="N54" s="30" t="n">
        <x:f>IF($A54=0,"",$M54*Assumptions!$B$11*IF($A54=0,1,(1+Assumptions!$B$14)^($A54-1)))</x:f>
        <x:v>286.3492799378605</x:v>
      </x:c>
      <x:c r="O54" s="30" t="n">
        <x:f>IF($A54=0,"",$B54*Assumptions!$B$13)</x:f>
        <x:v>19.599999999999998</x:v>
      </x:c>
      <x:c r="P54" s="30" t="n">
        <x:f>IF($A54=0,"",$L54*Assumptions!$B$12)</x:f>
        <x:v>0</x:v>
      </x:c>
      <x:c r="Q54" s="30" t="n">
        <x:f>IF($A54=0,"",$N54+$O54-$P54)</x:f>
        <x:v>305.9492799378605</x:v>
      </x:c>
      <x:c r="R54" s="30" t="n">
        <x:f>IF($A54=0,"",$G54-$Q54)</x:f>
        <x:v>56.706205966189316</x:v>
      </x:c>
      <x:c r="S54" s="30" t="n">
        <x:f>IF($A54=0,"",SUM($R$17:R54))</x:f>
        <x:v>3421.0888566885674</x:v>
      </x:c>
      <x:c r="T54" s="30" t="n">
        <x:f>IF($A54=0,"",$S54-$H54)</x:f>
        <x:v>-2038.4111433114326</x:v>
      </x:c>
    </x:row>
    <x:row r="55">
      <x:c r="A55" s="40" t="n">
        <x:v>4</x:v>
      </x:c>
      <x:c r="B55" s="40" t="n">
        <x:v>31</x:v>
      </x:c>
      <x:c r="C55" s="40" t="n">
        <x:v>3</x:v>
      </x:c>
      <x:c r="D55" s="31" t="n">
        <x:f>INDEX(Assumptions!$D$24:$D$35,$C55)</x:f>
        <x:v>907.7273550059616</x:v>
      </x:c>
      <x:c r="E55" s="30" t="n">
        <x:f>$D55*Assumptions!$B$11*IF($A55=0,1,(1+Assumptions!$B$14)^($A55-1))</x:f>
        <x:v>337.15063583290834</x:v>
      </x:c>
      <x:c r="F55" s="30" t="n">
        <x:f>$B55*Assumptions!$B$13</x:f>
        <x:v>21.7</x:v>
      </x:c>
      <x:c r="G55" s="30" t="n">
        <x:f>$E55+$F55</x:f>
        <x:v>358.8506358329083</x:v>
      </x:c>
      <x:c r="H55" s="30" t="n">
        <x:f>IF($A55=0,"",Assumptions!$B$21)</x:f>
        <x:v>5459.5</x:v>
      </x:c>
      <x:c r="I55" s="31" t="n">
        <x:f>IF($A55=0,"",INDEX(Assumptions!$C$24:$C$35,$C55)*IF($A55=0,"",IF($A55=1,1-Assumptions!$B$16,(1-Assumptions!$B$16)*(1-Assumptions!$B$17)^($A55-1))))</x:f>
        <x:v>269.5001513147723</x:v>
      </x:c>
      <x:c r="J55" s="32" t="n">
        <x:f>IF($A55=0,"",IF($I55&gt;0,$K55/$I55,0))</x:f>
        <x:v>1</x:v>
      </x:c>
      <x:c r="K55" s="31" t="n">
        <x:f>IF($A55=0,"",LET(direct,MIN($I55,$D55),surplus,MAX(0,$I55-direct),deficit,MAX(0,$D55-direct),charge,MIN(surplus,Assumptions!$B$10,direct,deficit),direct+charge))</x:f>
        <x:v>269.5001513147723</x:v>
      </x:c>
      <x:c r="L55" s="31" t="n">
        <x:f>IF($A55=0,"",LET(direct,MIN($I55,$D55),surplus,MAX(0,$I55-direct),deficit,MAX(0,$D55-direct),charge,MIN(surplus,Assumptions!$B$10,direct,deficit),surplus-charge))</x:f>
        <x:v>0</x:v>
      </x:c>
      <x:c r="M55" s="31" t="n">
        <x:f>IF($A55=0,"",LET(direct,MIN($I55,$D55),surplus,MAX(0,$I55-direct),deficit,MAX(0,$D55-direct),charge,MIN(surplus,Assumptions!$B$10,direct,deficit),deficit-charge))</x:f>
        <x:v>638.2272036911893</x:v>
      </x:c>
      <x:c r="N55" s="30" t="n">
        <x:f>IF($A55=0,"",$M55*Assumptions!$B$11*IF($A55=0,1,(1+Assumptions!$B$14)^($A55-1)))</x:f>
        <x:v>237.05213503115186</x:v>
      </x:c>
      <x:c r="O55" s="30" t="n">
        <x:f>IF($A55=0,"",$B55*Assumptions!$B$13)</x:f>
        <x:v>21.7</x:v>
      </x:c>
      <x:c r="P55" s="30" t="n">
        <x:f>IF($A55=0,"",$L55*Assumptions!$B$12)</x:f>
        <x:v>0</x:v>
      </x:c>
      <x:c r="Q55" s="30" t="n">
        <x:f>IF($A55=0,"",$N55+$O55-$P55)</x:f>
        <x:v>258.75213503115185</x:v>
      </x:c>
      <x:c r="R55" s="30" t="n">
        <x:f>IF($A55=0,"",$G55-$Q55)</x:f>
        <x:v>100.09850080175647</x:v>
      </x:c>
      <x:c r="S55" s="30" t="n">
        <x:f>IF($A55=0,"",SUM($R$17:R55))</x:f>
        <x:v>3521.187357490324</x:v>
      </x:c>
      <x:c r="T55" s="30" t="n">
        <x:f>IF($A55=0,"",$S55-$H55)</x:f>
        <x:v>-1938.3126425096762</x:v>
      </x:c>
    </x:row>
    <x:row r="56">
      <x:c r="A56" s="40" t="n">
        <x:v>4</x:v>
      </x:c>
      <x:c r="B56" s="40" t="n">
        <x:v>30</x:v>
      </x:c>
      <x:c r="C56" s="40" t="n">
        <x:v>4</x:v>
      </x:c>
      <x:c r="D56" s="31" t="n">
        <x:f>INDEX(Assumptions!$D$24:$D$35,$C56)</x:f>
        <x:v>951.0050269274262</x:v>
      </x:c>
      <x:c r="E56" s="30" t="n">
        <x:f>$D56*Assumptions!$B$11*IF($A56=0,1,(1+Assumptions!$B$14)^($A56-1))</x:f>
        <x:v>353.22494991546006</x:v>
      </x:c>
      <x:c r="F56" s="30" t="n">
        <x:f>$B56*Assumptions!$B$13</x:f>
        <x:v>21</x:v>
      </x:c>
      <x:c r="G56" s="30" t="n">
        <x:f>$E56+$F56</x:f>
        <x:v>374.22494991546006</x:v>
      </x:c>
      <x:c r="H56" s="30" t="n">
        <x:f>IF($A56=0,"",Assumptions!$B$21)</x:f>
        <x:v>5459.5</x:v>
      </x:c>
      <x:c r="I56" s="31" t="n">
        <x:f>IF($A56=0,"",INDEX(Assumptions!$C$24:$C$35,$C56)*IF($A56=0,"",IF($A56=1,1-Assumptions!$B$16,(1-Assumptions!$B$16)*(1-Assumptions!$B$17)^($A56-1))))</x:f>
        <x:v>358.8928835654392</x:v>
      </x:c>
      <x:c r="J56" s="32" t="n">
        <x:f>IF($A56=0,"",IF($I56&gt;0,$K56/$I56,0))</x:f>
        <x:v>1</x:v>
      </x:c>
      <x:c r="K56" s="31" t="n">
        <x:f>IF($A56=0,"",LET(direct,MIN($I56,$D56),surplus,MAX(0,$I56-direct),deficit,MAX(0,$D56-direct),charge,MIN(surplus,Assumptions!$B$10,direct,deficit),direct+charge))</x:f>
        <x:v>358.8928835654392</x:v>
      </x:c>
      <x:c r="L56" s="31" t="n">
        <x:f>IF($A56=0,"",LET(direct,MIN($I56,$D56),surplus,MAX(0,$I56-direct),deficit,MAX(0,$D56-direct),charge,MIN(surplus,Assumptions!$B$10,direct,deficit),surplus-charge))</x:f>
        <x:v>0</x:v>
      </x:c>
      <x:c r="M56" s="31" t="n">
        <x:f>IF($A56=0,"",LET(direct,MIN($I56,$D56),surplus,MAX(0,$I56-direct),deficit,MAX(0,$D56-direct),charge,MIN(surplus,Assumptions!$B$10,direct,deficit),deficit-charge))</x:f>
        <x:v>592.112143361987</x:v>
      </x:c>
      <x:c r="N56" s="30" t="n">
        <x:f>IF($A56=0,"",$M56*Assumptions!$B$11*IF($A56=0,1,(1+Assumptions!$B$14)^($A56-1)))</x:f>
        <x:v>219.92395020151065</x:v>
      </x:c>
      <x:c r="O56" s="30" t="n">
        <x:f>IF($A56=0,"",$B56*Assumptions!$B$13)</x:f>
        <x:v>21</x:v>
      </x:c>
      <x:c r="P56" s="30" t="n">
        <x:f>IF($A56=0,"",$L56*Assumptions!$B$12)</x:f>
        <x:v>0</x:v>
      </x:c>
      <x:c r="Q56" s="30" t="n">
        <x:f>IF($A56=0,"",$N56+$O56-$P56)</x:f>
        <x:v>240.92395020151065</x:v>
      </x:c>
      <x:c r="R56" s="30" t="n">
        <x:f>IF($A56=0,"",$G56-$Q56)</x:f>
        <x:v>133.3009997139494</x:v>
      </x:c>
      <x:c r="S56" s="30" t="n">
        <x:f>IF($A56=0,"",SUM($R$17:R56))</x:f>
        <x:v>3654.488357204273</x:v>
      </x:c>
      <x:c r="T56" s="30" t="n">
        <x:f>IF($A56=0,"",$S56-$H56)</x:f>
        <x:v>-1805.0116427957269</x:v>
      </x:c>
    </x:row>
    <x:row r="57">
      <x:c r="A57" s="40" t="n">
        <x:v>4</x:v>
      </x:c>
      <x:c r="B57" s="40" t="n">
        <x:v>31</x:v>
      </x:c>
      <x:c r="C57" s="40" t="n">
        <x:v>5</x:v>
      </x:c>
      <x:c r="D57" s="31" t="n">
        <x:f>INDEX(Assumptions!$D$24:$D$35,$C57)</x:f>
        <x:v>480.47094299256736</x:v>
      </x:c>
      <x:c r="E57" s="30" t="n">
        <x:f>$D57*Assumptions!$B$11*IF($A57=0,1,(1+Assumptions!$B$14)^($A57-1))</x:f>
        <x:v>178.45786296493975</x:v>
      </x:c>
      <x:c r="F57" s="30" t="n">
        <x:f>$B57*Assumptions!$B$13</x:f>
        <x:v>21.7</x:v>
      </x:c>
      <x:c r="G57" s="30" t="n">
        <x:f>$E57+$F57</x:f>
        <x:v>200.15786296493974</x:v>
      </x:c>
      <x:c r="H57" s="30" t="n">
        <x:f>IF($A57=0,"",Assumptions!$B$21)</x:f>
        <x:v>5459.5</x:v>
      </x:c>
      <x:c r="I57" s="31" t="n">
        <x:f>IF($A57=0,"",INDEX(Assumptions!$C$24:$C$35,$C57)*IF($A57=0,"",IF($A57=1,1-Assumptions!$B$16,(1-Assumptions!$B$16)*(1-Assumptions!$B$17)^($A57-1))))</x:f>
        <x:v>397.6172855495857</x:v>
      </x:c>
      <x:c r="J57" s="32" t="n">
        <x:f>IF($A57=0,"",IF($I57&gt;0,$K57/$I57,0))</x:f>
        <x:v>1</x:v>
      </x:c>
      <x:c r="K57" s="31" t="n">
        <x:f>IF($A57=0,"",LET(direct,MIN($I57,$D57),surplus,MAX(0,$I57-direct),deficit,MAX(0,$D57-direct),charge,MIN(surplus,Assumptions!$B$10,direct,deficit),direct+charge))</x:f>
        <x:v>397.6172855495857</x:v>
      </x:c>
      <x:c r="L57" s="31" t="n">
        <x:f>IF($A57=0,"",LET(direct,MIN($I57,$D57),surplus,MAX(0,$I57-direct),deficit,MAX(0,$D57-direct),charge,MIN(surplus,Assumptions!$B$10,direct,deficit),surplus-charge))</x:f>
        <x:v>0</x:v>
      </x:c>
      <x:c r="M57" s="31" t="n">
        <x:f>IF($A57=0,"",LET(direct,MIN($I57,$D57),surplus,MAX(0,$I57-direct),deficit,MAX(0,$D57-direct),charge,MIN(surplus,Assumptions!$B$10,direct,deficit),deficit-charge))</x:f>
        <x:v>82.85365744298167</x:v>
      </x:c>
      <x:c r="N57" s="30" t="n">
        <x:f>IF($A57=0,"",$M57*Assumptions!$B$11*IF($A57=0,1,(1+Assumptions!$B$14)^($A57-1)))</x:f>
        <x:v>30.773737437713095</x:v>
      </x:c>
      <x:c r="O57" s="30" t="n">
        <x:f>IF($A57=0,"",$B57*Assumptions!$B$13)</x:f>
        <x:v>21.7</x:v>
      </x:c>
      <x:c r="P57" s="30" t="n">
        <x:f>IF($A57=0,"",$L57*Assumptions!$B$12)</x:f>
        <x:v>0</x:v>
      </x:c>
      <x:c r="Q57" s="30" t="n">
        <x:f>IF($A57=0,"",$N57+$O57-$P57)</x:f>
        <x:v>52.4737374377131</x:v>
      </x:c>
      <x:c r="R57" s="30" t="n">
        <x:f>IF($A57=0,"",$G57-$Q57)</x:f>
        <x:v>147.68412552722663</x:v>
      </x:c>
      <x:c r="S57" s="30" t="n">
        <x:f>IF($A57=0,"",SUM($R$17:R57))</x:f>
        <x:v>3802.1724827314997</x:v>
      </x:c>
      <x:c r="T57" s="30" t="n">
        <x:f>IF($A57=0,"",$S57-$H57)</x:f>
        <x:v>-1657.3275172685003</x:v>
      </x:c>
    </x:row>
    <x:row r="58">
      <x:c r="A58" s="40" t="n">
        <x:v>4</x:v>
      </x:c>
      <x:c r="B58" s="40" t="n">
        <x:v>30</x:v>
      </x:c>
      <x:c r="C58" s="40" t="n">
        <x:v>6</x:v>
      </x:c>
      <x:c r="D58" s="31" t="n">
        <x:f>INDEX(Assumptions!$D$24:$D$35,$C58)</x:f>
        <x:v>491.73724202799656</x:v>
      </x:c>
      <x:c r="E58" s="30" t="n">
        <x:f>$D58*Assumptions!$B$11*IF($A58=0,1,(1+Assumptions!$B$14)^($A58-1))</x:f>
        <x:v>182.64242329831617</x:v>
      </x:c>
      <x:c r="F58" s="30" t="n">
        <x:f>$B58*Assumptions!$B$13</x:f>
        <x:v>21</x:v>
      </x:c>
      <x:c r="G58" s="30" t="n">
        <x:f>$E58+$F58</x:f>
        <x:v>203.64242329831617</x:v>
      </x:c>
      <x:c r="H58" s="30" t="n">
        <x:f>IF($A58=0,"",Assumptions!$B$21)</x:f>
        <x:v>5459.5</x:v>
      </x:c>
      <x:c r="I58" s="31" t="n">
        <x:f>IF($A58=0,"",INDEX(Assumptions!$C$24:$C$35,$C58)*IF($A58=0,"",IF($A58=1,1-Assumptions!$B$16,(1-Assumptions!$B$16)*(1-Assumptions!$B$17)^($A58-1))))</x:f>
        <x:v>407.71886461424356</x:v>
      </x:c>
      <x:c r="J58" s="32" t="n">
        <x:f>IF($A58=0,"",IF($I58&gt;0,$K58/$I58,0))</x:f>
        <x:v>1</x:v>
      </x:c>
      <x:c r="K58" s="31" t="n">
        <x:f>IF($A58=0,"",LET(direct,MIN($I58,$D58),surplus,MAX(0,$I58-direct),deficit,MAX(0,$D58-direct),charge,MIN(surplus,Assumptions!$B$10,direct,deficit),direct+charge))</x:f>
        <x:v>407.71886461424356</x:v>
      </x:c>
      <x:c r="L58" s="31" t="n">
        <x:f>IF($A58=0,"",LET(direct,MIN($I58,$D58),surplus,MAX(0,$I58-direct),deficit,MAX(0,$D58-direct),charge,MIN(surplus,Assumptions!$B$10,direct,deficit),surplus-charge))</x:f>
        <x:v>0</x:v>
      </x:c>
      <x:c r="M58" s="31" t="n">
        <x:f>IF($A58=0,"",LET(direct,MIN($I58,$D58),surplus,MAX(0,$I58-direct),deficit,MAX(0,$D58-direct),charge,MIN(surplus,Assumptions!$B$10,direct,deficit),deficit-charge))</x:f>
        <x:v>84.018377413753</x:v>
      </x:c>
      <x:c r="N58" s="30" t="n">
        <x:f>IF($A58=0,"",$M58*Assumptions!$B$11*IF($A58=0,1,(1+Assumptions!$B$14)^($A58-1)))</x:f>
        <x:v>31.206340990472903</x:v>
      </x:c>
      <x:c r="O58" s="30" t="n">
        <x:f>IF($A58=0,"",$B58*Assumptions!$B$13)</x:f>
        <x:v>21</x:v>
      </x:c>
      <x:c r="P58" s="30" t="n">
        <x:f>IF($A58=0,"",$L58*Assumptions!$B$12)</x:f>
        <x:v>0</x:v>
      </x:c>
      <x:c r="Q58" s="30" t="n">
        <x:f>IF($A58=0,"",$N58+$O58-$P58)</x:f>
        <x:v>52.2063409904729</x:v>
      </x:c>
      <x:c r="R58" s="30" t="n">
        <x:f>IF($A58=0,"",$G58-$Q58)</x:f>
        <x:v>151.43608230784326</x:v>
      </x:c>
      <x:c r="S58" s="30" t="n">
        <x:f>IF($A58=0,"",SUM($R$17:R58))</x:f>
        <x:v>3953.608565039343</x:v>
      </x:c>
      <x:c r="T58" s="30" t="n">
        <x:f>IF($A58=0,"",$S58-$H58)</x:f>
        <x:v>-1505.891434960657</x:v>
      </x:c>
    </x:row>
    <x:row r="59">
      <x:c r="A59" s="40" t="n">
        <x:v>4</x:v>
      </x:c>
      <x:c r="B59" s="40" t="n">
        <x:v>31</x:v>
      </x:c>
      <x:c r="C59" s="40" t="n">
        <x:v>7</x:v>
      </x:c>
      <x:c r="D59" s="31" t="n">
        <x:f>INDEX(Assumptions!$D$24:$D$35,$C59)</x:f>
        <x:v>504.2215193375261</x:v>
      </x:c>
      <x:c r="E59" s="30" t="n">
        <x:f>$D59*Assumptions!$B$11*IF($A59=0,1,(1+Assumptions!$B$14)^($A59-1))</x:f>
        <x:v>187.2793685325981</x:v>
      </x:c>
      <x:c r="F59" s="30" t="n">
        <x:f>$B59*Assumptions!$B$13</x:f>
        <x:v>21.7</x:v>
      </x:c>
      <x:c r="G59" s="30" t="n">
        <x:f>$E59+$F59</x:f>
        <x:v>208.9793685325981</x:v>
      </x:c>
      <x:c r="H59" s="30" t="n">
        <x:f>IF($A59=0,"",Assumptions!$B$21)</x:f>
        <x:v>5459.5</x:v>
      </x:c>
      <x:c r="I59" s="31" t="n">
        <x:f>IF($A59=0,"",INDEX(Assumptions!$C$24:$C$35,$C59)*IF($A59=0,"",IF($A59=1,1-Assumptions!$B$16,(1-Assumptions!$B$16)*(1-Assumptions!$B$17)^($A59-1))))</x:f>
        <x:v>421.29060743811226</x:v>
      </x:c>
      <x:c r="J59" s="32" t="n">
        <x:f>IF($A59=0,"",IF($I59&gt;0,$K59/$I59,0))</x:f>
        <x:v>1</x:v>
      </x:c>
      <x:c r="K59" s="31" t="n">
        <x:f>IF($A59=0,"",LET(direct,MIN($I59,$D59),surplus,MAX(0,$I59-direct),deficit,MAX(0,$D59-direct),charge,MIN(surplus,Assumptions!$B$10,direct,deficit),direct+charge))</x:f>
        <x:v>421.29060743811226</x:v>
      </x:c>
      <x:c r="L59" s="31" t="n">
        <x:f>IF($A59=0,"",LET(direct,MIN($I59,$D59),surplus,MAX(0,$I59-direct),deficit,MAX(0,$D59-direct),charge,MIN(surplus,Assumptions!$B$10,direct,deficit),surplus-charge))</x:f>
        <x:v>0</x:v>
      </x:c>
      <x:c r="M59" s="31" t="n">
        <x:f>IF($A59=0,"",LET(direct,MIN($I59,$D59),surplus,MAX(0,$I59-direct),deficit,MAX(0,$D59-direct),charge,MIN(surplus,Assumptions!$B$10,direct,deficit),deficit-charge))</x:f>
        <x:v>82.93091189941384</x:v>
      </x:c>
      <x:c r="N59" s="30" t="n">
        <x:f>IF($A59=0,"",$M59*Assumptions!$B$11*IF($A59=0,1,(1+Assumptions!$B$14)^($A59-1)))</x:f>
        <x:v>30.80243150423361</x:v>
      </x:c>
      <x:c r="O59" s="30" t="n">
        <x:f>IF($A59=0,"",$B59*Assumptions!$B$13)</x:f>
        <x:v>21.7</x:v>
      </x:c>
      <x:c r="P59" s="30" t="n">
        <x:f>IF($A59=0,"",$L59*Assumptions!$B$12)</x:f>
        <x:v>0</x:v>
      </x:c>
      <x:c r="Q59" s="30" t="n">
        <x:f>IF($A59=0,"",$N59+$O59-$P59)</x:f>
        <x:v>52.50243150423361</x:v>
      </x:c>
      <x:c r="R59" s="30" t="n">
        <x:f>IF($A59=0,"",$G59-$Q59)</x:f>
        <x:v>156.4769370283645</x:v>
      </x:c>
      <x:c r="S59" s="30" t="n">
        <x:f>IF($A59=0,"",SUM($R$17:R59))</x:f>
        <x:v>4110.085502067707</x:v>
      </x:c>
      <x:c r="T59" s="30" t="n">
        <x:f>IF($A59=0,"",$S59-$H59)</x:f>
        <x:v>-1349.4144979322928</x:v>
      </x:c>
    </x:row>
    <x:row r="60">
      <x:c r="A60" s="40" t="n">
        <x:v>4</x:v>
      </x:c>
      <x:c r="B60" s="40" t="n">
        <x:v>31</x:v>
      </x:c>
      <x:c r="C60" s="40" t="n">
        <x:v>8</x:v>
      </x:c>
      <x:c r="D60" s="31" t="n">
        <x:f>INDEX(Assumptions!$D$24:$D$35,$C60)</x:f>
        <x:v>495.0866822817727</x:v>
      </x:c>
      <x:c r="E60" s="30" t="n">
        <x:f>$D60*Assumptions!$B$11*IF($A60=0,1,(1+Assumptions!$B$14)^($A60-1))</x:f>
        <x:v>183.88648177580643</x:v>
      </x:c>
      <x:c r="F60" s="30" t="n">
        <x:f>$B60*Assumptions!$B$13</x:f>
        <x:v>21.7</x:v>
      </x:c>
      <x:c r="G60" s="30" t="n">
        <x:f>$E60+$F60</x:f>
        <x:v>205.58648177580642</x:v>
      </x:c>
      <x:c r="H60" s="30" t="n">
        <x:f>IF($A60=0,"",Assumptions!$B$21)</x:f>
        <x:v>5459.5</x:v>
      </x:c>
      <x:c r="I60" s="31" t="n">
        <x:f>IF($A60=0,"",INDEX(Assumptions!$C$24:$C$35,$C60)*IF($A60=0,"",IF($A60=1,1-Assumptions!$B$16,(1-Assumptions!$B$16)*(1-Assumptions!$B$17)^($A60-1))))</x:f>
        <x:v>351.52570827113794</x:v>
      </x:c>
      <x:c r="J60" s="32" t="n">
        <x:f>IF($A60=0,"",IF($I60&gt;0,$K60/$I60,0))</x:f>
        <x:v>1</x:v>
      </x:c>
      <x:c r="K60" s="31" t="n">
        <x:f>IF($A60=0,"",LET(direct,MIN($I60,$D60),surplus,MAX(0,$I60-direct),deficit,MAX(0,$D60-direct),charge,MIN(surplus,Assumptions!$B$10,direct,deficit),direct+charge))</x:f>
        <x:v>351.52570827113794</x:v>
      </x:c>
      <x:c r="L60" s="31" t="n">
        <x:f>IF($A60=0,"",LET(direct,MIN($I60,$D60),surplus,MAX(0,$I60-direct),deficit,MAX(0,$D60-direct),charge,MIN(surplus,Assumptions!$B$10,direct,deficit),surplus-charge))</x:f>
        <x:v>0</x:v>
      </x:c>
      <x:c r="M60" s="31" t="n">
        <x:f>IF($A60=0,"",LET(direct,MIN($I60,$D60),surplus,MAX(0,$I60-direct),deficit,MAX(0,$D60-direct),charge,MIN(surplus,Assumptions!$B$10,direct,deficit),deficit-charge))</x:f>
        <x:v>143.56097401063477</x:v>
      </x:c>
      <x:c r="N60" s="30" t="n">
        <x:f>IF($A60=0,"",$M60*Assumptions!$B$11*IF($A60=0,1,(1+Assumptions!$B$14)^($A60-1)))</x:f>
        <x:v>53.3218189377572</x:v>
      </x:c>
      <x:c r="O60" s="30" t="n">
        <x:f>IF($A60=0,"",$B60*Assumptions!$B$13)</x:f>
        <x:v>21.7</x:v>
      </x:c>
      <x:c r="P60" s="30" t="n">
        <x:f>IF($A60=0,"",$L60*Assumptions!$B$12)</x:f>
        <x:v>0</x:v>
      </x:c>
      <x:c r="Q60" s="30" t="n">
        <x:f>IF($A60=0,"",$N60+$O60-$P60)</x:f>
        <x:v>75.0218189377572</x:v>
      </x:c>
      <x:c r="R60" s="30" t="n">
        <x:f>IF($A60=0,"",$G60-$Q60)</x:f>
        <x:v>130.56466283804923</x:v>
      </x:c>
      <x:c r="S60" s="30" t="n">
        <x:f>IF($A60=0,"",SUM($R$17:R60))</x:f>
        <x:v>4240.650164905756</x:v>
      </x:c>
      <x:c r="T60" s="30" t="n">
        <x:f>IF($A60=0,"",$S60-$H60)</x:f>
        <x:v>-1218.8498350942436</x:v>
      </x:c>
    </x:row>
    <x:row r="61">
      <x:c r="A61" s="40" t="n">
        <x:v>4</x:v>
      </x:c>
      <x:c r="B61" s="40" t="n">
        <x:v>30</x:v>
      </x:c>
      <x:c r="C61" s="40" t="n">
        <x:v>9</x:v>
      </x:c>
      <x:c r="D61" s="31" t="n">
        <x:f>INDEX(Assumptions!$D$24:$D$35,$C61)</x:f>
        <x:v>484.7338669519189</x:v>
      </x:c>
      <x:c r="E61" s="30" t="n">
        <x:f>$D61*Assumptions!$B$11*IF($A61=0,1,(1+Assumptions!$B$14)^($A61-1))</x:f>
        <x:v>180.0412101181092</x:v>
      </x:c>
      <x:c r="F61" s="30" t="n">
        <x:f>$B61*Assumptions!$B$13</x:f>
        <x:v>21</x:v>
      </x:c>
      <x:c r="G61" s="30" t="n">
        <x:f>$E61+$F61</x:f>
        <x:v>201.0412101181092</x:v>
      </x:c>
      <x:c r="H61" s="30" t="n">
        <x:f>IF($A61=0,"",Assumptions!$B$21)</x:f>
        <x:v>5459.5</x:v>
      </x:c>
      <x:c r="I61" s="31" t="n">
        <x:f>IF($A61=0,"",INDEX(Assumptions!$C$24:$C$35,$C61)*IF($A61=0,"",IF($A61=1,1-Assumptions!$B$16,(1-Assumptions!$B$16)*(1-Assumptions!$B$17)^($A61-1))))</x:f>
        <x:v>258.83354397293465</x:v>
      </x:c>
      <x:c r="J61" s="32" t="n">
        <x:f>IF($A61=0,"",IF($I61&gt;0,$K61/$I61,0))</x:f>
        <x:v>1</x:v>
      </x:c>
      <x:c r="K61" s="31" t="n">
        <x:f>IF($A61=0,"",LET(direct,MIN($I61,$D61),surplus,MAX(0,$I61-direct),deficit,MAX(0,$D61-direct),charge,MIN(surplus,Assumptions!$B$10,direct,deficit),direct+charge))</x:f>
        <x:v>258.83354397293465</x:v>
      </x:c>
      <x:c r="L61" s="31" t="n">
        <x:f>IF($A61=0,"",LET(direct,MIN($I61,$D61),surplus,MAX(0,$I61-direct),deficit,MAX(0,$D61-direct),charge,MIN(surplus,Assumptions!$B$10,direct,deficit),surplus-charge))</x:f>
        <x:v>0</x:v>
      </x:c>
      <x:c r="M61" s="31" t="n">
        <x:f>IF($A61=0,"",LET(direct,MIN($I61,$D61),surplus,MAX(0,$I61-direct),deficit,MAX(0,$D61-direct),charge,MIN(surplus,Assumptions!$B$10,direct,deficit),deficit-charge))</x:f>
        <x:v>225.90032297898426</x:v>
      </x:c>
      <x:c r="N61" s="30" t="n">
        <x:f>IF($A61=0,"",$M61*Assumptions!$B$11*IF($A61=0,1,(1+Assumptions!$B$14)^($A61-1)))</x:f>
        <x:v>83.90453048175868</x:v>
      </x:c>
      <x:c r="O61" s="30" t="n">
        <x:f>IF($A61=0,"",$B61*Assumptions!$B$13)</x:f>
        <x:v>21</x:v>
      </x:c>
      <x:c r="P61" s="30" t="n">
        <x:f>IF($A61=0,"",$L61*Assumptions!$B$12)</x:f>
        <x:v>0</x:v>
      </x:c>
      <x:c r="Q61" s="30" t="n">
        <x:f>IF($A61=0,"",$N61+$O61-$P61)</x:f>
        <x:v>104.90453048175868</x:v>
      </x:c>
      <x:c r="R61" s="30" t="n">
        <x:f>IF($A61=0,"",$G61-$Q61)</x:f>
        <x:v>96.13667963635052</x:v>
      </x:c>
      <x:c r="S61" s="30" t="n">
        <x:f>IF($A61=0,"",SUM($R$17:R61))</x:f>
        <x:v>4336.786844542107</x:v>
      </x:c>
      <x:c r="T61" s="30" t="n">
        <x:f>IF($A61=0,"",$S61-$H61)</x:f>
        <x:v>-1122.7131554578928</x:v>
      </x:c>
    </x:row>
    <x:row r="62">
      <x:c r="A62" s="40" t="n">
        <x:v>4</x:v>
      </x:c>
      <x:c r="B62" s="40" t="n">
        <x:v>31</x:v>
      </x:c>
      <x:c r="C62" s="40" t="n">
        <x:v>10</x:v>
      </x:c>
      <x:c r="D62" s="31" t="n">
        <x:f>INDEX(Assumptions!$D$24:$D$35,$C62)</x:f>
        <x:v>965.136511636476</x:v>
      </x:c>
      <x:c r="E62" s="30" t="n">
        <x:f>$D62*Assumptions!$B$11*IF($A62=0,1,(1+Assumptions!$B$14)^($A62-1))</x:f>
        <x:v>358.4737055342526</x:v>
      </x:c>
      <x:c r="F62" s="30" t="n">
        <x:f>$B62*Assumptions!$B$13</x:f>
        <x:v>21.7</x:v>
      </x:c>
      <x:c r="G62" s="30" t="n">
        <x:f>$E62+$F62</x:f>
        <x:v>380.1737055342526</x:v>
      </x:c>
      <x:c r="H62" s="30" t="n">
        <x:f>IF($A62=0,"",Assumptions!$B$21)</x:f>
        <x:v>5459.5</x:v>
      </x:c>
      <x:c r="I62" s="31" t="n">
        <x:f>IF($A62=0,"",INDEX(Assumptions!$C$24:$C$35,$C62)*IF($A62=0,"",IF($A62=1,1-Assumptions!$B$16,(1-Assumptions!$B$16)*(1-Assumptions!$B$17)^($A62-1))))</x:f>
        <x:v>181.22490511538103</x:v>
      </x:c>
      <x:c r="J62" s="32" t="n">
        <x:f>IF($A62=0,"",IF($I62&gt;0,$K62/$I62,0))</x:f>
        <x:v>1</x:v>
      </x:c>
      <x:c r="K62" s="31" t="n">
        <x:f>IF($A62=0,"",LET(direct,MIN($I62,$D62),surplus,MAX(0,$I62-direct),deficit,MAX(0,$D62-direct),charge,MIN(surplus,Assumptions!$B$10,direct,deficit),direct+charge))</x:f>
        <x:v>181.22490511538103</x:v>
      </x:c>
      <x:c r="L62" s="31" t="n">
        <x:f>IF($A62=0,"",LET(direct,MIN($I62,$D62),surplus,MAX(0,$I62-direct),deficit,MAX(0,$D62-direct),charge,MIN(surplus,Assumptions!$B$10,direct,deficit),surplus-charge))</x:f>
        <x:v>0</x:v>
      </x:c>
      <x:c r="M62" s="31" t="n">
        <x:f>IF($A62=0,"",LET(direct,MIN($I62,$D62),surplus,MAX(0,$I62-direct),deficit,MAX(0,$D62-direct),charge,MIN(surplus,Assumptions!$B$10,direct,deficit),deficit-charge))</x:f>
        <x:v>783.911606521095</x:v>
      </x:c>
      <x:c r="N62" s="30" t="n">
        <x:f>IF($A62=0,"",$M62*Assumptions!$B$11*IF($A62=0,1,(1+Assumptions!$B$14)^($A62-1)))</x:f>
        <x:v>291.1626438465634</x:v>
      </x:c>
      <x:c r="O62" s="30" t="n">
        <x:f>IF($A62=0,"",$B62*Assumptions!$B$13)</x:f>
        <x:v>21.7</x:v>
      </x:c>
      <x:c r="P62" s="30" t="n">
        <x:f>IF($A62=0,"",$L62*Assumptions!$B$12)</x:f>
        <x:v>0</x:v>
      </x:c>
      <x:c r="Q62" s="30" t="n">
        <x:f>IF($A62=0,"",$N62+$O62-$P62)</x:f>
        <x:v>312.8626438465634</x:v>
      </x:c>
      <x:c r="R62" s="30" t="n">
        <x:f>IF($A62=0,"",$G62-$Q62)</x:f>
        <x:v>67.31106168768918</x:v>
      </x:c>
      <x:c r="S62" s="30" t="n">
        <x:f>IF($A62=0,"",SUM($R$17:R62))</x:f>
        <x:v>4404.0979062297965</x:v>
      </x:c>
      <x:c r="T62" s="30" t="n">
        <x:f>IF($A62=0,"",$S62-$H62)</x:f>
        <x:v>-1055.4020937702035</x:v>
      </x:c>
    </x:row>
    <x:row r="63">
      <x:c r="A63" s="40" t="n">
        <x:v>4</x:v>
      </x:c>
      <x:c r="B63" s="40" t="n">
        <x:v>30</x:v>
      </x:c>
      <x:c r="C63" s="40" t="n">
        <x:v>11</x:v>
      </x:c>
      <x:c r="D63" s="31" t="n">
        <x:f>INDEX(Assumptions!$D$24:$D$35,$C63)</x:f>
        <x:v>948.3553735444794</x:v>
      </x:c>
      <x:c r="E63" s="30" t="n">
        <x:f>$D63*Assumptions!$B$11*IF($A63=0,1,(1+Assumptions!$B$14)^($A63-1))</x:f>
        <x:v>352.2408082369365</x:v>
      </x:c>
      <x:c r="F63" s="30" t="n">
        <x:f>$B63*Assumptions!$B$13</x:f>
        <x:v>21</x:v>
      </x:c>
      <x:c r="G63" s="30" t="n">
        <x:f>$E63+$F63</x:f>
        <x:v>373.2408082369365</x:v>
      </x:c>
      <x:c r="H63" s="30" t="n">
        <x:f>IF($A63=0,"",Assumptions!$B$21)</x:f>
        <x:v>5459.5</x:v>
      </x:c>
      <x:c r="I63" s="31" t="n">
        <x:f>IF($A63=0,"",INDEX(Assumptions!$C$24:$C$35,$C63)*IF($A63=0,"",IF($A63=1,1-Assumptions!$B$16,(1-Assumptions!$B$16)*(1-Assumptions!$B$17)^($A63-1))))</x:f>
        <x:v>107.60074838181089</x:v>
      </x:c>
      <x:c r="J63" s="32" t="n">
        <x:f>IF($A63=0,"",IF($I63&gt;0,$K63/$I63,0))</x:f>
        <x:v>1</x:v>
      </x:c>
      <x:c r="K63" s="31" t="n">
        <x:f>IF($A63=0,"",LET(direct,MIN($I63,$D63),surplus,MAX(0,$I63-direct),deficit,MAX(0,$D63-direct),charge,MIN(surplus,Assumptions!$B$10,direct,deficit),direct+charge))</x:f>
        <x:v>107.60074838181089</x:v>
      </x:c>
      <x:c r="L63" s="31" t="n">
        <x:f>IF($A63=0,"",LET(direct,MIN($I63,$D63),surplus,MAX(0,$I63-direct),deficit,MAX(0,$D63-direct),charge,MIN(surplus,Assumptions!$B$10,direct,deficit),surplus-charge))</x:f>
        <x:v>0</x:v>
      </x:c>
      <x:c r="M63" s="31" t="n">
        <x:f>IF($A63=0,"",LET(direct,MIN($I63,$D63),surplus,MAX(0,$I63-direct),deficit,MAX(0,$D63-direct),charge,MIN(surplus,Assumptions!$B$10,direct,deficit),deficit-charge))</x:f>
        <x:v>840.7546251626686</x:v>
      </x:c>
      <x:c r="N63" s="30" t="n">
        <x:f>IF($A63=0,"",$M63*Assumptions!$B$11*IF($A63=0,1,(1+Assumptions!$B$14)^($A63-1)))</x:f>
        <x:v>312.27543699086885</x:v>
      </x:c>
      <x:c r="O63" s="30" t="n">
        <x:f>IF($A63=0,"",$B63*Assumptions!$B$13)</x:f>
        <x:v>21</x:v>
      </x:c>
      <x:c r="P63" s="30" t="n">
        <x:f>IF($A63=0,"",$L63*Assumptions!$B$12)</x:f>
        <x:v>0</x:v>
      </x:c>
      <x:c r="Q63" s="30" t="n">
        <x:f>IF($A63=0,"",$N63+$O63-$P63)</x:f>
        <x:v>333.27543699086885</x:v>
      </x:c>
      <x:c r="R63" s="30" t="n">
        <x:f>IF($A63=0,"",$G63-$Q63)</x:f>
        <x:v>39.96537124606766</x:v>
      </x:c>
      <x:c r="S63" s="30" t="n">
        <x:f>IF($A63=0,"",SUM($R$17:R63))</x:f>
        <x:v>4444.063277475864</x:v>
      </x:c>
      <x:c r="T63" s="30" t="n">
        <x:f>IF($A63=0,"",$S63-$H63)</x:f>
        <x:v>-1015.4367225241358</x:v>
      </x:c>
    </x:row>
    <x:row r="64">
      <x:c r="A64" s="40" t="n">
        <x:v>4</x:v>
      </x:c>
      <x:c r="B64" s="40" t="n">
        <x:v>31</x:v>
      </x:c>
      <x:c r="C64" s="40" t="n">
        <x:v>12</x:v>
      </x:c>
      <x:c r="D64" s="31" t="n">
        <x:f>INDEX(Assumptions!$D$24:$D$35,$C64)</x:f>
        <x:v>928.0413642752205</x:v>
      </x:c>
      <x:c r="E64" s="30" t="n">
        <x:f>$D64*Assumptions!$B$11*IF($A64=0,1,(1+Assumptions!$B$14)^($A64-1))</x:f>
        <x:v>344.6957220349224</x:v>
      </x:c>
      <x:c r="F64" s="30" t="n">
        <x:f>$B64*Assumptions!$B$13</x:f>
        <x:v>21.7</x:v>
      </x:c>
      <x:c r="G64" s="30" t="n">
        <x:f>$E64+$F64</x:f>
        <x:v>366.3957220349224</x:v>
      </x:c>
      <x:c r="H64" s="30" t="n">
        <x:f>IF($A64=0,"",Assumptions!$B$21)</x:f>
        <x:v>5459.5</x:v>
      </x:c>
      <x:c r="I64" s="31" t="n">
        <x:f>IF($A64=0,"",INDEX(Assumptions!$C$24:$C$35,$C64)*IF($A64=0,"",IF($A64=1,1-Assumptions!$B$16,(1-Assumptions!$B$16)*(1-Assumptions!$B$17)^($A64-1))))</x:f>
        <x:v>79.3360930032026</x:v>
      </x:c>
      <x:c r="J64" s="32" t="n">
        <x:f>IF($A64=0,"",IF($I64&gt;0,$K64/$I64,0))</x:f>
        <x:v>1</x:v>
      </x:c>
      <x:c r="K64" s="31" t="n">
        <x:f>IF($A64=0,"",LET(direct,MIN($I64,$D64),surplus,MAX(0,$I64-direct),deficit,MAX(0,$D64-direct),charge,MIN(surplus,Assumptions!$B$10,direct,deficit),direct+charge))</x:f>
        <x:v>79.3360930032026</x:v>
      </x:c>
      <x:c r="L64" s="31" t="n">
        <x:f>IF($A64=0,"",LET(direct,MIN($I64,$D64),surplus,MAX(0,$I64-direct),deficit,MAX(0,$D64-direct),charge,MIN(surplus,Assumptions!$B$10,direct,deficit),surplus-charge))</x:f>
        <x:v>0</x:v>
      </x:c>
      <x:c r="M64" s="31" t="n">
        <x:f>IF($A64=0,"",LET(direct,MIN($I64,$D64),surplus,MAX(0,$I64-direct),deficit,MAX(0,$D64-direct),charge,MIN(surplus,Assumptions!$B$10,direct,deficit),deficit-charge))</x:f>
        <x:v>848.705271272018</x:v>
      </x:c>
      <x:c r="N64" s="30" t="n">
        <x:f>IF($A64=0,"",$M64*Assumptions!$B$11*IF($A64=0,1,(1+Assumptions!$B$14)^($A64-1)))</x:f>
        <x:v>315.22848823061247</x:v>
      </x:c>
      <x:c r="O64" s="30" t="n">
        <x:f>IF($A64=0,"",$B64*Assumptions!$B$13)</x:f>
        <x:v>21.7</x:v>
      </x:c>
      <x:c r="P64" s="30" t="n">
        <x:f>IF($A64=0,"",$L64*Assumptions!$B$12)</x:f>
        <x:v>0</x:v>
      </x:c>
      <x:c r="Q64" s="30" t="n">
        <x:f>IF($A64=0,"",$N64+$O64-$P64)</x:f>
        <x:v>336.92848823061246</x:v>
      </x:c>
      <x:c r="R64" s="30" t="n">
        <x:f>IF($A64=0,"",$G64-$Q64)</x:f>
        <x:v>29.467233804309956</x:v>
      </x:c>
      <x:c r="S64" s="30" t="n">
        <x:f>IF($A64=0,"",SUM($R$17:R64))</x:f>
        <x:v>4473.530511280174</x:v>
      </x:c>
      <x:c r="T64" s="30" t="n">
        <x:f>IF($A64=0,"",$S64-$H64)</x:f>
        <x:v>-985.9694887198257</x:v>
      </x:c>
    </x:row>
    <x:row r="65">
      <x:c r="A65" s="40" t="n">
        <x:v>5</x:v>
      </x:c>
      <x:c r="B65" s="40" t="n">
        <x:v>31</x:v>
      </x:c>
      <x:c r="C65" s="40" t="n">
        <x:v>1</x:v>
      </x:c>
      <x:c r="D65" s="31" t="n">
        <x:f>INDEX(Assumptions!$D$24:$D$35,$C65)</x:f>
        <x:v>921.8588397150115</x:v>
      </x:c>
      <x:c r="E65" s="30" t="n">
        <x:f>$D65*Assumptions!$B$11*IF($A65=0,1,(1+Assumptions!$B$14)^($A65-1))</x:f>
        <x:v>349.2473792807348</x:v>
      </x:c>
      <x:c r="F65" s="30" t="n">
        <x:f>$B65*Assumptions!$B$13</x:f>
        <x:v>21.7</x:v>
      </x:c>
      <x:c r="G65" s="30" t="n">
        <x:f>$E65+$F65</x:f>
        <x:v>370.94737928073476</x:v>
      </x:c>
      <x:c r="H65" s="30" t="n">
        <x:f>IF($A65=0,"",Assumptions!$B$21)</x:f>
        <x:v>5459.5</x:v>
      </x:c>
      <x:c r="I65" s="31" t="n">
        <x:f>IF($A65=0,"",INDEX(Assumptions!$C$24:$C$35,$C65)*IF($A65=0,"",IF($A65=1,1-Assumptions!$B$16,(1-Assumptions!$B$16)*(1-Assumptions!$B$17)^($A65-1))))</x:f>
        <x:v>96.1861899723066</x:v>
      </x:c>
      <x:c r="J65" s="32" t="n">
        <x:f>IF($A65=0,"",IF($I65&gt;0,$K65/$I65,0))</x:f>
        <x:v>1</x:v>
      </x:c>
      <x:c r="K65" s="31" t="n">
        <x:f>IF($A65=0,"",LET(direct,MIN($I65,$D65),surplus,MAX(0,$I65-direct),deficit,MAX(0,$D65-direct),charge,MIN(surplus,Assumptions!$B$10,direct,deficit),direct+charge))</x:f>
        <x:v>96.1861899723066</x:v>
      </x:c>
      <x:c r="L65" s="31" t="n">
        <x:f>IF($A65=0,"",LET(direct,MIN($I65,$D65),surplus,MAX(0,$I65-direct),deficit,MAX(0,$D65-direct),charge,MIN(surplus,Assumptions!$B$10,direct,deficit),surplus-charge))</x:f>
        <x:v>0</x:v>
      </x:c>
      <x:c r="M65" s="31" t="n">
        <x:f>IF($A65=0,"",LET(direct,MIN($I65,$D65),surplus,MAX(0,$I65-direct),deficit,MAX(0,$D65-direct),charge,MIN(surplus,Assumptions!$B$10,direct,deficit),deficit-charge))</x:f>
        <x:v>825.672649742705</x:v>
      </x:c>
      <x:c r="N65" s="30" t="n">
        <x:f>IF($A65=0,"",$M65*Assumptions!$B$11*IF($A65=0,1,(1+Assumptions!$B$14)^($A65-1)))</x:f>
        <x:v>312.80712039987185</x:v>
      </x:c>
      <x:c r="O65" s="30" t="n">
        <x:f>IF($A65=0,"",$B65*Assumptions!$B$13)</x:f>
        <x:v>21.7</x:v>
      </x:c>
      <x:c r="P65" s="30" t="n">
        <x:f>IF($A65=0,"",$L65*Assumptions!$B$12)</x:f>
        <x:v>0</x:v>
      </x:c>
      <x:c r="Q65" s="30" t="n">
        <x:f>IF($A65=0,"",$N65+$O65-$P65)</x:f>
        <x:v>334.50712039987184</x:v>
      </x:c>
      <x:c r="R65" s="30" t="n">
        <x:f>IF($A65=0,"",$G65-$Q65)</x:f>
        <x:v>36.44025888086293</x:v>
      </x:c>
      <x:c r="S65" s="30" t="n">
        <x:f>IF($A65=0,"",SUM($R$17:R65))</x:f>
        <x:v>4509.970770161037</x:v>
      </x:c>
      <x:c r="T65" s="30" t="n">
        <x:f>IF($A65=0,"",$S65-$H65)</x:f>
        <x:v>-949.5292298389631</x:v>
      </x:c>
    </x:row>
    <x:row r="66">
      <x:c r="A66" s="40" t="n">
        <x:v>5</x:v>
      </x:c>
      <x:c r="B66" s="40" t="n">
        <x:v>28</x:v>
      </x:c>
      <x:c r="C66" s="40" t="n">
        <x:v>2</x:v>
      </x:c>
      <x:c r="D66" s="31" t="n">
        <x:f>INDEX(Assumptions!$D$24:$D$35,$C66)</x:f>
        <x:v>923.6252753036425</x:v>
      </x:c>
      <x:c r="E66" s="30" t="n">
        <x:f>$D66*Assumptions!$B$11*IF($A66=0,1,(1+Assumptions!$B$14)^($A66-1))</x:f>
        <x:v>349.9165956221307</x:v>
      </x:c>
      <x:c r="F66" s="30" t="n">
        <x:f>$B66*Assumptions!$B$13</x:f>
        <x:v>19.599999999999998</x:v>
      </x:c>
      <x:c r="G66" s="30" t="n">
        <x:f>$E66+$F66</x:f>
        <x:v>369.51659562213075</x:v>
      </x:c>
      <x:c r="H66" s="30" t="n">
        <x:f>IF($A66=0,"",Assumptions!$B$21)</x:f>
        <x:v>5459.5</x:v>
      </x:c>
      <x:c r="I66" s="31" t="n">
        <x:f>IF($A66=0,"",INDEX(Assumptions!$C$24:$C$35,$C66)*IF($A66=0,"",IF($A66=1,1-Assumptions!$B$16,(1-Assumptions!$B$16)*(1-Assumptions!$B$17)^($A66-1))))</x:f>
        <x:v>152.0622351194501</x:v>
      </x:c>
      <x:c r="J66" s="32" t="n">
        <x:f>IF($A66=0,"",IF($I66&gt;0,$K66/$I66,0))</x:f>
        <x:v>1</x:v>
      </x:c>
      <x:c r="K66" s="31" t="n">
        <x:f>IF($A66=0,"",LET(direct,MIN($I66,$D66),surplus,MAX(0,$I66-direct),deficit,MAX(0,$D66-direct),charge,MIN(surplus,Assumptions!$B$10,direct,deficit),direct+charge))</x:f>
        <x:v>152.0622351194501</x:v>
      </x:c>
      <x:c r="L66" s="31" t="n">
        <x:f>IF($A66=0,"",LET(direct,MIN($I66,$D66),surplus,MAX(0,$I66-direct),deficit,MAX(0,$D66-direct),charge,MIN(surplus,Assumptions!$B$10,direct,deficit),surplus-charge))</x:f>
        <x:v>0</x:v>
      </x:c>
      <x:c r="M66" s="31" t="n">
        <x:f>IF($A66=0,"",LET(direct,MIN($I66,$D66),surplus,MAX(0,$I66-direct),deficit,MAX(0,$D66-direct),charge,MIN(surplus,Assumptions!$B$10,direct,deficit),deficit-charge))</x:f>
        <x:v>771.5630401841925</x:v>
      </x:c>
      <x:c r="N66" s="30" t="n">
        <x:f>IF($A66=0,"",$M66*Assumptions!$B$11*IF($A66=0,1,(1+Assumptions!$B$14)^($A66-1)))</x:f>
        <x:v>292.30762685695976</x:v>
      </x:c>
      <x:c r="O66" s="30" t="n">
        <x:f>IF($A66=0,"",$B66*Assumptions!$B$13)</x:f>
        <x:v>19.599999999999998</x:v>
      </x:c>
      <x:c r="P66" s="30" t="n">
        <x:f>IF($A66=0,"",$L66*Assumptions!$B$12)</x:f>
        <x:v>0</x:v>
      </x:c>
      <x:c r="Q66" s="30" t="n">
        <x:f>IF($A66=0,"",$N66+$O66-$P66)</x:f>
        <x:v>311.9076268569598</x:v>
      </x:c>
      <x:c r="R66" s="30" t="n">
        <x:f>IF($A66=0,"",$G66-$Q66)</x:f>
        <x:v>57.60896876517097</x:v>
      </x:c>
      <x:c r="S66" s="30" t="n">
        <x:f>IF($A66=0,"",SUM($R$17:R66))</x:f>
        <x:v>4567.579738926208</x:v>
      </x:c>
      <x:c r="T66" s="30" t="n">
        <x:f>IF($A66=0,"",$S66-$H66)</x:f>
        <x:v>-891.9202610737921</x:v>
      </x:c>
    </x:row>
    <x:row r="67">
      <x:c r="A67" s="40" t="n">
        <x:v>5</x:v>
      </x:c>
      <x:c r="B67" s="40" t="n">
        <x:v>31</x:v>
      </x:c>
      <x:c r="C67" s="40" t="n">
        <x:v>3</x:v>
      </x:c>
      <x:c r="D67" s="31" t="n">
        <x:f>INDEX(Assumptions!$D$24:$D$35,$C67)</x:f>
        <x:v>907.7273550059616</x:v>
      </x:c>
      <x:c r="E67" s="30" t="n">
        <x:f>$D67*Assumptions!$B$11*IF($A67=0,1,(1+Assumptions!$B$14)^($A67-1))</x:f>
        <x:v>343.8936485495664</x:v>
      </x:c>
      <x:c r="F67" s="30" t="n">
        <x:f>$B67*Assumptions!$B$13</x:f>
        <x:v>21.7</x:v>
      </x:c>
      <x:c r="G67" s="30" t="n">
        <x:f>$E67+$F67</x:f>
        <x:v>365.5936485495664</x:v>
      </x:c>
      <x:c r="H67" s="30" t="n">
        <x:f>IF($A67=0,"",Assumptions!$B$21)</x:f>
        <x:v>5459.5</x:v>
      </x:c>
      <x:c r="I67" s="31" t="n">
        <x:f>IF($A67=0,"",INDEX(Assumptions!$C$24:$C$35,$C67)*IF($A67=0,"",IF($A67=1,1-Assumptions!$B$16,(1-Assumptions!$B$16)*(1-Assumptions!$B$17)^($A67-1))))</x:f>
        <x:v>268.4221507095133</x:v>
      </x:c>
      <x:c r="J67" s="32" t="n">
        <x:f>IF($A67=0,"",IF($I67&gt;0,$K67/$I67,0))</x:f>
        <x:v>1</x:v>
      </x:c>
      <x:c r="K67" s="31" t="n">
        <x:f>IF($A67=0,"",LET(direct,MIN($I67,$D67),surplus,MAX(0,$I67-direct),deficit,MAX(0,$D67-direct),charge,MIN(surplus,Assumptions!$B$10,direct,deficit),direct+charge))</x:f>
        <x:v>268.4221507095133</x:v>
      </x:c>
      <x:c r="L67" s="31" t="n">
        <x:f>IF($A67=0,"",LET(direct,MIN($I67,$D67),surplus,MAX(0,$I67-direct),deficit,MAX(0,$D67-direct),charge,MIN(surplus,Assumptions!$B$10,direct,deficit),surplus-charge))</x:f>
        <x:v>0</x:v>
      </x:c>
      <x:c r="M67" s="31" t="n">
        <x:f>IF($A67=0,"",LET(direct,MIN($I67,$D67),surplus,MAX(0,$I67-direct),deficit,MAX(0,$D67-direct),charge,MIN(surplus,Assumptions!$B$10,direct,deficit),deficit-charge))</x:f>
        <x:v>639.3052042964483</x:v>
      </x:c>
      <x:c r="N67" s="30" t="n">
        <x:f>IF($A67=0,"",$M67*Assumptions!$B$11*IF($A67=0,1,(1+Assumptions!$B$14)^($A67-1)))</x:f>
        <x:v>242.20157961504603</x:v>
      </x:c>
      <x:c r="O67" s="30" t="n">
        <x:f>IF($A67=0,"",$B67*Assumptions!$B$13)</x:f>
        <x:v>21.7</x:v>
      </x:c>
      <x:c r="P67" s="30" t="n">
        <x:f>IF($A67=0,"",$L67*Assumptions!$B$12)</x:f>
        <x:v>0</x:v>
      </x:c>
      <x:c r="Q67" s="30" t="n">
        <x:f>IF($A67=0,"",$N67+$O67-$P67)</x:f>
        <x:v>263.90157961504605</x:v>
      </x:c>
      <x:c r="R67" s="30" t="n">
        <x:f>IF($A67=0,"",$G67-$Q67)</x:f>
        <x:v>101.69206893452036</x:v>
      </x:c>
      <x:c r="S67" s="30" t="n">
        <x:f>IF($A67=0,"",SUM($R$17:R67))</x:f>
        <x:v>4669.271807860729</x:v>
      </x:c>
      <x:c r="T67" s="30" t="n">
        <x:f>IF($A67=0,"",$S67-$H67)</x:f>
        <x:v>-790.2281921392714</x:v>
      </x:c>
    </x:row>
    <x:row r="68">
      <x:c r="A68" s="40" t="n">
        <x:v>5</x:v>
      </x:c>
      <x:c r="B68" s="40" t="n">
        <x:v>30</x:v>
      </x:c>
      <x:c r="C68" s="40" t="n">
        <x:v>4</x:v>
      </x:c>
      <x:c r="D68" s="31" t="n">
        <x:f>INDEX(Assumptions!$D$24:$D$35,$C68)</x:f>
        <x:v>951.0050269274262</x:v>
      </x:c>
      <x:c r="E68" s="30" t="n">
        <x:f>$D68*Assumptions!$B$11*IF($A68=0,1,(1+Assumptions!$B$14)^($A68-1))</x:f>
        <x:v>360.2894489137692</x:v>
      </x:c>
      <x:c r="F68" s="30" t="n">
        <x:f>$B68*Assumptions!$B$13</x:f>
        <x:v>21</x:v>
      </x:c>
      <x:c r="G68" s="30" t="n">
        <x:f>$E68+$F68</x:f>
        <x:v>381.2894489137692</x:v>
      </x:c>
      <x:c r="H68" s="30" t="n">
        <x:f>IF($A68=0,"",Assumptions!$B$21)</x:f>
        <x:v>5459.5</x:v>
      </x:c>
      <x:c r="I68" s="31" t="n">
        <x:f>IF($A68=0,"",INDEX(Assumptions!$C$24:$C$35,$C68)*IF($A68=0,"",IF($A68=1,1-Assumptions!$B$16,(1-Assumptions!$B$16)*(1-Assumptions!$B$17)^($A68-1))))</x:f>
        <x:v>357.4573120311775</x:v>
      </x:c>
      <x:c r="J68" s="32" t="n">
        <x:f>IF($A68=0,"",IF($I68&gt;0,$K68/$I68,0))</x:f>
        <x:v>1</x:v>
      </x:c>
      <x:c r="K68" s="31" t="n">
        <x:f>IF($A68=0,"",LET(direct,MIN($I68,$D68),surplus,MAX(0,$I68-direct),deficit,MAX(0,$D68-direct),charge,MIN(surplus,Assumptions!$B$10,direct,deficit),direct+charge))</x:f>
        <x:v>357.4573120311775</x:v>
      </x:c>
      <x:c r="L68" s="31" t="n">
        <x:f>IF($A68=0,"",LET(direct,MIN($I68,$D68),surplus,MAX(0,$I68-direct),deficit,MAX(0,$D68-direct),charge,MIN(surplus,Assumptions!$B$10,direct,deficit),surplus-charge))</x:f>
        <x:v>0</x:v>
      </x:c>
      <x:c r="M68" s="31" t="n">
        <x:f>IF($A68=0,"",LET(direct,MIN($I68,$D68),surplus,MAX(0,$I68-direct),deficit,MAX(0,$D68-direct),charge,MIN(surplus,Assumptions!$B$10,direct,deficit),deficit-charge))</x:f>
        <x:v>593.5477148962487</x:v>
      </x:c>
      <x:c r="N68" s="30" t="n">
        <x:f>IF($A68=0,"",$M68*Assumptions!$B$11*IF($A68=0,1,(1+Assumptions!$B$14)^($A68-1)))</x:f>
        <x:v>224.86629728437373</x:v>
      </x:c>
      <x:c r="O68" s="30" t="n">
        <x:f>IF($A68=0,"",$B68*Assumptions!$B$13)</x:f>
        <x:v>21</x:v>
      </x:c>
      <x:c r="P68" s="30" t="n">
        <x:f>IF($A68=0,"",$L68*Assumptions!$B$12)</x:f>
        <x:v>0</x:v>
      </x:c>
      <x:c r="Q68" s="30" t="n">
        <x:f>IF($A68=0,"",$N68+$O68-$P68)</x:f>
        <x:v>245.86629728437373</x:v>
      </x:c>
      <x:c r="R68" s="30" t="n">
        <x:f>IF($A68=0,"",$G68-$Q68)</x:f>
        <x:v>135.42315162939548</x:v>
      </x:c>
      <x:c r="S68" s="30" t="n">
        <x:f>IF($A68=0,"",SUM($R$17:R68))</x:f>
        <x:v>4804.694959490124</x:v>
      </x:c>
      <x:c r="T68" s="30" t="n">
        <x:f>IF($A68=0,"",$S68-$H68)</x:f>
        <x:v>-654.8050405098757</x:v>
      </x:c>
    </x:row>
    <x:row r="69">
      <x:c r="A69" s="40" t="n">
        <x:v>5</x:v>
      </x:c>
      <x:c r="B69" s="40" t="n">
        <x:v>31</x:v>
      </x:c>
      <x:c r="C69" s="40" t="n">
        <x:v>5</x:v>
      </x:c>
      <x:c r="D69" s="31" t="n">
        <x:f>INDEX(Assumptions!$D$24:$D$35,$C69)</x:f>
        <x:v>480.47094299256736</x:v>
      </x:c>
      <x:c r="E69" s="30" t="n">
        <x:f>$D69*Assumptions!$B$11*IF($A69=0,1,(1+Assumptions!$B$14)^($A69-1))</x:f>
        <x:v>182.02702022423853</x:v>
      </x:c>
      <x:c r="F69" s="30" t="n">
        <x:f>$B69*Assumptions!$B$13</x:f>
        <x:v>21.7</x:v>
      </x:c>
      <x:c r="G69" s="30" t="n">
        <x:f>$E69+$F69</x:f>
        <x:v>203.72702022423852</x:v>
      </x:c>
      <x:c r="H69" s="30" t="n">
        <x:f>IF($A69=0,"",Assumptions!$B$21)</x:f>
        <x:v>5459.5</x:v>
      </x:c>
      <x:c r="I69" s="31" t="n">
        <x:f>IF($A69=0,"",INDEX(Assumptions!$C$24:$C$35,$C69)*IF($A69=0,"",IF($A69=1,1-Assumptions!$B$16,(1-Assumptions!$B$16)*(1-Assumptions!$B$17)^($A69-1))))</x:f>
        <x:v>396.0268164073874</x:v>
      </x:c>
      <x:c r="J69" s="32" t="n">
        <x:f>IF($A69=0,"",IF($I69&gt;0,$K69/$I69,0))</x:f>
        <x:v>1</x:v>
      </x:c>
      <x:c r="K69" s="31" t="n">
        <x:f>IF($A69=0,"",LET(direct,MIN($I69,$D69),surplus,MAX(0,$I69-direct),deficit,MAX(0,$D69-direct),charge,MIN(surplus,Assumptions!$B$10,direct,deficit),direct+charge))</x:f>
        <x:v>396.0268164073874</x:v>
      </x:c>
      <x:c r="L69" s="31" t="n">
        <x:f>IF($A69=0,"",LET(direct,MIN($I69,$D69),surplus,MAX(0,$I69-direct),deficit,MAX(0,$D69-direct),charge,MIN(surplus,Assumptions!$B$10,direct,deficit),surplus-charge))</x:f>
        <x:v>0</x:v>
      </x:c>
      <x:c r="M69" s="31" t="n">
        <x:f>IF($A69=0,"",LET(direct,MIN($I69,$D69),surplus,MAX(0,$I69-direct),deficit,MAX(0,$D69-direct),charge,MIN(surplus,Assumptions!$B$10,direct,deficit),deficit-charge))</x:f>
        <x:v>84.44412658517996</x:v>
      </x:c>
      <x:c r="N69" s="30" t="n">
        <x:f>IF($A69=0,"",$M69*Assumptions!$B$11*IF($A69=0,1,(1+Assumptions!$B$14)^($A69-1)))</x:f>
        <x:v>31.991763418618415</x:v>
      </x:c>
      <x:c r="O69" s="30" t="n">
        <x:f>IF($A69=0,"",$B69*Assumptions!$B$13)</x:f>
        <x:v>21.7</x:v>
      </x:c>
      <x:c r="P69" s="30" t="n">
        <x:f>IF($A69=0,"",$L69*Assumptions!$B$12)</x:f>
        <x:v>0</x:v>
      </x:c>
      <x:c r="Q69" s="30" t="n">
        <x:f>IF($A69=0,"",$N69+$O69-$P69)</x:f>
        <x:v>53.691763418618415</x:v>
      </x:c>
      <x:c r="R69" s="30" t="n">
        <x:f>IF($A69=0,"",$G69-$Q69)</x:f>
        <x:v>150.0352568056201</x:v>
      </x:c>
      <x:c r="S69" s="30" t="n">
        <x:f>IF($A69=0,"",SUM($R$17:R69))</x:f>
        <x:v>4954.730216295745</x:v>
      </x:c>
      <x:c r="T69" s="30" t="n">
        <x:f>IF($A69=0,"",$S69-$H69)</x:f>
        <x:v>-504.76978370425513</x:v>
      </x:c>
    </x:row>
    <x:row r="70">
      <x:c r="A70" s="40" t="n">
        <x:v>5</x:v>
      </x:c>
      <x:c r="B70" s="40" t="n">
        <x:v>30</x:v>
      </x:c>
      <x:c r="C70" s="40" t="n">
        <x:v>6</x:v>
      </x:c>
      <x:c r="D70" s="31" t="n">
        <x:f>INDEX(Assumptions!$D$24:$D$35,$C70)</x:f>
        <x:v>491.73724202799656</x:v>
      </x:c>
      <x:c r="E70" s="30" t="n">
        <x:f>$D70*Assumptions!$B$11*IF($A70=0,1,(1+Assumptions!$B$14)^($A70-1))</x:f>
        <x:v>186.29527176428246</x:v>
      </x:c>
      <x:c r="F70" s="30" t="n">
        <x:f>$B70*Assumptions!$B$13</x:f>
        <x:v>21</x:v>
      </x:c>
      <x:c r="G70" s="30" t="n">
        <x:f>$E70+$F70</x:f>
        <x:v>207.29527176428246</x:v>
      </x:c>
      <x:c r="H70" s="30" t="n">
        <x:f>IF($A70=0,"",Assumptions!$B$21)</x:f>
        <x:v>5459.5</x:v>
      </x:c>
      <x:c r="I70" s="31" t="n">
        <x:f>IF($A70=0,"",INDEX(Assumptions!$C$24:$C$35,$C70)*IF($A70=0,"",IF($A70=1,1-Assumptions!$B$16,(1-Assumptions!$B$16)*(1-Assumptions!$B$17)^($A70-1))))</x:f>
        <x:v>406.0879891557866</x:v>
      </x:c>
      <x:c r="J70" s="32" t="n">
        <x:f>IF($A70=0,"",IF($I70&gt;0,$K70/$I70,0))</x:f>
        <x:v>1</x:v>
      </x:c>
      <x:c r="K70" s="31" t="n">
        <x:f>IF($A70=0,"",LET(direct,MIN($I70,$D70),surplus,MAX(0,$I70-direct),deficit,MAX(0,$D70-direct),charge,MIN(surplus,Assumptions!$B$10,direct,deficit),direct+charge))</x:f>
        <x:v>406.0879891557866</x:v>
      </x:c>
      <x:c r="L70" s="31" t="n">
        <x:f>IF($A70=0,"",LET(direct,MIN($I70,$D70),surplus,MAX(0,$I70-direct),deficit,MAX(0,$D70-direct),charge,MIN(surplus,Assumptions!$B$10,direct,deficit),surplus-charge))</x:f>
        <x:v>0</x:v>
      </x:c>
      <x:c r="M70" s="31" t="n">
        <x:f>IF($A70=0,"",LET(direct,MIN($I70,$D70),surplus,MAX(0,$I70-direct),deficit,MAX(0,$D70-direct),charge,MIN(surplus,Assumptions!$B$10,direct,deficit),deficit-charge))</x:f>
        <x:v>85.64925287220996</x:v>
      </x:c>
      <x:c r="N70" s="30" t="n">
        <x:f>IF($A70=0,"",$M70*Assumptions!$B$11*IF($A70=0,1,(1+Assumptions!$B$14)^($A70-1)))</x:f>
        <x:v>32.44832702609835</x:v>
      </x:c>
      <x:c r="O70" s="30" t="n">
        <x:f>IF($A70=0,"",$B70*Assumptions!$B$13)</x:f>
        <x:v>21</x:v>
      </x:c>
      <x:c r="P70" s="30" t="n">
        <x:f>IF($A70=0,"",$L70*Assumptions!$B$12)</x:f>
        <x:v>0</x:v>
      </x:c>
      <x:c r="Q70" s="30" t="n">
        <x:f>IF($A70=0,"",$N70+$O70-$P70)</x:f>
        <x:v>53.44832702609835</x:v>
      </x:c>
      <x:c r="R70" s="30" t="n">
        <x:f>IF($A70=0,"",$G70-$Q70)</x:f>
        <x:v>153.8469447381841</x:v>
      </x:c>
      <x:c r="S70" s="30" t="n">
        <x:f>IF($A70=0,"",SUM($R$17:R70))</x:f>
        <x:v>5108.577161033929</x:v>
      </x:c>
      <x:c r="T70" s="30" t="n">
        <x:f>IF($A70=0,"",$S70-$H70)</x:f>
        <x:v>-350.92283896607114</x:v>
      </x:c>
    </x:row>
    <x:row r="71">
      <x:c r="A71" s="40" t="n">
        <x:v>5</x:v>
      </x:c>
      <x:c r="B71" s="40" t="n">
        <x:v>31</x:v>
      </x:c>
      <x:c r="C71" s="40" t="n">
        <x:v>7</x:v>
      </x:c>
      <x:c r="D71" s="31" t="n">
        <x:f>INDEX(Assumptions!$D$24:$D$35,$C71)</x:f>
        <x:v>504.2215193375261</x:v>
      </x:c>
      <x:c r="E71" s="30" t="n">
        <x:f>$D71*Assumptions!$B$11*IF($A71=0,1,(1+Assumptions!$B$14)^($A71-1))</x:f>
        <x:v>191.02495590325003</x:v>
      </x:c>
      <x:c r="F71" s="30" t="n">
        <x:f>$B71*Assumptions!$B$13</x:f>
        <x:v>21.7</x:v>
      </x:c>
      <x:c r="G71" s="30" t="n">
        <x:f>$E71+$F71</x:f>
        <x:v>212.72495590325002</x:v>
      </x:c>
      <x:c r="H71" s="30" t="n">
        <x:f>IF($A71=0,"",Assumptions!$B$21)</x:f>
        <x:v>5459.5</x:v>
      </x:c>
      <x:c r="I71" s="31" t="n">
        <x:f>IF($A71=0,"",INDEX(Assumptions!$C$24:$C$35,$C71)*IF($A71=0,"",IF($A71=1,1-Assumptions!$B$16,(1-Assumptions!$B$16)*(1-Assumptions!$B$17)^($A71-1))))</x:f>
        <x:v>419.6054450083598</x:v>
      </x:c>
      <x:c r="J71" s="32" t="n">
        <x:f>IF($A71=0,"",IF($I71&gt;0,$K71/$I71,0))</x:f>
        <x:v>1</x:v>
      </x:c>
      <x:c r="K71" s="31" t="n">
        <x:f>IF($A71=0,"",LET(direct,MIN($I71,$D71),surplus,MAX(0,$I71-direct),deficit,MAX(0,$D71-direct),charge,MIN(surplus,Assumptions!$B$10,direct,deficit),direct+charge))</x:f>
        <x:v>419.6054450083598</x:v>
      </x:c>
      <x:c r="L71" s="31" t="n">
        <x:f>IF($A71=0,"",LET(direct,MIN($I71,$D71),surplus,MAX(0,$I71-direct),deficit,MAX(0,$D71-direct),charge,MIN(surplus,Assumptions!$B$10,direct,deficit),surplus-charge))</x:f>
        <x:v>0</x:v>
      </x:c>
      <x:c r="M71" s="31" t="n">
        <x:f>IF($A71=0,"",LET(direct,MIN($I71,$D71),surplus,MAX(0,$I71-direct),deficit,MAX(0,$D71-direct),charge,MIN(surplus,Assumptions!$B$10,direct,deficit),deficit-charge))</x:f>
        <x:v>84.61607432916628</x:v>
      </x:c>
      <x:c r="N71" s="30" t="n">
        <x:f>IF($A71=0,"",$M71*Assumptions!$B$11*IF($A71=0,1,(1+Assumptions!$B$14)^($A71-1)))</x:f>
        <x:v>32.056906037394</x:v>
      </x:c>
      <x:c r="O71" s="30" t="n">
        <x:f>IF($A71=0,"",$B71*Assumptions!$B$13)</x:f>
        <x:v>21.7</x:v>
      </x:c>
      <x:c r="P71" s="30" t="n">
        <x:f>IF($A71=0,"",$L71*Assumptions!$B$12)</x:f>
        <x:v>0</x:v>
      </x:c>
      <x:c r="Q71" s="30" t="n">
        <x:f>IF($A71=0,"",$N71+$O71-$P71)</x:f>
        <x:v>53.756906037394</x:v>
      </x:c>
      <x:c r="R71" s="30" t="n">
        <x:f>IF($A71=0,"",$G71-$Q71)</x:f>
        <x:v>158.96804986585602</x:v>
      </x:c>
      <x:c r="S71" s="30" t="n">
        <x:f>IF($A71=0,"",SUM($R$17:R71))</x:f>
        <x:v>5267.545210899785</x:v>
      </x:c>
      <x:c r="T71" s="30" t="n">
        <x:f>IF($A71=0,"",$S71-$H71)</x:f>
        <x:v>-191.95478910021484</x:v>
      </x:c>
    </x:row>
    <x:row r="72">
      <x:c r="A72" s="40" t="n">
        <x:v>5</x:v>
      </x:c>
      <x:c r="B72" s="40" t="n">
        <x:v>31</x:v>
      </x:c>
      <x:c r="C72" s="40" t="n">
        <x:v>8</x:v>
      </x:c>
      <x:c r="D72" s="31" t="n">
        <x:f>INDEX(Assumptions!$D$24:$D$35,$C72)</x:f>
        <x:v>495.0866822817727</x:v>
      </x:c>
      <x:c r="E72" s="30" t="n">
        <x:f>$D72*Assumptions!$B$11*IF($A72=0,1,(1+Assumptions!$B$14)^($A72-1))</x:f>
        <x:v>187.56421141132253</x:v>
      </x:c>
      <x:c r="F72" s="30" t="n">
        <x:f>$B72*Assumptions!$B$13</x:f>
        <x:v>21.7</x:v>
      </x:c>
      <x:c r="G72" s="30" t="n">
        <x:f>$E72+$F72</x:f>
        <x:v>209.26421141132252</x:v>
      </x:c>
      <x:c r="H72" s="30" t="n">
        <x:f>IF($A72=0,"",Assumptions!$B$21)</x:f>
        <x:v>5459.5</x:v>
      </x:c>
      <x:c r="I72" s="31" t="n">
        <x:f>IF($A72=0,"",INDEX(Assumptions!$C$24:$C$35,$C72)*IF($A72=0,"",IF($A72=1,1-Assumptions!$B$16,(1-Assumptions!$B$16)*(1-Assumptions!$B$17)^($A72-1))))</x:f>
        <x:v>350.1196054380534</x:v>
      </x:c>
      <x:c r="J72" s="32" t="n">
        <x:f>IF($A72=0,"",IF($I72&gt;0,$K72/$I72,0))</x:f>
        <x:v>1</x:v>
      </x:c>
      <x:c r="K72" s="31" t="n">
        <x:f>IF($A72=0,"",LET(direct,MIN($I72,$D72),surplus,MAX(0,$I72-direct),deficit,MAX(0,$D72-direct),charge,MIN(surplus,Assumptions!$B$10,direct,deficit),direct+charge))</x:f>
        <x:v>350.1196054380534</x:v>
      </x:c>
      <x:c r="L72" s="31" t="n">
        <x:f>IF($A72=0,"",LET(direct,MIN($I72,$D72),surplus,MAX(0,$I72-direct),deficit,MAX(0,$D72-direct),charge,MIN(surplus,Assumptions!$B$10,direct,deficit),surplus-charge))</x:f>
        <x:v>0</x:v>
      </x:c>
      <x:c r="M72" s="31" t="n">
        <x:f>IF($A72=0,"",LET(direct,MIN($I72,$D72),surplus,MAX(0,$I72-direct),deficit,MAX(0,$D72-direct),charge,MIN(surplus,Assumptions!$B$10,direct,deficit),deficit-charge))</x:f>
        <x:v>144.96707684371933</x:v>
      </x:c>
      <x:c r="N72" s="30" t="n">
        <x:f>IF($A72=0,"",$M72*Assumptions!$B$11*IF($A72=0,1,(1+Assumptions!$B$14)^($A72-1)))</x:f>
        <x:v>54.920959140891576</x:v>
      </x:c>
      <x:c r="O72" s="30" t="n">
        <x:f>IF($A72=0,"",$B72*Assumptions!$B$13)</x:f>
        <x:v>21.7</x:v>
      </x:c>
      <x:c r="P72" s="30" t="n">
        <x:f>IF($A72=0,"",$L72*Assumptions!$B$12)</x:f>
        <x:v>0</x:v>
      </x:c>
      <x:c r="Q72" s="30" t="n">
        <x:f>IF($A72=0,"",$N72+$O72-$P72)</x:f>
        <x:v>76.62095914089157</x:v>
      </x:c>
      <x:c r="R72" s="30" t="n">
        <x:f>IF($A72=0,"",$G72-$Q72)</x:f>
        <x:v>132.64325227043093</x:v>
      </x:c>
      <x:c r="S72" s="30" t="n">
        <x:f>IF($A72=0,"",SUM($R$17:R72))</x:f>
        <x:v>5400.188463170216</x:v>
      </x:c>
      <x:c r="T72" s="30" t="n">
        <x:f>IF($A72=0,"",$S72-$H72)</x:f>
        <x:v>-59.31153682978402</x:v>
      </x:c>
    </x:row>
    <x:row r="73">
      <x:c r="A73" s="40" t="n">
        <x:v>5</x:v>
      </x:c>
      <x:c r="B73" s="40" t="n">
        <x:v>30</x:v>
      </x:c>
      <x:c r="C73" s="40" t="n">
        <x:v>9</x:v>
      </x:c>
      <x:c r="D73" s="31" t="n">
        <x:f>INDEX(Assumptions!$D$24:$D$35,$C73)</x:f>
        <x:v>484.7338669519189</x:v>
      </x:c>
      <x:c r="E73" s="30" t="n">
        <x:f>$D73*Assumptions!$B$11*IF($A73=0,1,(1+Assumptions!$B$14)^($A73-1))</x:f>
        <x:v>183.64203432047137</x:v>
      </x:c>
      <x:c r="F73" s="30" t="n">
        <x:f>$B73*Assumptions!$B$13</x:f>
        <x:v>21</x:v>
      </x:c>
      <x:c r="G73" s="30" t="n">
        <x:f>$E73+$F73</x:f>
        <x:v>204.64203432047137</x:v>
      </x:c>
      <x:c r="H73" s="30" t="n">
        <x:f>IF($A73=0,"",Assumptions!$B$21)</x:f>
        <x:v>5459.5</x:v>
      </x:c>
      <x:c r="I73" s="31" t="n">
        <x:f>IF($A73=0,"",INDEX(Assumptions!$C$24:$C$35,$C73)*IF($A73=0,"",IF($A73=1,1-Assumptions!$B$16,(1-Assumptions!$B$16)*(1-Assumptions!$B$17)^($A73-1))))</x:f>
        <x:v>257.79820979704294</x:v>
      </x:c>
      <x:c r="J73" s="32" t="n">
        <x:f>IF($A73=0,"",IF($I73&gt;0,$K73/$I73,0))</x:f>
        <x:v>1</x:v>
      </x:c>
      <x:c r="K73" s="31" t="n">
        <x:f>IF($A73=0,"",LET(direct,MIN($I73,$D73),surplus,MAX(0,$I73-direct),deficit,MAX(0,$D73-direct),charge,MIN(surplus,Assumptions!$B$10,direct,deficit),direct+charge))</x:f>
        <x:v>257.79820979704294</x:v>
      </x:c>
      <x:c r="L73" s="31" t="n">
        <x:f>IF($A73=0,"",LET(direct,MIN($I73,$D73),surplus,MAX(0,$I73-direct),deficit,MAX(0,$D73-direct),charge,MIN(surplus,Assumptions!$B$10,direct,deficit),surplus-charge))</x:f>
        <x:v>0</x:v>
      </x:c>
      <x:c r="M73" s="31" t="n">
        <x:f>IF($A73=0,"",LET(direct,MIN($I73,$D73),surplus,MAX(0,$I73-direct),deficit,MAX(0,$D73-direct),charge,MIN(surplus,Assumptions!$B$10,direct,deficit),deficit-charge))</x:f>
        <x:v>226.93565715487597</x:v>
      </x:c>
      <x:c r="N73" s="30" t="n">
        <x:f>IF($A73=0,"",$M73*Assumptions!$B$11*IF($A73=0,1,(1+Assumptions!$B$14)^($A73-1)))</x:f>
        <x:v>85.97485874431014</x:v>
      </x:c>
      <x:c r="O73" s="30" t="n">
        <x:f>IF($A73=0,"",$B73*Assumptions!$B$13)</x:f>
        <x:v>21</x:v>
      </x:c>
      <x:c r="P73" s="30" t="n">
        <x:f>IF($A73=0,"",$L73*Assumptions!$B$12)</x:f>
        <x:v>0</x:v>
      </x:c>
      <x:c r="Q73" s="30" t="n">
        <x:f>IF($A73=0,"",$N73+$O73-$P73)</x:f>
        <x:v>106.97485874431014</x:v>
      </x:c>
      <x:c r="R73" s="30" t="n">
        <x:f>IF($A73=0,"",$G73-$Q73)</x:f>
        <x:v>97.66717557616123</x:v>
      </x:c>
      <x:c r="S73" s="30" t="n">
        <x:f>IF($A73=0,"",SUM($R$17:R73))</x:f>
        <x:v>5497.855638746377</x:v>
      </x:c>
      <x:c r="T73" s="30" t="n">
        <x:f>IF($A73=0,"",$S73-$H73)</x:f>
        <x:v>38.355638746376826</x:v>
      </x:c>
    </x:row>
    <x:row r="74">
      <x:c r="A74" s="40" t="n">
        <x:v>5</x:v>
      </x:c>
      <x:c r="B74" s="40" t="n">
        <x:v>31</x:v>
      </x:c>
      <x:c r="C74" s="40" t="n">
        <x:v>10</x:v>
      </x:c>
      <x:c r="D74" s="31" t="n">
        <x:f>INDEX(Assumptions!$D$24:$D$35,$C74)</x:f>
        <x:v>965.136511636476</x:v>
      </x:c>
      <x:c r="E74" s="30" t="n">
        <x:f>$D74*Assumptions!$B$11*IF($A74=0,1,(1+Assumptions!$B$14)^($A74-1))</x:f>
        <x:v>365.64317964493756</x:v>
      </x:c>
      <x:c r="F74" s="30" t="n">
        <x:f>$B74*Assumptions!$B$13</x:f>
        <x:v>21.7</x:v>
      </x:c>
      <x:c r="G74" s="30" t="n">
        <x:f>$E74+$F74</x:f>
        <x:v>387.34317964493755</x:v>
      </x:c>
      <x:c r="H74" s="30" t="n">
        <x:f>IF($A74=0,"",Assumptions!$B$21)</x:f>
        <x:v>5459.5</x:v>
      </x:c>
      <x:c r="I74" s="31" t="n">
        <x:f>IF($A74=0,"",INDEX(Assumptions!$C$24:$C$35,$C74)*IF($A74=0,"",IF($A74=1,1-Assumptions!$B$16,(1-Assumptions!$B$16)*(1-Assumptions!$B$17)^($A74-1))))</x:f>
        <x:v>180.50000549491952</x:v>
      </x:c>
      <x:c r="J74" s="32" t="n">
        <x:f>IF($A74=0,"",IF($I74&gt;0,$K74/$I74,0))</x:f>
        <x:v>1</x:v>
      </x:c>
      <x:c r="K74" s="31" t="n">
        <x:f>IF($A74=0,"",LET(direct,MIN($I74,$D74),surplus,MAX(0,$I74-direct),deficit,MAX(0,$D74-direct),charge,MIN(surplus,Assumptions!$B$10,direct,deficit),direct+charge))</x:f>
        <x:v>180.50000549491952</x:v>
      </x:c>
      <x:c r="L74" s="31" t="n">
        <x:f>IF($A74=0,"",LET(direct,MIN($I74,$D74),surplus,MAX(0,$I74-direct),deficit,MAX(0,$D74-direct),charge,MIN(surplus,Assumptions!$B$10,direct,deficit),surplus-charge))</x:f>
        <x:v>0</x:v>
      </x:c>
      <x:c r="M74" s="31" t="n">
        <x:f>IF($A74=0,"",LET(direct,MIN($I74,$D74),surplus,MAX(0,$I74-direct),deficit,MAX(0,$D74-direct),charge,MIN(surplus,Assumptions!$B$10,direct,deficit),deficit-charge))</x:f>
        <x:v>784.6365061415565</x:v>
      </x:c>
      <x:c r="N74" s="30" t="n">
        <x:f>IF($A74=0,"",$M74*Assumptions!$B$11*IF($A74=0,1,(1+Assumptions!$B$14)^($A74-1)))</x:f>
        <x:v>297.2605258551804</x:v>
      </x:c>
      <x:c r="O74" s="30" t="n">
        <x:f>IF($A74=0,"",$B74*Assumptions!$B$13)</x:f>
        <x:v>21.7</x:v>
      </x:c>
      <x:c r="P74" s="30" t="n">
        <x:f>IF($A74=0,"",$L74*Assumptions!$B$12)</x:f>
        <x:v>0</x:v>
      </x:c>
      <x:c r="Q74" s="30" t="n">
        <x:f>IF($A74=0,"",$N74+$O74-$P74)</x:f>
        <x:v>318.9605258551804</x:v>
      </x:c>
      <x:c r="R74" s="30" t="n">
        <x:f>IF($A74=0,"",$G74-$Q74)</x:f>
        <x:v>68.38265378975717</x:v>
      </x:c>
      <x:c r="S74" s="30" t="n">
        <x:f>IF($A74=0,"",SUM($R$17:R74))</x:f>
        <x:v>5566.238292536134</x:v>
      </x:c>
      <x:c r="T74" s="30" t="n">
        <x:f>IF($A74=0,"",$S74-$H74)</x:f>
        <x:v>106.7382925361344</x:v>
      </x:c>
    </x:row>
    <x:row r="75">
      <x:c r="A75" s="40" t="n">
        <x:v>5</x:v>
      </x:c>
      <x:c r="B75" s="40" t="n">
        <x:v>30</x:v>
      </x:c>
      <x:c r="C75" s="40" t="n">
        <x:v>11</x:v>
      </x:c>
      <x:c r="D75" s="31" t="n">
        <x:f>INDEX(Assumptions!$D$24:$D$35,$C75)</x:f>
        <x:v>948.3553735444794</x:v>
      </x:c>
      <x:c r="E75" s="30" t="n">
        <x:f>$D75*Assumptions!$B$11*IF($A75=0,1,(1+Assumptions!$B$14)^($A75-1))</x:f>
        <x:v>359.2856244016752</x:v>
      </x:c>
      <x:c r="F75" s="30" t="n">
        <x:f>$B75*Assumptions!$B$13</x:f>
        <x:v>21</x:v>
      </x:c>
      <x:c r="G75" s="30" t="n">
        <x:f>$E75+$F75</x:f>
        <x:v>380.2856244016752</x:v>
      </x:c>
      <x:c r="H75" s="30" t="n">
        <x:f>IF($A75=0,"",Assumptions!$B$21)</x:f>
        <x:v>5459.5</x:v>
      </x:c>
      <x:c r="I75" s="31" t="n">
        <x:f>IF($A75=0,"",INDEX(Assumptions!$C$24:$C$35,$C75)*IF($A75=0,"",IF($A75=1,1-Assumptions!$B$16,(1-Assumptions!$B$16)*(1-Assumptions!$B$17)^($A75-1))))</x:f>
        <x:v>107.17034538828365</x:v>
      </x:c>
      <x:c r="J75" s="32" t="n">
        <x:f>IF($A75=0,"",IF($I75&gt;0,$K75/$I75,0))</x:f>
        <x:v>1</x:v>
      </x:c>
      <x:c r="K75" s="31" t="n">
        <x:f>IF($A75=0,"",LET(direct,MIN($I75,$D75),surplus,MAX(0,$I75-direct),deficit,MAX(0,$D75-direct),charge,MIN(surplus,Assumptions!$B$10,direct,deficit),direct+charge))</x:f>
        <x:v>107.17034538828365</x:v>
      </x:c>
      <x:c r="L75" s="31" t="n">
        <x:f>IF($A75=0,"",LET(direct,MIN($I75,$D75),surplus,MAX(0,$I75-direct),deficit,MAX(0,$D75-direct),charge,MIN(surplus,Assumptions!$B$10,direct,deficit),surplus-charge))</x:f>
        <x:v>0</x:v>
      </x:c>
      <x:c r="M75" s="31" t="n">
        <x:f>IF($A75=0,"",LET(direct,MIN($I75,$D75),surplus,MAX(0,$I75-direct),deficit,MAX(0,$D75-direct),charge,MIN(surplus,Assumptions!$B$10,direct,deficit),deficit-charge))</x:f>
        <x:v>841.1850281561958</x:v>
      </x:c>
      <x:c r="N75" s="30" t="n">
        <x:f>IF($A75=0,"",$M75*Assumptions!$B$11*IF($A75=0,1,(1+Assumptions!$B$14)^($A75-1)))</x:f>
        <x:v>318.6840044453701</x:v>
      </x:c>
      <x:c r="O75" s="30" t="n">
        <x:f>IF($A75=0,"",$B75*Assumptions!$B$13)</x:f>
        <x:v>21</x:v>
      </x:c>
      <x:c r="P75" s="30" t="n">
        <x:f>IF($A75=0,"",$L75*Assumptions!$B$12)</x:f>
        <x:v>0</x:v>
      </x:c>
      <x:c r="Q75" s="30" t="n">
        <x:f>IF($A75=0,"",$N75+$O75-$P75)</x:f>
        <x:v>339.6840044453701</x:v>
      </x:c>
      <x:c r="R75" s="30" t="n">
        <x:f>IF($A75=0,"",$G75-$Q75)</x:f>
        <x:v>40.601619956305115</x:v>
      </x:c>
      <x:c r="S75" s="30" t="n">
        <x:f>IF($A75=0,"",SUM($R$17:R75))</x:f>
        <x:v>5606.83991249244</x:v>
      </x:c>
      <x:c r="T75" s="30" t="n">
        <x:f>IF($A75=0,"",$S75-$H75)</x:f>
        <x:v>147.3399124924399</x:v>
      </x:c>
    </x:row>
    <x:row r="76">
      <x:c r="A76" s="40" t="n">
        <x:v>5</x:v>
      </x:c>
      <x:c r="B76" s="40" t="n">
        <x:v>31</x:v>
      </x:c>
      <x:c r="C76" s="40" t="n">
        <x:v>12</x:v>
      </x:c>
      <x:c r="D76" s="31" t="n">
        <x:f>INDEX(Assumptions!$D$24:$D$35,$C76)</x:f>
        <x:v>928.0413642752205</x:v>
      </x:c>
      <x:c r="E76" s="30" t="n">
        <x:f>$D76*Assumptions!$B$11*IF($A76=0,1,(1+Assumptions!$B$14)^($A76-1))</x:f>
        <x:v>351.5896364756208</x:v>
      </x:c>
      <x:c r="F76" s="30" t="n">
        <x:f>$B76*Assumptions!$B$13</x:f>
        <x:v>21.7</x:v>
      </x:c>
      <x:c r="G76" s="30" t="n">
        <x:f>$E76+$F76</x:f>
        <x:v>373.2896364756208</x:v>
      </x:c>
      <x:c r="H76" s="30" t="n">
        <x:f>IF($A76=0,"",Assumptions!$B$21)</x:f>
        <x:v>5459.5</x:v>
      </x:c>
      <x:c r="I76" s="31" t="n">
        <x:f>IF($A76=0,"",INDEX(Assumptions!$C$24:$C$35,$C76)*IF($A76=0,"",IF($A76=1,1-Assumptions!$B$16,(1-Assumptions!$B$16)*(1-Assumptions!$B$17)^($A76-1))))</x:f>
        <x:v>79.0187486311898</x:v>
      </x:c>
      <x:c r="J76" s="32" t="n">
        <x:f>IF($A76=0,"",IF($I76&gt;0,$K76/$I76,0))</x:f>
        <x:v>1</x:v>
      </x:c>
      <x:c r="K76" s="31" t="n">
        <x:f>IF($A76=0,"",LET(direct,MIN($I76,$D76),surplus,MAX(0,$I76-direct),deficit,MAX(0,$D76-direct),charge,MIN(surplus,Assumptions!$B$10,direct,deficit),direct+charge))</x:f>
        <x:v>79.0187486311898</x:v>
      </x:c>
      <x:c r="L76" s="31" t="n">
        <x:f>IF($A76=0,"",LET(direct,MIN($I76,$D76),surplus,MAX(0,$I76-direct),deficit,MAX(0,$D76-direct),charge,MIN(surplus,Assumptions!$B$10,direct,deficit),surplus-charge))</x:f>
        <x:v>0</x:v>
      </x:c>
      <x:c r="M76" s="31" t="n">
        <x:f>IF($A76=0,"",LET(direct,MIN($I76,$D76),surplus,MAX(0,$I76-direct),deficit,MAX(0,$D76-direct),charge,MIN(surplus,Assumptions!$B$10,direct,deficit),deficit-charge))</x:f>
        <x:v>849.0226156440308</x:v>
      </x:c>
      <x:c r="N76" s="30" t="n">
        <x:f>IF($A76=0,"",$M76*Assumptions!$B$11*IF($A76=0,1,(1+Assumptions!$B$14)^($A76-1)))</x:f>
        <x:v>321.6532843091463</x:v>
      </x:c>
      <x:c r="O76" s="30" t="n">
        <x:f>IF($A76=0,"",$B76*Assumptions!$B$13)</x:f>
        <x:v>21.7</x:v>
      </x:c>
      <x:c r="P76" s="30" t="n">
        <x:f>IF($A76=0,"",$L76*Assumptions!$B$12)</x:f>
        <x:v>0</x:v>
      </x:c>
      <x:c r="Q76" s="30" t="n">
        <x:f>IF($A76=0,"",$N76+$O76-$P76)</x:f>
        <x:v>343.35328430914626</x:v>
      </x:c>
      <x:c r="R76" s="30" t="n">
        <x:f>IF($A76=0,"",$G76-$Q76)</x:f>
        <x:v>29.936352166474535</x:v>
      </x:c>
      <x:c r="S76" s="30" t="n">
        <x:f>IF($A76=0,"",SUM($R$17:R76))</x:f>
        <x:v>5636.776264658914</x:v>
      </x:c>
      <x:c r="T76" s="30" t="n">
        <x:f>IF($A76=0,"",$S76-$H76)</x:f>
        <x:v>177.27626465891444</x:v>
      </x:c>
    </x:row>
    <x:row r="77">
      <x:c r="A77" s="40" t="n">
        <x:v>6</x:v>
      </x:c>
      <x:c r="B77" s="40" t="n">
        <x:v>31</x:v>
      </x:c>
      <x:c r="C77" s="40" t="n">
        <x:v>1</x:v>
      </x:c>
      <x:c r="D77" s="31" t="n">
        <x:f>INDEX(Assumptions!$D$24:$D$35,$C77)</x:f>
        <x:v>921.8588397150115</x:v>
      </x:c>
      <x:c r="E77" s="30" t="n">
        <x:f>$D77*Assumptions!$B$11*IF($A77=0,1,(1+Assumptions!$B$14)^($A77-1))</x:f>
        <x:v>356.23232686634947</x:v>
      </x:c>
      <x:c r="F77" s="30" t="n">
        <x:f>$B77*Assumptions!$B$13</x:f>
        <x:v>21.7</x:v>
      </x:c>
      <x:c r="G77" s="30" t="n">
        <x:f>$E77+$F77</x:f>
        <x:v>377.93232686634946</x:v>
      </x:c>
      <x:c r="H77" s="30" t="n">
        <x:f>IF($A77=0,"",Assumptions!$B$21)</x:f>
        <x:v>5459.5</x:v>
      </x:c>
      <x:c r="I77" s="31" t="n">
        <x:f>IF($A77=0,"",INDEX(Assumptions!$C$24:$C$35,$C77)*IF($A77=0,"",IF($A77=1,1-Assumptions!$B$16,(1-Assumptions!$B$16)*(1-Assumptions!$B$17)^($A77-1))))</x:f>
        <x:v>95.80144521241736</x:v>
      </x:c>
      <x:c r="J77" s="32" t="n">
        <x:f>IF($A77=0,"",IF($I77&gt;0,$K77/$I77,0))</x:f>
        <x:v>1</x:v>
      </x:c>
      <x:c r="K77" s="31" t="n">
        <x:f>IF($A77=0,"",LET(direct,MIN($I77,$D77),surplus,MAX(0,$I77-direct),deficit,MAX(0,$D77-direct),charge,MIN(surplus,Assumptions!$B$10,direct,deficit),direct+charge))</x:f>
        <x:v>95.80144521241736</x:v>
      </x:c>
      <x:c r="L77" s="31" t="n">
        <x:f>IF($A77=0,"",LET(direct,MIN($I77,$D77),surplus,MAX(0,$I77-direct),deficit,MAX(0,$D77-direct),charge,MIN(surplus,Assumptions!$B$10,direct,deficit),surplus-charge))</x:f>
        <x:v>0</x:v>
      </x:c>
      <x:c r="M77" s="31" t="n">
        <x:f>IF($A77=0,"",LET(direct,MIN($I77,$D77),surplus,MAX(0,$I77-direct),deficit,MAX(0,$D77-direct),charge,MIN(surplus,Assumptions!$B$10,direct,deficit),deficit-charge))</x:f>
        <x:v>826.0573945025942</x:v>
      </x:c>
      <x:c r="N77" s="30" t="n">
        <x:f>IF($A77=0,"",$M77*Assumptions!$B$11*IF($A77=0,1,(1+Assumptions!$B$14)^($A77-1)))</x:f>
        <x:v>319.2119390641032</x:v>
      </x:c>
      <x:c r="O77" s="30" t="n">
        <x:f>IF($A77=0,"",$B77*Assumptions!$B$13)</x:f>
        <x:v>21.7</x:v>
      </x:c>
      <x:c r="P77" s="30" t="n">
        <x:f>IF($A77=0,"",$L77*Assumptions!$B$12)</x:f>
        <x:v>0</x:v>
      </x:c>
      <x:c r="Q77" s="30" t="n">
        <x:f>IF($A77=0,"",$N77+$O77-$P77)</x:f>
        <x:v>340.9119390641032</x:v>
      </x:c>
      <x:c r="R77" s="30" t="n">
        <x:f>IF($A77=0,"",$G77-$Q77)</x:f>
        <x:v>37.02038780224626</x:v>
      </x:c>
      <x:c r="S77" s="30" t="n">
        <x:f>IF($A77=0,"",SUM($R$17:R77))</x:f>
        <x:v>5673.796652461161</x:v>
      </x:c>
      <x:c r="T77" s="30" t="n">
        <x:f>IF($A77=0,"",$S77-$H77)</x:f>
        <x:v>214.2966524611611</x:v>
      </x:c>
    </x:row>
    <x:row r="78">
      <x:c r="A78" s="40" t="n">
        <x:v>6</x:v>
      </x:c>
      <x:c r="B78" s="40" t="n">
        <x:v>28</x:v>
      </x:c>
      <x:c r="C78" s="40" t="n">
        <x:v>2</x:v>
      </x:c>
      <x:c r="D78" s="31" t="n">
        <x:f>INDEX(Assumptions!$D$24:$D$35,$C78)</x:f>
        <x:v>923.6252753036425</x:v>
      </x:c>
      <x:c r="E78" s="30" t="n">
        <x:f>$D78*Assumptions!$B$11*IF($A78=0,1,(1+Assumptions!$B$14)^($A78-1))</x:f>
        <x:v>356.9149275345734</x:v>
      </x:c>
      <x:c r="F78" s="30" t="n">
        <x:f>$B78*Assumptions!$B$13</x:f>
        <x:v>19.599999999999998</x:v>
      </x:c>
      <x:c r="G78" s="30" t="n">
        <x:f>$E78+$F78</x:f>
        <x:v>376.5149275345734</x:v>
      </x:c>
      <x:c r="H78" s="30" t="n">
        <x:f>IF($A78=0,"",Assumptions!$B$21)</x:f>
        <x:v>5459.5</x:v>
      </x:c>
      <x:c r="I78" s="31" t="n">
        <x:f>IF($A78=0,"",INDEX(Assumptions!$C$24:$C$35,$C78)*IF($A78=0,"",IF($A78=1,1-Assumptions!$B$16,(1-Assumptions!$B$16)*(1-Assumptions!$B$17)^($A78-1))))</x:f>
        <x:v>151.4539861789723</x:v>
      </x:c>
      <x:c r="J78" s="32" t="n">
        <x:f>IF($A78=0,"",IF($I78&gt;0,$K78/$I78,0))</x:f>
        <x:v>1</x:v>
      </x:c>
      <x:c r="K78" s="31" t="n">
        <x:f>IF($A78=0,"",LET(direct,MIN($I78,$D78),surplus,MAX(0,$I78-direct),deficit,MAX(0,$D78-direct),charge,MIN(surplus,Assumptions!$B$10,direct,deficit),direct+charge))</x:f>
        <x:v>151.4539861789723</x:v>
      </x:c>
      <x:c r="L78" s="31" t="n">
        <x:f>IF($A78=0,"",LET(direct,MIN($I78,$D78),surplus,MAX(0,$I78-direct),deficit,MAX(0,$D78-direct),charge,MIN(surplus,Assumptions!$B$10,direct,deficit),surplus-charge))</x:f>
        <x:v>0</x:v>
      </x:c>
      <x:c r="M78" s="31" t="n">
        <x:f>IF($A78=0,"",LET(direct,MIN($I78,$D78),surplus,MAX(0,$I78-direct),deficit,MAX(0,$D78-direct),charge,MIN(surplus,Assumptions!$B$10,direct,deficit),deficit-charge))</x:f>
        <x:v>772.1712891246702</x:v>
      </x:c>
      <x:c r="N78" s="30" t="n">
        <x:f>IF($A78=0,"",$M78*Assumptions!$B$11*IF($A78=0,1,(1+Assumptions!$B$14)^($A78-1)))</x:f>
        <x:v>298.38882398666084</x:v>
      </x:c>
      <x:c r="O78" s="30" t="n">
        <x:f>IF($A78=0,"",$B78*Assumptions!$B$13)</x:f>
        <x:v>19.599999999999998</x:v>
      </x:c>
      <x:c r="P78" s="30" t="n">
        <x:f>IF($A78=0,"",$L78*Assumptions!$B$12)</x:f>
        <x:v>0</x:v>
      </x:c>
      <x:c r="Q78" s="30" t="n">
        <x:f>IF($A78=0,"",$N78+$O78-$P78)</x:f>
        <x:v>317.98882398666086</x:v>
      </x:c>
      <x:c r="R78" s="30" t="n">
        <x:f>IF($A78=0,"",$G78-$Q78)</x:f>
        <x:v>58.526103547912555</x:v>
      </x:c>
      <x:c r="S78" s="30" t="n">
        <x:f>IF($A78=0,"",SUM($R$17:R78))</x:f>
        <x:v>5732.322756009074</x:v>
      </x:c>
      <x:c r="T78" s="30" t="n">
        <x:f>IF($A78=0,"",$S78-$H78)</x:f>
        <x:v>272.8227560090736</x:v>
      </x:c>
    </x:row>
    <x:row r="79">
      <x:c r="A79" s="40" t="n">
        <x:v>6</x:v>
      </x:c>
      <x:c r="B79" s="40" t="n">
        <x:v>31</x:v>
      </x:c>
      <x:c r="C79" s="40" t="n">
        <x:v>3</x:v>
      </x:c>
      <x:c r="D79" s="31" t="n">
        <x:f>INDEX(Assumptions!$D$24:$D$35,$C79)</x:f>
        <x:v>907.7273550059616</x:v>
      </x:c>
      <x:c r="E79" s="30" t="n">
        <x:f>$D79*Assumptions!$B$11*IF($A79=0,1,(1+Assumptions!$B$14)^($A79-1))</x:f>
        <x:v>350.77152152055777</x:v>
      </x:c>
      <x:c r="F79" s="30" t="n">
        <x:f>$B79*Assumptions!$B$13</x:f>
        <x:v>21.7</x:v>
      </x:c>
      <x:c r="G79" s="30" t="n">
        <x:f>$E79+$F79</x:f>
        <x:v>372.47152152055776</x:v>
      </x:c>
      <x:c r="H79" s="30" t="n">
        <x:f>IF($A79=0,"",Assumptions!$B$21)</x:f>
        <x:v>5459.5</x:v>
      </x:c>
      <x:c r="I79" s="31" t="n">
        <x:f>IF($A79=0,"",INDEX(Assumptions!$C$24:$C$35,$C79)*IF($A79=0,"",IF($A79=1,1-Assumptions!$B$16,(1-Assumptions!$B$16)*(1-Assumptions!$B$17)^($A79-1))))</x:f>
        <x:v>267.3484621066752</x:v>
      </x:c>
      <x:c r="J79" s="32" t="n">
        <x:f>IF($A79=0,"",IF($I79&gt;0,$K79/$I79,0))</x:f>
        <x:v>1</x:v>
      </x:c>
      <x:c r="K79" s="31" t="n">
        <x:f>IF($A79=0,"",LET(direct,MIN($I79,$D79),surplus,MAX(0,$I79-direct),deficit,MAX(0,$D79-direct),charge,MIN(surplus,Assumptions!$B$10,direct,deficit),direct+charge))</x:f>
        <x:v>267.3484621066752</x:v>
      </x:c>
      <x:c r="L79" s="31" t="n">
        <x:f>IF($A79=0,"",LET(direct,MIN($I79,$D79),surplus,MAX(0,$I79-direct),deficit,MAX(0,$D79-direct),charge,MIN(surplus,Assumptions!$B$10,direct,deficit),surplus-charge))</x:f>
        <x:v>0</x:v>
      </x:c>
      <x:c r="M79" s="31" t="n">
        <x:f>IF($A79=0,"",LET(direct,MIN($I79,$D79),surplus,MAX(0,$I79-direct),deficit,MAX(0,$D79-direct),charge,MIN(surplus,Assumptions!$B$10,direct,deficit),deficit-charge))</x:f>
        <x:v>640.3788928992865</x:v>
      </x:c>
      <x:c r="N79" s="30" t="n">
        <x:f>IF($A79=0,"",$M79*Assumptions!$B$11*IF($A79=0,1,(1+Assumptions!$B$14)^($A79-1)))</x:f>
        <x:v>247.46051484859984</x:v>
      </x:c>
      <x:c r="O79" s="30" t="n">
        <x:f>IF($A79=0,"",$B79*Assumptions!$B$13)</x:f>
        <x:v>21.7</x:v>
      </x:c>
      <x:c r="P79" s="30" t="n">
        <x:f>IF($A79=0,"",$L79*Assumptions!$B$12)</x:f>
        <x:v>0</x:v>
      </x:c>
      <x:c r="Q79" s="30" t="n">
        <x:f>IF($A79=0,"",$N79+$O79-$P79)</x:f>
        <x:v>269.16051484859986</x:v>
      </x:c>
      <x:c r="R79" s="30" t="n">
        <x:f>IF($A79=0,"",$G79-$Q79)</x:f>
        <x:v>103.3110066719579</x:v>
      </x:c>
      <x:c r="S79" s="30" t="n">
        <x:f>IF($A79=0,"",SUM($R$17:R79))</x:f>
        <x:v>5835.633762681032</x:v>
      </x:c>
      <x:c r="T79" s="30" t="n">
        <x:f>IF($A79=0,"",$S79-$H79)</x:f>
        <x:v>376.13376268103184</x:v>
      </x:c>
    </x:row>
    <x:row r="80">
      <x:c r="A80" s="40" t="n">
        <x:v>6</x:v>
      </x:c>
      <x:c r="B80" s="40" t="n">
        <x:v>30</x:v>
      </x:c>
      <x:c r="C80" s="40" t="n">
        <x:v>4</x:v>
      </x:c>
      <x:c r="D80" s="31" t="n">
        <x:f>INDEX(Assumptions!$D$24:$D$35,$C80)</x:f>
        <x:v>951.0050269274262</x:v>
      </x:c>
      <x:c r="E80" s="30" t="n">
        <x:f>$D80*Assumptions!$B$11*IF($A80=0,1,(1+Assumptions!$B$14)^($A80-1))</x:f>
        <x:v>367.4952378920446</x:v>
      </x:c>
      <x:c r="F80" s="30" t="n">
        <x:f>$B80*Assumptions!$B$13</x:f>
        <x:v>21</x:v>
      </x:c>
      <x:c r="G80" s="30" t="n">
        <x:f>$E80+$F80</x:f>
        <x:v>388.4952378920446</x:v>
      </x:c>
      <x:c r="H80" s="30" t="n">
        <x:f>IF($A80=0,"",Assumptions!$B$21)</x:f>
        <x:v>5459.5</x:v>
      </x:c>
      <x:c r="I80" s="31" t="n">
        <x:f>IF($A80=0,"",INDEX(Assumptions!$C$24:$C$35,$C80)*IF($A80=0,"",IF($A80=1,1-Assumptions!$B$16,(1-Assumptions!$B$16)*(1-Assumptions!$B$17)^($A80-1))))</x:f>
        <x:v>356.0274827830528</x:v>
      </x:c>
      <x:c r="J80" s="32" t="n">
        <x:f>IF($A80=0,"",IF($I80&gt;0,$K80/$I80,0))</x:f>
        <x:v>1</x:v>
      </x:c>
      <x:c r="K80" s="31" t="n">
        <x:f>IF($A80=0,"",LET(direct,MIN($I80,$D80),surplus,MAX(0,$I80-direct),deficit,MAX(0,$D80-direct),charge,MIN(surplus,Assumptions!$B$10,direct,deficit),direct+charge))</x:f>
        <x:v>356.0274827830528</x:v>
      </x:c>
      <x:c r="L80" s="31" t="n">
        <x:f>IF($A80=0,"",LET(direct,MIN($I80,$D80),surplus,MAX(0,$I80-direct),deficit,MAX(0,$D80-direct),charge,MIN(surplus,Assumptions!$B$10,direct,deficit),surplus-charge))</x:f>
        <x:v>0</x:v>
      </x:c>
      <x:c r="M80" s="31" t="n">
        <x:f>IF($A80=0,"",LET(direct,MIN($I80,$D80),surplus,MAX(0,$I80-direct),deficit,MAX(0,$D80-direct),charge,MIN(surplus,Assumptions!$B$10,direct,deficit),deficit-charge))</x:f>
        <x:v>594.9775441443735</x:v>
      </x:c>
      <x:c r="N80" s="30" t="n">
        <x:f>IF($A80=0,"",$M80*Assumptions!$B$11*IF($A80=0,1,(1+Assumptions!$B$14)^($A80-1)))</x:f>
        <x:v>229.91614968870917</x:v>
      </x:c>
      <x:c r="O80" s="30" t="n">
        <x:f>IF($A80=0,"",$B80*Assumptions!$B$13)</x:f>
        <x:v>21</x:v>
      </x:c>
      <x:c r="P80" s="30" t="n">
        <x:f>IF($A80=0,"",$L80*Assumptions!$B$12)</x:f>
        <x:v>0</x:v>
      </x:c>
      <x:c r="Q80" s="30" t="n">
        <x:f>IF($A80=0,"",$N80+$O80-$P80)</x:f>
        <x:v>250.91614968870917</x:v>
      </x:c>
      <x:c r="R80" s="30" t="n">
        <x:f>IF($A80=0,"",$G80-$Q80)</x:f>
        <x:v>137.57908820333543</x:v>
      </x:c>
      <x:c r="S80" s="30" t="n">
        <x:f>IF($A80=0,"",SUM($R$17:R80))</x:f>
        <x:v>5973.212850884367</x:v>
      </x:c>
      <x:c r="T80" s="30" t="n">
        <x:f>IF($A80=0,"",$S80-$H80)</x:f>
        <x:v>513.7128508843671</x:v>
      </x:c>
    </x:row>
    <x:row r="81">
      <x:c r="A81" s="40" t="n">
        <x:v>6</x:v>
      </x:c>
      <x:c r="B81" s="40" t="n">
        <x:v>31</x:v>
      </x:c>
      <x:c r="C81" s="40" t="n">
        <x:v>5</x:v>
      </x:c>
      <x:c r="D81" s="31" t="n">
        <x:f>INDEX(Assumptions!$D$24:$D$35,$C81)</x:f>
        <x:v>480.47094299256736</x:v>
      </x:c>
      <x:c r="E81" s="30" t="n">
        <x:f>$D81*Assumptions!$B$11*IF($A81=0,1,(1+Assumptions!$B$14)^($A81-1))</x:f>
        <x:v>185.6675606287233</x:v>
      </x:c>
      <x:c r="F81" s="30" t="n">
        <x:f>$B81*Assumptions!$B$13</x:f>
        <x:v>21.7</x:v>
      </x:c>
      <x:c r="G81" s="30" t="n">
        <x:f>$E81+$F81</x:f>
        <x:v>207.36756062872328</x:v>
      </x:c>
      <x:c r="H81" s="30" t="n">
        <x:f>IF($A81=0,"",Assumptions!$B$21)</x:f>
        <x:v>5459.5</x:v>
      </x:c>
      <x:c r="I81" s="31" t="n">
        <x:f>IF($A81=0,"",INDEX(Assumptions!$C$24:$C$35,$C81)*IF($A81=0,"",IF($A81=1,1-Assumptions!$B$16,(1-Assumptions!$B$16)*(1-Assumptions!$B$17)^($A81-1))))</x:f>
        <x:v>394.4427091417578</x:v>
      </x:c>
      <x:c r="J81" s="32" t="n">
        <x:f>IF($A81=0,"",IF($I81&gt;0,$K81/$I81,0))</x:f>
        <x:v>1</x:v>
      </x:c>
      <x:c r="K81" s="31" t="n">
        <x:f>IF($A81=0,"",LET(direct,MIN($I81,$D81),surplus,MAX(0,$I81-direct),deficit,MAX(0,$D81-direct),charge,MIN(surplus,Assumptions!$B$10,direct,deficit),direct+charge))</x:f>
        <x:v>394.4427091417578</x:v>
      </x:c>
      <x:c r="L81" s="31" t="n">
        <x:f>IF($A81=0,"",LET(direct,MIN($I81,$D81),surplus,MAX(0,$I81-direct),deficit,MAX(0,$D81-direct),charge,MIN(surplus,Assumptions!$B$10,direct,deficit),surplus-charge))</x:f>
        <x:v>0</x:v>
      </x:c>
      <x:c r="M81" s="31" t="n">
        <x:f>IF($A81=0,"",LET(direct,MIN($I81,$D81),surplus,MAX(0,$I81-direct),deficit,MAX(0,$D81-direct),charge,MIN(surplus,Assumptions!$B$10,direct,deficit),deficit-charge))</x:f>
        <x:v>86.02823385080956</x:v>
      </x:c>
      <x:c r="N81" s="30" t="n">
        <x:f>IF($A81=0,"",$M81*Assumptions!$B$11*IF($A81=0,1,(1+Assumptions!$B$14)^($A81-1)))</x:f>
        <x:v>33.243742534757736</x:v>
      </x:c>
      <x:c r="O81" s="30" t="n">
        <x:f>IF($A81=0,"",$B81*Assumptions!$B$13)</x:f>
        <x:v>21.7</x:v>
      </x:c>
      <x:c r="P81" s="30" t="n">
        <x:f>IF($A81=0,"",$L81*Assumptions!$B$12)</x:f>
        <x:v>0</x:v>
      </x:c>
      <x:c r="Q81" s="30" t="n">
        <x:f>IF($A81=0,"",$N81+$O81-$P81)</x:f>
        <x:v>54.94374253475773</x:v>
      </x:c>
      <x:c r="R81" s="30" t="n">
        <x:f>IF($A81=0,"",$G81-$Q81)</x:f>
        <x:v>152.42381809396556</x:v>
      </x:c>
      <x:c r="S81" s="30" t="n">
        <x:f>IF($A81=0,"",SUM($R$17:R81))</x:f>
        <x:v>6125.636668978333</x:v>
      </x:c>
      <x:c r="T81" s="30" t="n">
        <x:f>IF($A81=0,"",$S81-$H81)</x:f>
        <x:v>666.1366689783326</x:v>
      </x:c>
    </x:row>
    <x:row r="82">
      <x:c r="A82" s="40" t="n">
        <x:v>6</x:v>
      </x:c>
      <x:c r="B82" s="40" t="n">
        <x:v>30</x:v>
      </x:c>
      <x:c r="C82" s="40" t="n">
        <x:v>6</x:v>
      </x:c>
      <x:c r="D82" s="31" t="n">
        <x:f>INDEX(Assumptions!$D$24:$D$35,$C82)</x:f>
        <x:v>491.73724202799656</x:v>
      </x:c>
      <x:c r="E82" s="30" t="n">
        <x:f>$D82*Assumptions!$B$11*IF($A82=0,1,(1+Assumptions!$B$14)^($A82-1))</x:f>
        <x:v>190.02117719956811</x:v>
      </x:c>
      <x:c r="F82" s="30" t="n">
        <x:f>$B82*Assumptions!$B$13</x:f>
        <x:v>21</x:v>
      </x:c>
      <x:c r="G82" s="30" t="n">
        <x:f>$E82+$F82</x:f>
        <x:v>211.02117719956811</x:v>
      </x:c>
      <x:c r="H82" s="30" t="n">
        <x:f>IF($A82=0,"",Assumptions!$B$21)</x:f>
        <x:v>5459.5</x:v>
      </x:c>
      <x:c r="I82" s="31" t="n">
        <x:f>IF($A82=0,"",INDEX(Assumptions!$C$24:$C$35,$C82)*IF($A82=0,"",IF($A82=1,1-Assumptions!$B$16,(1-Assumptions!$B$16)*(1-Assumptions!$B$17)^($A82-1))))</x:f>
        <x:v>404.46363719916343</x:v>
      </x:c>
      <x:c r="J82" s="32" t="n">
        <x:f>IF($A82=0,"",IF($I82&gt;0,$K82/$I82,0))</x:f>
        <x:v>1</x:v>
      </x:c>
      <x:c r="K82" s="31" t="n">
        <x:f>IF($A82=0,"",LET(direct,MIN($I82,$D82),surplus,MAX(0,$I82-direct),deficit,MAX(0,$D82-direct),charge,MIN(surplus,Assumptions!$B$10,direct,deficit),direct+charge))</x:f>
        <x:v>404.46363719916343</x:v>
      </x:c>
      <x:c r="L82" s="31" t="n">
        <x:f>IF($A82=0,"",LET(direct,MIN($I82,$D82),surplus,MAX(0,$I82-direct),deficit,MAX(0,$D82-direct),charge,MIN(surplus,Assumptions!$B$10,direct,deficit),surplus-charge))</x:f>
        <x:v>0</x:v>
      </x:c>
      <x:c r="M82" s="31" t="n">
        <x:f>IF($A82=0,"",LET(direct,MIN($I82,$D82),surplus,MAX(0,$I82-direct),deficit,MAX(0,$D82-direct),charge,MIN(surplus,Assumptions!$B$10,direct,deficit),deficit-charge))</x:f>
        <x:v>87.27360482883313</x:v>
      </x:c>
      <x:c r="N82" s="30" t="n">
        <x:f>IF($A82=0,"",$M82*Assumptions!$B$11*IF($A82=0,1,(1+Assumptions!$B$14)^($A82-1)))</x:f>
        <x:v>33.72498910115211</x:v>
      </x:c>
      <x:c r="O82" s="30" t="n">
        <x:f>IF($A82=0,"",$B82*Assumptions!$B$13)</x:f>
        <x:v>21</x:v>
      </x:c>
      <x:c r="P82" s="30" t="n">
        <x:f>IF($A82=0,"",$L82*Assumptions!$B$12)</x:f>
        <x:v>0</x:v>
      </x:c>
      <x:c r="Q82" s="30" t="n">
        <x:f>IF($A82=0,"",$N82+$O82-$P82)</x:f>
        <x:v>54.72498910115211</x:v>
      </x:c>
      <x:c r="R82" s="30" t="n">
        <x:f>IF($A82=0,"",$G82-$Q82)</x:f>
        <x:v>156.296188098416</x:v>
      </x:c>
      <x:c r="S82" s="30" t="n">
        <x:f>IF($A82=0,"",SUM($R$17:R82))</x:f>
        <x:v>6281.932857076748</x:v>
      </x:c>
      <x:c r="T82" s="30" t="n">
        <x:f>IF($A82=0,"",$S82-$H82)</x:f>
        <x:v>822.4328570767484</x:v>
      </x:c>
    </x:row>
    <x:row r="83">
      <x:c r="A83" s="40" t="n">
        <x:v>6</x:v>
      </x:c>
      <x:c r="B83" s="40" t="n">
        <x:v>31</x:v>
      </x:c>
      <x:c r="C83" s="40" t="n">
        <x:v>7</x:v>
      </x:c>
      <x:c r="D83" s="31" t="n">
        <x:f>INDEX(Assumptions!$D$24:$D$35,$C83)</x:f>
        <x:v>504.2215193375261</x:v>
      </x:c>
      <x:c r="E83" s="30" t="n">
        <x:f>$D83*Assumptions!$B$11*IF($A83=0,1,(1+Assumptions!$B$14)^($A83-1))</x:f>
        <x:v>194.84545502131505</x:v>
      </x:c>
      <x:c r="F83" s="30" t="n">
        <x:f>$B83*Assumptions!$B$13</x:f>
        <x:v>21.7</x:v>
      </x:c>
      <x:c r="G83" s="30" t="n">
        <x:f>$E83+$F83</x:f>
        <x:v>216.54545502131504</x:v>
      </x:c>
      <x:c r="H83" s="30" t="n">
        <x:f>IF($A83=0,"",Assumptions!$B$21)</x:f>
        <x:v>5459.5</x:v>
      </x:c>
      <x:c r="I83" s="31" t="n">
        <x:f>IF($A83=0,"",INDEX(Assumptions!$C$24:$C$35,$C83)*IF($A83=0,"",IF($A83=1,1-Assumptions!$B$16,(1-Assumptions!$B$16)*(1-Assumptions!$B$17)^($A83-1))))</x:f>
        <x:v>417.9270232283264</x:v>
      </x:c>
      <x:c r="J83" s="32" t="n">
        <x:f>IF($A83=0,"",IF($I83&gt;0,$K83/$I83,0))</x:f>
        <x:v>1</x:v>
      </x:c>
      <x:c r="K83" s="31" t="n">
        <x:f>IF($A83=0,"",LET(direct,MIN($I83,$D83),surplus,MAX(0,$I83-direct),deficit,MAX(0,$D83-direct),charge,MIN(surplus,Assumptions!$B$10,direct,deficit),direct+charge))</x:f>
        <x:v>417.9270232283264</x:v>
      </x:c>
      <x:c r="L83" s="31" t="n">
        <x:f>IF($A83=0,"",LET(direct,MIN($I83,$D83),surplus,MAX(0,$I83-direct),deficit,MAX(0,$D83-direct),charge,MIN(surplus,Assumptions!$B$10,direct,deficit),surplus-charge))</x:f>
        <x:v>0</x:v>
      </x:c>
      <x:c r="M83" s="31" t="n">
        <x:f>IF($A83=0,"",LET(direct,MIN($I83,$D83),surplus,MAX(0,$I83-direct),deficit,MAX(0,$D83-direct),charge,MIN(surplus,Assumptions!$B$10,direct,deficit),deficit-charge))</x:f>
        <x:v>86.29449610919971</x:v>
      </x:c>
      <x:c r="N83" s="30" t="n">
        <x:f>IF($A83=0,"",$M83*Assumptions!$B$11*IF($A83=0,1,(1+Assumptions!$B$14)^($A83-1)))</x:f>
        <x:v>33.34663380159457</x:v>
      </x:c>
      <x:c r="O83" s="30" t="n">
        <x:f>IF($A83=0,"",$B83*Assumptions!$B$13)</x:f>
        <x:v>21.7</x:v>
      </x:c>
      <x:c r="P83" s="30" t="n">
        <x:f>IF($A83=0,"",$L83*Assumptions!$B$12)</x:f>
        <x:v>0</x:v>
      </x:c>
      <x:c r="Q83" s="30" t="n">
        <x:f>IF($A83=0,"",$N83+$O83-$P83)</x:f>
        <x:v>55.04663380159457</x:v>
      </x:c>
      <x:c r="R83" s="30" t="n">
        <x:f>IF($A83=0,"",$G83-$Q83)</x:f>
        <x:v>161.49882121972047</x:v>
      </x:c>
      <x:c r="S83" s="30" t="n">
        <x:f>IF($A83=0,"",SUM($R$17:R83))</x:f>
        <x:v>6443.431678296469</x:v>
      </x:c>
      <x:c r="T83" s="30" t="n">
        <x:f>IF($A83=0,"",$S83-$H83)</x:f>
        <x:v>983.9316782964688</x:v>
      </x:c>
    </x:row>
    <x:row r="84">
      <x:c r="A84" s="40" t="n">
        <x:v>6</x:v>
      </x:c>
      <x:c r="B84" s="40" t="n">
        <x:v>31</x:v>
      </x:c>
      <x:c r="C84" s="40" t="n">
        <x:v>8</x:v>
      </x:c>
      <x:c r="D84" s="31" t="n">
        <x:f>INDEX(Assumptions!$D$24:$D$35,$C84)</x:f>
        <x:v>495.0866822817727</x:v>
      </x:c>
      <x:c r="E84" s="30" t="n">
        <x:f>$D84*Assumptions!$B$11*IF($A84=0,1,(1+Assumptions!$B$14)^($A84-1))</x:f>
        <x:v>191.315495639549</x:v>
      </x:c>
      <x:c r="F84" s="30" t="n">
        <x:f>$B84*Assumptions!$B$13</x:f>
        <x:v>21.7</x:v>
      </x:c>
      <x:c r="G84" s="30" t="n">
        <x:f>$E84+$F84</x:f>
        <x:v>213.015495639549</x:v>
      </x:c>
      <x:c r="H84" s="30" t="n">
        <x:f>IF($A84=0,"",Assumptions!$B$21)</x:f>
        <x:v>5459.5</x:v>
      </x:c>
      <x:c r="I84" s="31" t="n">
        <x:f>IF($A84=0,"",INDEX(Assumptions!$C$24:$C$35,$C84)*IF($A84=0,"",IF($A84=1,1-Assumptions!$B$16,(1-Assumptions!$B$16)*(1-Assumptions!$B$17)^($A84-1))))</x:f>
        <x:v>348.7191270163012</x:v>
      </x:c>
      <x:c r="J84" s="32" t="n">
        <x:f>IF($A84=0,"",IF($I84&gt;0,$K84/$I84,0))</x:f>
        <x:v>1</x:v>
      </x:c>
      <x:c r="K84" s="31" t="n">
        <x:f>IF($A84=0,"",LET(direct,MIN($I84,$D84),surplus,MAX(0,$I84-direct),deficit,MAX(0,$D84-direct),charge,MIN(surplus,Assumptions!$B$10,direct,deficit),direct+charge))</x:f>
        <x:v>348.7191270163012</x:v>
      </x:c>
      <x:c r="L84" s="31" t="n">
        <x:f>IF($A84=0,"",LET(direct,MIN($I84,$D84),surplus,MAX(0,$I84-direct),deficit,MAX(0,$D84-direct),charge,MIN(surplus,Assumptions!$B$10,direct,deficit),surplus-charge))</x:f>
        <x:v>0</x:v>
      </x:c>
      <x:c r="M84" s="31" t="n">
        <x:f>IF($A84=0,"",LET(direct,MIN($I84,$D84),surplus,MAX(0,$I84-direct),deficit,MAX(0,$D84-direct),charge,MIN(surplus,Assumptions!$B$10,direct,deficit),deficit-charge))</x:f>
        <x:v>146.36755526547154</x:v>
      </x:c>
      <x:c r="N84" s="30" t="n">
        <x:f>IF($A84=0,"",$M84*Assumptions!$B$11*IF($A84=0,1,(1+Assumptions!$B$14)^($A84-1)))</x:f>
        <x:v>56.56056279297277</x:v>
      </x:c>
      <x:c r="O84" s="30" t="n">
        <x:f>IF($A84=0,"",$B84*Assumptions!$B$13)</x:f>
        <x:v>21.7</x:v>
      </x:c>
      <x:c r="P84" s="30" t="n">
        <x:f>IF($A84=0,"",$L84*Assumptions!$B$12)</x:f>
        <x:v>0</x:v>
      </x:c>
      <x:c r="Q84" s="30" t="n">
        <x:f>IF($A84=0,"",$N84+$O84-$P84)</x:f>
        <x:v>78.26056279297276</x:v>
      </x:c>
      <x:c r="R84" s="30" t="n">
        <x:f>IF($A84=0,"",$G84-$Q84)</x:f>
        <x:v>134.75493284657622</x:v>
      </x:c>
      <x:c r="S84" s="30" t="n">
        <x:f>IF($A84=0,"",SUM($R$17:R84))</x:f>
        <x:v>6578.186611143045</x:v>
      </x:c>
      <x:c r="T84" s="30" t="n">
        <x:f>IF($A84=0,"",$S84-$H84)</x:f>
        <x:v>1118.6866111430454</x:v>
      </x:c>
    </x:row>
    <x:row r="85">
      <x:c r="A85" s="40" t="n">
        <x:v>6</x:v>
      </x:c>
      <x:c r="B85" s="40" t="n">
        <x:v>30</x:v>
      </x:c>
      <x:c r="C85" s="40" t="n">
        <x:v>9</x:v>
      </x:c>
      <x:c r="D85" s="31" t="n">
        <x:f>INDEX(Assumptions!$D$24:$D$35,$C85)</x:f>
        <x:v>484.7338669519189</x:v>
      </x:c>
      <x:c r="E85" s="30" t="n">
        <x:f>$D85*Assumptions!$B$11*IF($A85=0,1,(1+Assumptions!$B$14)^($A85-1))</x:f>
        <x:v>187.3148750068808</x:v>
      </x:c>
      <x:c r="F85" s="30" t="n">
        <x:f>$B85*Assumptions!$B$13</x:f>
        <x:v>21</x:v>
      </x:c>
      <x:c r="G85" s="30" t="n">
        <x:f>$E85+$F85</x:f>
        <x:v>208.3148750068808</x:v>
      </x:c>
      <x:c r="H85" s="30" t="n">
        <x:f>IF($A85=0,"",Assumptions!$B$21)</x:f>
        <x:v>5459.5</x:v>
      </x:c>
      <x:c r="I85" s="31" t="n">
        <x:f>IF($A85=0,"",INDEX(Assumptions!$C$24:$C$35,$C85)*IF($A85=0,"",IF($A85=1,1-Assumptions!$B$16,(1-Assumptions!$B$16)*(1-Assumptions!$B$17)^($A85-1))))</x:f>
        <x:v>256.76701695785476</x:v>
      </x:c>
      <x:c r="J85" s="32" t="n">
        <x:f>IF($A85=0,"",IF($I85&gt;0,$K85/$I85,0))</x:f>
        <x:v>1</x:v>
      </x:c>
      <x:c r="K85" s="31" t="n">
        <x:f>IF($A85=0,"",LET(direct,MIN($I85,$D85),surplus,MAX(0,$I85-direct),deficit,MAX(0,$D85-direct),charge,MIN(surplus,Assumptions!$B$10,direct,deficit),direct+charge))</x:f>
        <x:v>256.76701695785476</x:v>
      </x:c>
      <x:c r="L85" s="31" t="n">
        <x:f>IF($A85=0,"",LET(direct,MIN($I85,$D85),surplus,MAX(0,$I85-direct),deficit,MAX(0,$D85-direct),charge,MIN(surplus,Assumptions!$B$10,direct,deficit),surplus-charge))</x:f>
        <x:v>0</x:v>
      </x:c>
      <x:c r="M85" s="31" t="n">
        <x:f>IF($A85=0,"",LET(direct,MIN($I85,$D85),surplus,MAX(0,$I85-direct),deficit,MAX(0,$D85-direct),charge,MIN(surplus,Assumptions!$B$10,direct,deficit),deficit-charge))</x:f>
        <x:v>227.96684999406415</x:v>
      </x:c>
      <x:c r="N85" s="30" t="n">
        <x:f>IF($A85=0,"",$M85*Assumptions!$B$11*IF($A85=0,1,(1+Assumptions!$B$14)^($A85-1)))</x:f>
        <x:v>88.09283799554709</x:v>
      </x:c>
      <x:c r="O85" s="30" t="n">
        <x:f>IF($A85=0,"",$B85*Assumptions!$B$13)</x:f>
        <x:v>21</x:v>
      </x:c>
      <x:c r="P85" s="30" t="n">
        <x:f>IF($A85=0,"",$L85*Assumptions!$B$12)</x:f>
        <x:v>0</x:v>
      </x:c>
      <x:c r="Q85" s="30" t="n">
        <x:f>IF($A85=0,"",$N85+$O85-$P85)</x:f>
        <x:v>109.09283799554709</x:v>
      </x:c>
      <x:c r="R85" s="30" t="n">
        <x:f>IF($A85=0,"",$G85-$Q85)</x:f>
        <x:v>99.22203701133373</x:v>
      </x:c>
      <x:c r="S85" s="30" t="n">
        <x:f>IF($A85=0,"",SUM($R$17:R85))</x:f>
        <x:v>6677.408648154379</x:v>
      </x:c>
      <x:c r="T85" s="30" t="n">
        <x:f>IF($A85=0,"",$S85-$H85)</x:f>
        <x:v>1217.908648154379</x:v>
      </x:c>
    </x:row>
    <x:row r="86">
      <x:c r="A86" s="40" t="n">
        <x:v>6</x:v>
      </x:c>
      <x:c r="B86" s="40" t="n">
        <x:v>31</x:v>
      </x:c>
      <x:c r="C86" s="40" t="n">
        <x:v>10</x:v>
      </x:c>
      <x:c r="D86" s="31" t="n">
        <x:f>INDEX(Assumptions!$D$24:$D$35,$C86)</x:f>
        <x:v>965.136511636476</x:v>
      </x:c>
      <x:c r="E86" s="30" t="n">
        <x:f>$D86*Assumptions!$B$11*IF($A86=0,1,(1+Assumptions!$B$14)^($A86-1))</x:f>
        <x:v>372.9560432378363</x:v>
      </x:c>
      <x:c r="F86" s="30" t="n">
        <x:f>$B86*Assumptions!$B$13</x:f>
        <x:v>21.7</x:v>
      </x:c>
      <x:c r="G86" s="30" t="n">
        <x:f>$E86+$F86</x:f>
        <x:v>394.6560432378363</x:v>
      </x:c>
      <x:c r="H86" s="30" t="n">
        <x:f>IF($A86=0,"",Assumptions!$B$21)</x:f>
        <x:v>5459.5</x:v>
      </x:c>
      <x:c r="I86" s="31" t="n">
        <x:f>IF($A86=0,"",INDEX(Assumptions!$C$24:$C$35,$C86)*IF($A86=0,"",IF($A86=1,1-Assumptions!$B$16,(1-Assumptions!$B$16)*(1-Assumptions!$B$17)^($A86-1))))</x:f>
        <x:v>179.77800547293984</x:v>
      </x:c>
      <x:c r="J86" s="32" t="n">
        <x:f>IF($A86=0,"",IF($I86&gt;0,$K86/$I86,0))</x:f>
        <x:v>1</x:v>
      </x:c>
      <x:c r="K86" s="31" t="n">
        <x:f>IF($A86=0,"",LET(direct,MIN($I86,$D86),surplus,MAX(0,$I86-direct),deficit,MAX(0,$D86-direct),charge,MIN(surplus,Assumptions!$B$10,direct,deficit),direct+charge))</x:f>
        <x:v>179.77800547293984</x:v>
      </x:c>
      <x:c r="L86" s="31" t="n">
        <x:f>IF($A86=0,"",LET(direct,MIN($I86,$D86),surplus,MAX(0,$I86-direct),deficit,MAX(0,$D86-direct),charge,MIN(surplus,Assumptions!$B$10,direct,deficit),surplus-charge))</x:f>
        <x:v>0</x:v>
      </x:c>
      <x:c r="M86" s="31" t="n">
        <x:f>IF($A86=0,"",LET(direct,MIN($I86,$D86),surplus,MAX(0,$I86-direct),deficit,MAX(0,$D86-direct),charge,MIN(surplus,Assumptions!$B$10,direct,deficit),deficit-charge))</x:f>
        <x:v>785.3585061635362</x:v>
      </x:c>
      <x:c r="N86" s="30" t="n">
        <x:f>IF($A86=0,"",$M86*Assumptions!$B$11*IF($A86=0,1,(1+Assumptions!$B$14)^($A86-1)))</x:f>
        <x:v>303.4847375997462</x:v>
      </x:c>
      <x:c r="O86" s="30" t="n">
        <x:f>IF($A86=0,"",$B86*Assumptions!$B$13)</x:f>
        <x:v>21.7</x:v>
      </x:c>
      <x:c r="P86" s="30" t="n">
        <x:f>IF($A86=0,"",$L86*Assumptions!$B$12)</x:f>
        <x:v>0</x:v>
      </x:c>
      <x:c r="Q86" s="30" t="n">
        <x:f>IF($A86=0,"",$N86+$O86-$P86)</x:f>
        <x:v>325.1847375997462</x:v>
      </x:c>
      <x:c r="R86" s="30" t="n">
        <x:f>IF($A86=0,"",$G86-$Q86)</x:f>
        <x:v>69.47130563809009</x:v>
      </x:c>
      <x:c r="S86" s="30" t="n">
        <x:f>IF($A86=0,"",SUM($R$17:R86))</x:f>
        <x:v>6746.879953792469</x:v>
      </x:c>
      <x:c r="T86" s="30" t="n">
        <x:f>IF($A86=0,"",$S86-$H86)</x:f>
        <x:v>1287.3799537924688</x:v>
      </x:c>
    </x:row>
    <x:row r="87">
      <x:c r="A87" s="40" t="n">
        <x:v>6</x:v>
      </x:c>
      <x:c r="B87" s="40" t="n">
        <x:v>30</x:v>
      </x:c>
      <x:c r="C87" s="40" t="n">
        <x:v>11</x:v>
      </x:c>
      <x:c r="D87" s="31" t="n">
        <x:f>INDEX(Assumptions!$D$24:$D$35,$C87)</x:f>
        <x:v>948.3553735444794</x:v>
      </x:c>
      <x:c r="E87" s="30" t="n">
        <x:f>$D87*Assumptions!$B$11*IF($A87=0,1,(1+Assumptions!$B$14)^($A87-1))</x:f>
        <x:v>366.4713368897087</x:v>
      </x:c>
      <x:c r="F87" s="30" t="n">
        <x:f>$B87*Assumptions!$B$13</x:f>
        <x:v>21</x:v>
      </x:c>
      <x:c r="G87" s="30" t="n">
        <x:f>$E87+$F87</x:f>
        <x:v>387.4713368897087</x:v>
      </x:c>
      <x:c r="H87" s="30" t="n">
        <x:f>IF($A87=0,"",Assumptions!$B$21)</x:f>
        <x:v>5459.5</x:v>
      </x:c>
      <x:c r="I87" s="31" t="n">
        <x:f>IF($A87=0,"",INDEX(Assumptions!$C$24:$C$35,$C87)*IF($A87=0,"",IF($A87=1,1-Assumptions!$B$16,(1-Assumptions!$B$16)*(1-Assumptions!$B$17)^($A87-1))))</x:f>
        <x:v>106.7416640067305</x:v>
      </x:c>
      <x:c r="J87" s="32" t="n">
        <x:f>IF($A87=0,"",IF($I87&gt;0,$K87/$I87,0))</x:f>
        <x:v>1</x:v>
      </x:c>
      <x:c r="K87" s="31" t="n">
        <x:f>IF($A87=0,"",LET(direct,MIN($I87,$D87),surplus,MAX(0,$I87-direct),deficit,MAX(0,$D87-direct),charge,MIN(surplus,Assumptions!$B$10,direct,deficit),direct+charge))</x:f>
        <x:v>106.7416640067305</x:v>
      </x:c>
      <x:c r="L87" s="31" t="n">
        <x:f>IF($A87=0,"",LET(direct,MIN($I87,$D87),surplus,MAX(0,$I87-direct),deficit,MAX(0,$D87-direct),charge,MIN(surplus,Assumptions!$B$10,direct,deficit),surplus-charge))</x:f>
        <x:v>0</x:v>
      </x:c>
      <x:c r="M87" s="31" t="n">
        <x:f>IF($A87=0,"",LET(direct,MIN($I87,$D87),surplus,MAX(0,$I87-direct),deficit,MAX(0,$D87-direct),charge,MIN(surplus,Assumptions!$B$10,direct,deficit),deficit-charge))</x:f>
        <x:v>841.613709537749</x:v>
      </x:c>
      <x:c r="N87" s="30" t="n">
        <x:f>IF($A87=0,"",$M87*Assumptions!$B$11*IF($A87=0,1,(1+Assumptions!$B$14)^($A87-1)))</x:f>
        <x:v>325.2233391436992</x:v>
      </x:c>
      <x:c r="O87" s="30" t="n">
        <x:f>IF($A87=0,"",$B87*Assumptions!$B$13)</x:f>
        <x:v>21</x:v>
      </x:c>
      <x:c r="P87" s="30" t="n">
        <x:f>IF($A87=0,"",$L87*Assumptions!$B$12)</x:f>
        <x:v>0</x:v>
      </x:c>
      <x:c r="Q87" s="30" t="n">
        <x:f>IF($A87=0,"",$N87+$O87-$P87)</x:f>
        <x:v>346.2233391436992</x:v>
      </x:c>
      <x:c r="R87" s="30" t="n">
        <x:f>IF($A87=0,"",$G87-$Q87)</x:f>
        <x:v>41.2479977460095</x:v>
      </x:c>
      <x:c r="S87" s="30" t="n">
        <x:f>IF($A87=0,"",SUM($R$17:R87))</x:f>
        <x:v>6788.127951538479</x:v>
      </x:c>
      <x:c r="T87" s="30" t="n">
        <x:f>IF($A87=0,"",$S87-$H87)</x:f>
        <x:v>1328.6279515384786</x:v>
      </x:c>
    </x:row>
    <x:row r="88">
      <x:c r="A88" s="40" t="n">
        <x:v>6</x:v>
      </x:c>
      <x:c r="B88" s="40" t="n">
        <x:v>31</x:v>
      </x:c>
      <x:c r="C88" s="40" t="n">
        <x:v>12</x:v>
      </x:c>
      <x:c r="D88" s="31" t="n">
        <x:f>INDEX(Assumptions!$D$24:$D$35,$C88)</x:f>
        <x:v>928.0413642752205</x:v>
      </x:c>
      <x:c r="E88" s="30" t="n">
        <x:f>$D88*Assumptions!$B$11*IF($A88=0,1,(1+Assumptions!$B$14)^($A88-1))</x:f>
        <x:v>358.62142920513327</x:v>
      </x:c>
      <x:c r="F88" s="30" t="n">
        <x:f>$B88*Assumptions!$B$13</x:f>
        <x:v>21.7</x:v>
      </x:c>
      <x:c r="G88" s="30" t="n">
        <x:f>$E88+$F88</x:f>
        <x:v>380.32142920513326</x:v>
      </x:c>
      <x:c r="H88" s="30" t="n">
        <x:f>IF($A88=0,"",Assumptions!$B$21)</x:f>
        <x:v>5459.5</x:v>
      </x:c>
      <x:c r="I88" s="31" t="n">
        <x:f>IF($A88=0,"",INDEX(Assumptions!$C$24:$C$35,$C88)*IF($A88=0,"",IF($A88=1,1-Assumptions!$B$16,(1-Assumptions!$B$16)*(1-Assumptions!$B$17)^($A88-1))))</x:f>
        <x:v>78.70267363666504</x:v>
      </x:c>
      <x:c r="J88" s="32" t="n">
        <x:f>IF($A88=0,"",IF($I88&gt;0,$K88/$I88,0))</x:f>
        <x:v>1</x:v>
      </x:c>
      <x:c r="K88" s="31" t="n">
        <x:f>IF($A88=0,"",LET(direct,MIN($I88,$D88),surplus,MAX(0,$I88-direct),deficit,MAX(0,$D88-direct),charge,MIN(surplus,Assumptions!$B$10,direct,deficit),direct+charge))</x:f>
        <x:v>78.70267363666504</x:v>
      </x:c>
      <x:c r="L88" s="31" t="n">
        <x:f>IF($A88=0,"",LET(direct,MIN($I88,$D88),surplus,MAX(0,$I88-direct),deficit,MAX(0,$D88-direct),charge,MIN(surplus,Assumptions!$B$10,direct,deficit),surplus-charge))</x:f>
        <x:v>0</x:v>
      </x:c>
      <x:c r="M88" s="31" t="n">
        <x:f>IF($A88=0,"",LET(direct,MIN($I88,$D88),surplus,MAX(0,$I88-direct),deficit,MAX(0,$D88-direct),charge,MIN(surplus,Assumptions!$B$10,direct,deficit),deficit-charge))</x:f>
        <x:v>849.3386906385555</x:v>
      </x:c>
      <x:c r="N88" s="30" t="n">
        <x:f>IF($A88=0,"",$M88*Assumptions!$B$11*IF($A88=0,1,(1+Assumptions!$B$14)^($A88-1)))</x:f>
        <x:v>328.20849031216846</x:v>
      </x:c>
      <x:c r="O88" s="30" t="n">
        <x:f>IF($A88=0,"",$B88*Assumptions!$B$13)</x:f>
        <x:v>21.7</x:v>
      </x:c>
      <x:c r="P88" s="30" t="n">
        <x:f>IF($A88=0,"",$L88*Assumptions!$B$12)</x:f>
        <x:v>0</x:v>
      </x:c>
      <x:c r="Q88" s="30" t="n">
        <x:f>IF($A88=0,"",$N88+$O88-$P88)</x:f>
        <x:v>349.90849031216845</x:v>
      </x:c>
      <x:c r="R88" s="30" t="n">
        <x:f>IF($A88=0,"",$G88-$Q88)</x:f>
        <x:v>30.412938892964803</x:v>
      </x:c>
      <x:c r="S88" s="30" t="n">
        <x:f>IF($A88=0,"",SUM($R$17:R88))</x:f>
        <x:v>6818.540890431444</x:v>
      </x:c>
      <x:c r="T88" s="30" t="n">
        <x:f>IF($A88=0,"",$S88-$H88)</x:f>
        <x:v>1359.0408904314436</x:v>
      </x:c>
    </x:row>
    <x:row r="89">
      <x:c r="A89" s="40" t="n">
        <x:v>7</x:v>
      </x:c>
      <x:c r="B89" s="40" t="n">
        <x:v>31</x:v>
      </x:c>
      <x:c r="C89" s="40" t="n">
        <x:v>1</x:v>
      </x:c>
      <x:c r="D89" s="31" t="n">
        <x:f>INDEX(Assumptions!$D$24:$D$35,$C89)</x:f>
        <x:v>921.8588397150115</x:v>
      </x:c>
      <x:c r="E89" s="30" t="n">
        <x:f>$D89*Assumptions!$B$11*IF($A89=0,1,(1+Assumptions!$B$14)^($A89-1))</x:f>
        <x:v>363.3569734036765</x:v>
      </x:c>
      <x:c r="F89" s="30" t="n">
        <x:f>$B89*Assumptions!$B$13</x:f>
        <x:v>21.7</x:v>
      </x:c>
      <x:c r="G89" s="30" t="n">
        <x:f>$E89+$F89</x:f>
        <x:v>385.05697340367647</x:v>
      </x:c>
      <x:c r="H89" s="30" t="n">
        <x:f>IF($A89=0,"",Assumptions!$B$21)</x:f>
        <x:v>5459.5</x:v>
      </x:c>
      <x:c r="I89" s="31" t="n">
        <x:f>IF($A89=0,"",INDEX(Assumptions!$C$24:$C$35,$C89)*IF($A89=0,"",IF($A89=1,1-Assumptions!$B$16,(1-Assumptions!$B$16)*(1-Assumptions!$B$17)^($A89-1))))</x:f>
        <x:v>95.41823943156771</x:v>
      </x:c>
      <x:c r="J89" s="32" t="n">
        <x:f>IF($A89=0,"",IF($I89&gt;0,$K89/$I89,0))</x:f>
        <x:v>1</x:v>
      </x:c>
      <x:c r="K89" s="31" t="n">
        <x:f>IF($A89=0,"",LET(direct,MIN($I89,$D89),surplus,MAX(0,$I89-direct),deficit,MAX(0,$D89-direct),charge,MIN(surplus,Assumptions!$B$10,direct,deficit),direct+charge))</x:f>
        <x:v>95.41823943156771</x:v>
      </x:c>
      <x:c r="L89" s="31" t="n">
        <x:f>IF($A89=0,"",LET(direct,MIN($I89,$D89),surplus,MAX(0,$I89-direct),deficit,MAX(0,$D89-direct),charge,MIN(surplus,Assumptions!$B$10,direct,deficit),surplus-charge))</x:f>
        <x:v>0</x:v>
      </x:c>
      <x:c r="M89" s="31" t="n">
        <x:f>IF($A89=0,"",LET(direct,MIN($I89,$D89),surplus,MAX(0,$I89-direct),deficit,MAX(0,$D89-direct),charge,MIN(surplus,Assumptions!$B$10,direct,deficit),deficit-charge))</x:f>
        <x:v>826.4406002834438</x:v>
      </x:c>
      <x:c r="N89" s="30" t="n">
        <x:f>IF($A89=0,"",$M89*Assumptions!$B$11*IF($A89=0,1,(1+Assumptions!$B$14)^($A89-1)))</x:f>
        <x:v>325.7472210276184</x:v>
      </x:c>
      <x:c r="O89" s="30" t="n">
        <x:f>IF($A89=0,"",$B89*Assumptions!$B$13)</x:f>
        <x:v>21.7</x:v>
      </x:c>
      <x:c r="P89" s="30" t="n">
        <x:f>IF($A89=0,"",$L89*Assumptions!$B$12)</x:f>
        <x:v>0</x:v>
      </x:c>
      <x:c r="Q89" s="30" t="n">
        <x:f>IF($A89=0,"",$N89+$O89-$P89)</x:f>
        <x:v>347.4472210276184</x:v>
      </x:c>
      <x:c r="R89" s="30" t="n">
        <x:f>IF($A89=0,"",$G89-$Q89)</x:f>
        <x:v>37.609752376058054</x:v>
      </x:c>
      <x:c r="S89" s="30" t="n">
        <x:f>IF($A89=0,"",SUM($R$17:R89))</x:f>
        <x:v>6856.150642807502</x:v>
      </x:c>
      <x:c r="T89" s="30" t="n">
        <x:f>IF($A89=0,"",$S89-$H89)</x:f>
        <x:v>1396.6506428075018</x:v>
      </x:c>
    </x:row>
    <x:row r="90">
      <x:c r="A90" s="40" t="n">
        <x:v>7</x:v>
      </x:c>
      <x:c r="B90" s="40" t="n">
        <x:v>28</x:v>
      </x:c>
      <x:c r="C90" s="40" t="n">
        <x:v>2</x:v>
      </x:c>
      <x:c r="D90" s="31" t="n">
        <x:f>INDEX(Assumptions!$D$24:$D$35,$C90)</x:f>
        <x:v>923.6252753036425</x:v>
      </x:c>
      <x:c r="E90" s="30" t="n">
        <x:f>$D90*Assumptions!$B$11*IF($A90=0,1,(1+Assumptions!$B$14)^($A90-1))</x:f>
        <x:v>364.05322608526484</x:v>
      </x:c>
      <x:c r="F90" s="30" t="n">
        <x:f>$B90*Assumptions!$B$13</x:f>
        <x:v>19.599999999999998</x:v>
      </x:c>
      <x:c r="G90" s="30" t="n">
        <x:f>$E90+$F90</x:f>
        <x:v>383.65322608526486</x:v>
      </x:c>
      <x:c r="H90" s="30" t="n">
        <x:f>IF($A90=0,"",Assumptions!$B$21)</x:f>
        <x:v>5459.5</x:v>
      </x:c>
      <x:c r="I90" s="31" t="n">
        <x:f>IF($A90=0,"",INDEX(Assumptions!$C$24:$C$35,$C90)*IF($A90=0,"",IF($A90=1,1-Assumptions!$B$16,(1-Assumptions!$B$16)*(1-Assumptions!$B$17)^($A90-1))))</x:f>
        <x:v>150.8481702342564</x:v>
      </x:c>
      <x:c r="J90" s="32" t="n">
        <x:f>IF($A90=0,"",IF($I90&gt;0,$K90/$I90,0))</x:f>
        <x:v>1</x:v>
      </x:c>
      <x:c r="K90" s="31" t="n">
        <x:f>IF($A90=0,"",LET(direct,MIN($I90,$D90),surplus,MAX(0,$I90-direct),deficit,MAX(0,$D90-direct),charge,MIN(surplus,Assumptions!$B$10,direct,deficit),direct+charge))</x:f>
        <x:v>150.8481702342564</x:v>
      </x:c>
      <x:c r="L90" s="31" t="n">
        <x:f>IF($A90=0,"",LET(direct,MIN($I90,$D90),surplus,MAX(0,$I90-direct),deficit,MAX(0,$D90-direct),charge,MIN(surplus,Assumptions!$B$10,direct,deficit),surplus-charge))</x:f>
        <x:v>0</x:v>
      </x:c>
      <x:c r="M90" s="31" t="n">
        <x:f>IF($A90=0,"",LET(direct,MIN($I90,$D90),surplus,MAX(0,$I90-direct),deficit,MAX(0,$D90-direct),charge,MIN(surplus,Assumptions!$B$10,direct,deficit),deficit-charge))</x:f>
        <x:v>772.7771050693862</x:v>
      </x:c>
      <x:c r="N90" s="30" t="n">
        <x:f>IF($A90=0,"",$M90*Assumptions!$B$11*IF($A90=0,1,(1+Assumptions!$B$14)^($A90-1)))</x:f>
        <x:v>304.5953869688696</x:v>
      </x:c>
      <x:c r="O90" s="30" t="n">
        <x:f>IF($A90=0,"",$B90*Assumptions!$B$13)</x:f>
        <x:v>19.599999999999998</x:v>
      </x:c>
      <x:c r="P90" s="30" t="n">
        <x:f>IF($A90=0,"",$L90*Assumptions!$B$12)</x:f>
        <x:v>0</x:v>
      </x:c>
      <x:c r="Q90" s="30" t="n">
        <x:f>IF($A90=0,"",$N90+$O90-$P90)</x:f>
        <x:v>324.1953869688696</x:v>
      </x:c>
      <x:c r="R90" s="30" t="n">
        <x:f>IF($A90=0,"",$G90-$Q90)</x:f>
        <x:v>59.457839116395235</x:v>
      </x:c>
      <x:c r="S90" s="30" t="n">
        <x:f>IF($A90=0,"",SUM($R$17:R90))</x:f>
        <x:v>6915.608481923897</x:v>
      </x:c>
      <x:c r="T90" s="30" t="n">
        <x:f>IF($A90=0,"",$S90-$H90)</x:f>
        <x:v>1456.1084819238968</x:v>
      </x:c>
    </x:row>
    <x:row r="91">
      <x:c r="A91" s="40" t="n">
        <x:v>7</x:v>
      </x:c>
      <x:c r="B91" s="40" t="n">
        <x:v>31</x:v>
      </x:c>
      <x:c r="C91" s="40" t="n">
        <x:v>3</x:v>
      </x:c>
      <x:c r="D91" s="31" t="n">
        <x:f>INDEX(Assumptions!$D$24:$D$35,$C91)</x:f>
        <x:v>907.7273550059616</x:v>
      </x:c>
      <x:c r="E91" s="30" t="n">
        <x:f>$D91*Assumptions!$B$11*IF($A91=0,1,(1+Assumptions!$B$14)^($A91-1))</x:f>
        <x:v>357.78695195096896</x:v>
      </x:c>
      <x:c r="F91" s="30" t="n">
        <x:f>$B91*Assumptions!$B$13</x:f>
        <x:v>21.7</x:v>
      </x:c>
      <x:c r="G91" s="30" t="n">
        <x:f>$E91+$F91</x:f>
        <x:v>379.48695195096894</x:v>
      </x:c>
      <x:c r="H91" s="30" t="n">
        <x:f>IF($A91=0,"",Assumptions!$B$21)</x:f>
        <x:v>5459.5</x:v>
      </x:c>
      <x:c r="I91" s="31" t="n">
        <x:f>IF($A91=0,"",INDEX(Assumptions!$C$24:$C$35,$C91)*IF($A91=0,"",IF($A91=1,1-Assumptions!$B$16,(1-Assumptions!$B$16)*(1-Assumptions!$B$17)^($A91-1))))</x:f>
        <x:v>266.2790682582485</x:v>
      </x:c>
      <x:c r="J91" s="32" t="n">
        <x:f>IF($A91=0,"",IF($I91&gt;0,$K91/$I91,0))</x:f>
        <x:v>1</x:v>
      </x:c>
      <x:c r="K91" s="31" t="n">
        <x:f>IF($A91=0,"",LET(direct,MIN($I91,$D91),surplus,MAX(0,$I91-direct),deficit,MAX(0,$D91-direct),charge,MIN(surplus,Assumptions!$B$10,direct,deficit),direct+charge))</x:f>
        <x:v>266.2790682582485</x:v>
      </x:c>
      <x:c r="L91" s="31" t="n">
        <x:f>IF($A91=0,"",LET(direct,MIN($I91,$D91),surplus,MAX(0,$I91-direct),deficit,MAX(0,$D91-direct),charge,MIN(surplus,Assumptions!$B$10,direct,deficit),surplus-charge))</x:f>
        <x:v>0</x:v>
      </x:c>
      <x:c r="M91" s="31" t="n">
        <x:f>IF($A91=0,"",LET(direct,MIN($I91,$D91),surplus,MAX(0,$I91-direct),deficit,MAX(0,$D91-direct),charge,MIN(surplus,Assumptions!$B$10,direct,deficit),deficit-charge))</x:f>
        <x:v>641.4482867477132</x:v>
      </x:c>
      <x:c r="N91" s="30" t="n">
        <x:f>IF($A91=0,"",$M91*Assumptions!$B$11*IF($A91=0,1,(1+Assumptions!$B$14)^($A91-1)))</x:f>
        <x:v>252.83123405279343</x:v>
      </x:c>
      <x:c r="O91" s="30" t="n">
        <x:f>IF($A91=0,"",$B91*Assumptions!$B$13)</x:f>
        <x:v>21.7</x:v>
      </x:c>
      <x:c r="P91" s="30" t="n">
        <x:f>IF($A91=0,"",$L91*Assumptions!$B$12)</x:f>
        <x:v>0</x:v>
      </x:c>
      <x:c r="Q91" s="30" t="n">
        <x:f>IF($A91=0,"",$N91+$O91-$P91)</x:f>
        <x:v>274.5312340527934</x:v>
      </x:c>
      <x:c r="R91" s="30" t="n">
        <x:f>IF($A91=0,"",$G91-$Q91)</x:f>
        <x:v>104.95571789817552</x:v>
      </x:c>
      <x:c r="S91" s="30" t="n">
        <x:f>IF($A91=0,"",SUM($R$17:R91))</x:f>
        <x:v>7020.564199822073</x:v>
      </x:c>
      <x:c r="T91" s="30" t="n">
        <x:f>IF($A91=0,"",$S91-$H91)</x:f>
        <x:v>1561.0641998220726</x:v>
      </x:c>
    </x:row>
    <x:row r="92">
      <x:c r="A92" s="40" t="n">
        <x:v>7</x:v>
      </x:c>
      <x:c r="B92" s="40" t="n">
        <x:v>30</x:v>
      </x:c>
      <x:c r="C92" s="40" t="n">
        <x:v>4</x:v>
      </x:c>
      <x:c r="D92" s="31" t="n">
        <x:f>INDEX(Assumptions!$D$24:$D$35,$C92)</x:f>
        <x:v>951.0050269274262</x:v>
      </x:c>
      <x:c r="E92" s="30" t="n">
        <x:f>$D92*Assumptions!$B$11*IF($A92=0,1,(1+Assumptions!$B$14)^($A92-1))</x:f>
        <x:v>374.84514264988553</x:v>
      </x:c>
      <x:c r="F92" s="30" t="n">
        <x:f>$B92*Assumptions!$B$13</x:f>
        <x:v>21</x:v>
      </x:c>
      <x:c r="G92" s="30" t="n">
        <x:f>$E92+$F92</x:f>
        <x:v>395.84514264988553</x:v>
      </x:c>
      <x:c r="H92" s="30" t="n">
        <x:f>IF($A92=0,"",Assumptions!$B$21)</x:f>
        <x:v>5459.5</x:v>
      </x:c>
      <x:c r="I92" s="31" t="n">
        <x:f>IF($A92=0,"",INDEX(Assumptions!$C$24:$C$35,$C92)*IF($A92=0,"",IF($A92=1,1-Assumptions!$B$16,(1-Assumptions!$B$16)*(1-Assumptions!$B$17)^($A92-1))))</x:f>
        <x:v>354.6033728519206</x:v>
      </x:c>
      <x:c r="J92" s="32" t="n">
        <x:f>IF($A92=0,"",IF($I92&gt;0,$K92/$I92,0))</x:f>
        <x:v>1</x:v>
      </x:c>
      <x:c r="K92" s="31" t="n">
        <x:f>IF($A92=0,"",LET(direct,MIN($I92,$D92),surplus,MAX(0,$I92-direct),deficit,MAX(0,$D92-direct),charge,MIN(surplus,Assumptions!$B$10,direct,deficit),direct+charge))</x:f>
        <x:v>354.6033728519206</x:v>
      </x:c>
      <x:c r="L92" s="31" t="n">
        <x:f>IF($A92=0,"",LET(direct,MIN($I92,$D92),surplus,MAX(0,$I92-direct),deficit,MAX(0,$D92-direct),charge,MIN(surplus,Assumptions!$B$10,direct,deficit),surplus-charge))</x:f>
        <x:v>0</x:v>
      </x:c>
      <x:c r="M92" s="31" t="n">
        <x:f>IF($A92=0,"",LET(direct,MIN($I92,$D92),surplus,MAX(0,$I92-direct),deficit,MAX(0,$D92-direct),charge,MIN(surplus,Assumptions!$B$10,direct,deficit),deficit-charge))</x:f>
        <x:v>596.4016540755056</x:v>
      </x:c>
      <x:c r="N92" s="30" t="n">
        <x:f>IF($A92=0,"",$M92*Assumptions!$B$11*IF($A92=0,1,(1+Assumptions!$B$14)^($A92-1)))</x:f>
        <x:v>235.07579536235292</x:v>
      </x:c>
      <x:c r="O92" s="30" t="n">
        <x:f>IF($A92=0,"",$B92*Assumptions!$B$13)</x:f>
        <x:v>21</x:v>
      </x:c>
      <x:c r="P92" s="30" t="n">
        <x:f>IF($A92=0,"",$L92*Assumptions!$B$12)</x:f>
        <x:v>0</x:v>
      </x:c>
      <x:c r="Q92" s="30" t="n">
        <x:f>IF($A92=0,"",$N92+$O92-$P92)</x:f>
        <x:v>256.0757953623529</x:v>
      </x:c>
      <x:c r="R92" s="30" t="n">
        <x:f>IF($A92=0,"",$G92-$Q92)</x:f>
        <x:v>139.76934728753264</x:v>
      </x:c>
      <x:c r="S92" s="30" t="n">
        <x:f>IF($A92=0,"",SUM($R$17:R92))</x:f>
        <x:v>7160.333547109605</x:v>
      </x:c>
      <x:c r="T92" s="30" t="n">
        <x:f>IF($A92=0,"",$S92-$H92)</x:f>
        <x:v>1700.8335471096052</x:v>
      </x:c>
    </x:row>
    <x:row r="93">
      <x:c r="A93" s="40" t="n">
        <x:v>7</x:v>
      </x:c>
      <x:c r="B93" s="40" t="n">
        <x:v>31</x:v>
      </x:c>
      <x:c r="C93" s="40" t="n">
        <x:v>5</x:v>
      </x:c>
      <x:c r="D93" s="31" t="n">
        <x:f>INDEX(Assumptions!$D$24:$D$35,$C93)</x:f>
        <x:v>480.47094299256736</x:v>
      </x:c>
      <x:c r="E93" s="30" t="n">
        <x:f>$D93*Assumptions!$B$11*IF($A93=0,1,(1+Assumptions!$B$14)^($A93-1))</x:f>
        <x:v>189.38091184129777</x:v>
      </x:c>
      <x:c r="F93" s="30" t="n">
        <x:f>$B93*Assumptions!$B$13</x:f>
        <x:v>21.7</x:v>
      </x:c>
      <x:c r="G93" s="30" t="n">
        <x:f>$E93+$F93</x:f>
        <x:v>211.08091184129776</x:v>
      </x:c>
      <x:c r="H93" s="30" t="n">
        <x:f>IF($A93=0,"",Assumptions!$B$21)</x:f>
        <x:v>5459.5</x:v>
      </x:c>
      <x:c r="I93" s="31" t="n">
        <x:f>IF($A93=0,"",INDEX(Assumptions!$C$24:$C$35,$C93)*IF($A93=0,"",IF($A93=1,1-Assumptions!$B$16,(1-Assumptions!$B$16)*(1-Assumptions!$B$17)^($A93-1))))</x:f>
        <x:v>392.86493830519083</x:v>
      </x:c>
      <x:c r="J93" s="32" t="n">
        <x:f>IF($A93=0,"",IF($I93&gt;0,$K93/$I93,0))</x:f>
        <x:v>1</x:v>
      </x:c>
      <x:c r="K93" s="31" t="n">
        <x:f>IF($A93=0,"",LET(direct,MIN($I93,$D93),surplus,MAX(0,$I93-direct),deficit,MAX(0,$D93-direct),charge,MIN(surplus,Assumptions!$B$10,direct,deficit),direct+charge))</x:f>
        <x:v>392.86493830519083</x:v>
      </x:c>
      <x:c r="L93" s="31" t="n">
        <x:f>IF($A93=0,"",LET(direct,MIN($I93,$D93),surplus,MAX(0,$I93-direct),deficit,MAX(0,$D93-direct),charge,MIN(surplus,Assumptions!$B$10,direct,deficit),surplus-charge))</x:f>
        <x:v>0</x:v>
      </x:c>
      <x:c r="M93" s="31" t="n">
        <x:f>IF($A93=0,"",LET(direct,MIN($I93,$D93),surplus,MAX(0,$I93-direct),deficit,MAX(0,$D93-direct),charge,MIN(surplus,Assumptions!$B$10,direct,deficit),deficit-charge))</x:f>
        <x:v>87.60600468737653</x:v>
      </x:c>
      <x:c r="N93" s="30" t="n">
        <x:f>IF($A93=0,"",$M93*Assumptions!$B$11*IF($A93=0,1,(1+Assumptions!$B$14)^($A93-1)))</x:f>
        <x:v>34.53050656327625</x:v>
      </x:c>
      <x:c r="O93" s="30" t="n">
        <x:f>IF($A93=0,"",$B93*Assumptions!$B$13)</x:f>
        <x:v>21.7</x:v>
      </x:c>
      <x:c r="P93" s="30" t="n">
        <x:f>IF($A93=0,"",$L93*Assumptions!$B$12)</x:f>
        <x:v>0</x:v>
      </x:c>
      <x:c r="Q93" s="30" t="n">
        <x:f>IF($A93=0,"",$N93+$O93-$P93)</x:f>
        <x:v>56.23050656327625</x:v>
      </x:c>
      <x:c r="R93" s="30" t="n">
        <x:f>IF($A93=0,"",$G93-$Q93)</x:f>
        <x:v>154.85040527802153</x:v>
      </x:c>
      <x:c r="S93" s="30" t="n">
        <x:f>IF($A93=0,"",SUM($R$17:R93))</x:f>
        <x:v>7315.183952387627</x:v>
      </x:c>
      <x:c r="T93" s="30" t="n">
        <x:f>IF($A93=0,"",$S93-$H93)</x:f>
        <x:v>1855.683952387627</x:v>
      </x:c>
    </x:row>
    <x:row r="94">
      <x:c r="A94" s="40" t="n">
        <x:v>7</x:v>
      </x:c>
      <x:c r="B94" s="40" t="n">
        <x:v>30</x:v>
      </x:c>
      <x:c r="C94" s="40" t="n">
        <x:v>6</x:v>
      </x:c>
      <x:c r="D94" s="31" t="n">
        <x:f>INDEX(Assumptions!$D$24:$D$35,$C94)</x:f>
        <x:v>491.73724202799656</x:v>
      </x:c>
      <x:c r="E94" s="30" t="n">
        <x:f>$D94*Assumptions!$B$11*IF($A94=0,1,(1+Assumptions!$B$14)^($A94-1))</x:f>
        <x:v>193.8216007435595</x:v>
      </x:c>
      <x:c r="F94" s="30" t="n">
        <x:f>$B94*Assumptions!$B$13</x:f>
        <x:v>21</x:v>
      </x:c>
      <x:c r="G94" s="30" t="n">
        <x:f>$E94+$F94</x:f>
        <x:v>214.8216007435595</x:v>
      </x:c>
      <x:c r="H94" s="30" t="n">
        <x:f>IF($A94=0,"",Assumptions!$B$21)</x:f>
        <x:v>5459.5</x:v>
      </x:c>
      <x:c r="I94" s="31" t="n">
        <x:f>IF($A94=0,"",INDEX(Assumptions!$C$24:$C$35,$C94)*IF($A94=0,"",IF($A94=1,1-Assumptions!$B$16,(1-Assumptions!$B$16)*(1-Assumptions!$B$17)^($A94-1))))</x:f>
        <x:v>402.8457826503668</x:v>
      </x:c>
      <x:c r="J94" s="32" t="n">
        <x:f>IF($A94=0,"",IF($I94&gt;0,$K94/$I94,0))</x:f>
        <x:v>1</x:v>
      </x:c>
      <x:c r="K94" s="31" t="n">
        <x:f>IF($A94=0,"",LET(direct,MIN($I94,$D94),surplus,MAX(0,$I94-direct),deficit,MAX(0,$D94-direct),charge,MIN(surplus,Assumptions!$B$10,direct,deficit),direct+charge))</x:f>
        <x:v>402.8457826503668</x:v>
      </x:c>
      <x:c r="L94" s="31" t="n">
        <x:f>IF($A94=0,"",LET(direct,MIN($I94,$D94),surplus,MAX(0,$I94-direct),deficit,MAX(0,$D94-direct),charge,MIN(surplus,Assumptions!$B$10,direct,deficit),surplus-charge))</x:f>
        <x:v>0</x:v>
      </x:c>
      <x:c r="M94" s="31" t="n">
        <x:f>IF($A94=0,"",LET(direct,MIN($I94,$D94),surplus,MAX(0,$I94-direct),deficit,MAX(0,$D94-direct),charge,MIN(surplus,Assumptions!$B$10,direct,deficit),deficit-charge))</x:f>
        <x:v>88.89145937762976</x:v>
      </x:c>
      <x:c r="N94" s="30" t="n">
        <x:f>IF($A94=0,"",$M94*Assumptions!$B$11*IF($A94=0,1,(1+Assumptions!$B$14)^($A94-1)))</x:f>
        <x:v>35.037177330616686</x:v>
      </x:c>
      <x:c r="O94" s="30" t="n">
        <x:f>IF($A94=0,"",$B94*Assumptions!$B$13)</x:f>
        <x:v>21</x:v>
      </x:c>
      <x:c r="P94" s="30" t="n">
        <x:f>IF($A94=0,"",$L94*Assumptions!$B$12)</x:f>
        <x:v>0</x:v>
      </x:c>
      <x:c r="Q94" s="30" t="n">
        <x:f>IF($A94=0,"",$N94+$O94-$P94)</x:f>
        <x:v>56.037177330616686</x:v>
      </x:c>
      <x:c r="R94" s="30" t="n">
        <x:f>IF($A94=0,"",$G94-$Q94)</x:f>
        <x:v>158.7844234129428</x:v>
      </x:c>
      <x:c r="S94" s="30" t="n">
        <x:f>IF($A94=0,"",SUM($R$17:R94))</x:f>
        <x:v>7473.968375800569</x:v>
      </x:c>
      <x:c r="T94" s="30" t="n">
        <x:f>IF($A94=0,"",$S94-$H94)</x:f>
        <x:v>2014.4683758005694</x:v>
      </x:c>
    </x:row>
    <x:row r="95">
      <x:c r="A95" s="40" t="n">
        <x:v>7</x:v>
      </x:c>
      <x:c r="B95" s="40" t="n">
        <x:v>31</x:v>
      </x:c>
      <x:c r="C95" s="40" t="n">
        <x:v>7</x:v>
      </x:c>
      <x:c r="D95" s="31" t="n">
        <x:f>INDEX(Assumptions!$D$24:$D$35,$C95)</x:f>
        <x:v>504.2215193375261</x:v>
      </x:c>
      <x:c r="E95" s="30" t="n">
        <x:f>$D95*Assumptions!$B$11*IF($A95=0,1,(1+Assumptions!$B$14)^($A95-1))</x:f>
        <x:v>198.74236412174136</x:v>
      </x:c>
      <x:c r="F95" s="30" t="n">
        <x:f>$B95*Assumptions!$B$13</x:f>
        <x:v>21.7</x:v>
      </x:c>
      <x:c r="G95" s="30" t="n">
        <x:f>$E95+$F95</x:f>
        <x:v>220.44236412174135</x:v>
      </x:c>
      <x:c r="H95" s="30" t="n">
        <x:f>IF($A95=0,"",Assumptions!$B$21)</x:f>
        <x:v>5459.5</x:v>
      </x:c>
      <x:c r="I95" s="31" t="n">
        <x:f>IF($A95=0,"",INDEX(Assumptions!$C$24:$C$35,$C95)*IF($A95=0,"",IF($A95=1,1-Assumptions!$B$16,(1-Assumptions!$B$16)*(1-Assumptions!$B$17)^($A95-1))))</x:f>
        <x:v>416.2553151354131</x:v>
      </x:c>
      <x:c r="J95" s="32" t="n">
        <x:f>IF($A95=0,"",IF($I95&gt;0,$K95/$I95,0))</x:f>
        <x:v>1</x:v>
      </x:c>
      <x:c r="K95" s="31" t="n">
        <x:f>IF($A95=0,"",LET(direct,MIN($I95,$D95),surplus,MAX(0,$I95-direct),deficit,MAX(0,$D95-direct),charge,MIN(surplus,Assumptions!$B$10,direct,deficit),direct+charge))</x:f>
        <x:v>416.2553151354131</x:v>
      </x:c>
      <x:c r="L95" s="31" t="n">
        <x:f>IF($A95=0,"",LET(direct,MIN($I95,$D95),surplus,MAX(0,$I95-direct),deficit,MAX(0,$D95-direct),charge,MIN(surplus,Assumptions!$B$10,direct,deficit),surplus-charge))</x:f>
        <x:v>0</x:v>
      </x:c>
      <x:c r="M95" s="31" t="n">
        <x:f>IF($A95=0,"",LET(direct,MIN($I95,$D95),surplus,MAX(0,$I95-direct),deficit,MAX(0,$D95-direct),charge,MIN(surplus,Assumptions!$B$10,direct,deficit),deficit-charge))</x:f>
        <x:v>87.96620420211298</x:v>
      </x:c>
      <x:c r="N95" s="30" t="n">
        <x:f>IF($A95=0,"",$M95*Assumptions!$B$11*IF($A95=0,1,(1+Assumptions!$B$14)^($A95-1)))</x:f>
        <x:v>34.672481668202906</x:v>
      </x:c>
      <x:c r="O95" s="30" t="n">
        <x:f>IF($A95=0,"",$B95*Assumptions!$B$13)</x:f>
        <x:v>21.7</x:v>
      </x:c>
      <x:c r="P95" s="30" t="n">
        <x:f>IF($A95=0,"",$L95*Assumptions!$B$12)</x:f>
        <x:v>0</x:v>
      </x:c>
      <x:c r="Q95" s="30" t="n">
        <x:f>IF($A95=0,"",$N95+$O95-$P95)</x:f>
        <x:v>56.37248166820291</x:v>
      </x:c>
      <x:c r="R95" s="30" t="n">
        <x:f>IF($A95=0,"",$G95-$Q95)</x:f>
        <x:v>164.06988245353844</x:v>
      </x:c>
      <x:c r="S95" s="30" t="n">
        <x:f>IF($A95=0,"",SUM($R$17:R95))</x:f>
        <x:v>7638.038258254108</x:v>
      </x:c>
      <x:c r="T95" s="30" t="n">
        <x:f>IF($A95=0,"",$S95-$H95)</x:f>
        <x:v>2178.538258254108</x:v>
      </x:c>
    </x:row>
    <x:row r="96">
      <x:c r="A96" s="40" t="n">
        <x:v>7</x:v>
      </x:c>
      <x:c r="B96" s="40" t="n">
        <x:v>31</x:v>
      </x:c>
      <x:c r="C96" s="40" t="n">
        <x:v>8</x:v>
      </x:c>
      <x:c r="D96" s="31" t="n">
        <x:f>INDEX(Assumptions!$D$24:$D$35,$C96)</x:f>
        <x:v>495.0866822817727</x:v>
      </x:c>
      <x:c r="E96" s="30" t="n">
        <x:f>$D96*Assumptions!$B$11*IF($A96=0,1,(1+Assumptions!$B$14)^($A96-1))</x:f>
        <x:v>195.14180555233997</x:v>
      </x:c>
      <x:c r="F96" s="30" t="n">
        <x:f>$B96*Assumptions!$B$13</x:f>
        <x:v>21.7</x:v>
      </x:c>
      <x:c r="G96" s="30" t="n">
        <x:f>$E96+$F96</x:f>
        <x:v>216.84180555233996</x:v>
      </x:c>
      <x:c r="H96" s="30" t="n">
        <x:f>IF($A96=0,"",Assumptions!$B$21)</x:f>
        <x:v>5459.5</x:v>
      </x:c>
      <x:c r="I96" s="31" t="n">
        <x:f>IF($A96=0,"",INDEX(Assumptions!$C$24:$C$35,$C96)*IF($A96=0,"",IF($A96=1,1-Assumptions!$B$16,(1-Assumptions!$B$16)*(1-Assumptions!$B$17)^($A96-1))))</x:f>
        <x:v>347.324250508236</x:v>
      </x:c>
      <x:c r="J96" s="32" t="n">
        <x:f>IF($A96=0,"",IF($I96&gt;0,$K96/$I96,0))</x:f>
        <x:v>1</x:v>
      </x:c>
      <x:c r="K96" s="31" t="n">
        <x:f>IF($A96=0,"",LET(direct,MIN($I96,$D96),surplus,MAX(0,$I96-direct),deficit,MAX(0,$D96-direct),charge,MIN(surplus,Assumptions!$B$10,direct,deficit),direct+charge))</x:f>
        <x:v>347.324250508236</x:v>
      </x:c>
      <x:c r="L96" s="31" t="n">
        <x:f>IF($A96=0,"",LET(direct,MIN($I96,$D96),surplus,MAX(0,$I96-direct),deficit,MAX(0,$D96-direct),charge,MIN(surplus,Assumptions!$B$10,direct,deficit),surplus-charge))</x:f>
        <x:v>0</x:v>
      </x:c>
      <x:c r="M96" s="31" t="n">
        <x:f>IF($A96=0,"",LET(direct,MIN($I96,$D96),surplus,MAX(0,$I96-direct),deficit,MAX(0,$D96-direct),charge,MIN(surplus,Assumptions!$B$10,direct,deficit),deficit-charge))</x:f>
        <x:v>147.76243177353672</x:v>
      </x:c>
      <x:c r="N96" s="30" t="n">
        <x:f>IF($A96=0,"",$M96*Assumptions!$B$11*IF($A96=0,1,(1+Assumptions!$B$14)^($A96-1)))</x:f>
        <x:v>58.24157417484625</x:v>
      </x:c>
      <x:c r="O96" s="30" t="n">
        <x:f>IF($A96=0,"",$B96*Assumptions!$B$13)</x:f>
        <x:v>21.7</x:v>
      </x:c>
      <x:c r="P96" s="30" t="n">
        <x:f>IF($A96=0,"",$L96*Assumptions!$B$12)</x:f>
        <x:v>0</x:v>
      </x:c>
      <x:c r="Q96" s="30" t="n">
        <x:f>IF($A96=0,"",$N96+$O96-$P96)</x:f>
        <x:v>79.94157417484625</x:v>
      </x:c>
      <x:c r="R96" s="30" t="n">
        <x:f>IF($A96=0,"",$G96-$Q96)</x:f>
        <x:v>136.9002313774937</x:v>
      </x:c>
      <x:c r="S96" s="30" t="n">
        <x:f>IF($A96=0,"",SUM($R$17:R96))</x:f>
        <x:v>7774.938489631601</x:v>
      </x:c>
      <x:c r="T96" s="30" t="n">
        <x:f>IF($A96=0,"",$S96-$H96)</x:f>
        <x:v>2315.4384896316014</x:v>
      </x:c>
    </x:row>
    <x:row r="97">
      <x:c r="A97" s="40" t="n">
        <x:v>7</x:v>
      </x:c>
      <x:c r="B97" s="40" t="n">
        <x:v>30</x:v>
      </x:c>
      <x:c r="C97" s="40" t="n">
        <x:v>9</x:v>
      </x:c>
      <x:c r="D97" s="31" t="n">
        <x:f>INDEX(Assumptions!$D$24:$D$35,$C97)</x:f>
        <x:v>484.7338669519189</x:v>
      </x:c>
      <x:c r="E97" s="30" t="n">
        <x:f>$D97*Assumptions!$B$11*IF($A97=0,1,(1+Assumptions!$B$14)^($A97-1))</x:f>
        <x:v>191.06117250701843</x:v>
      </x:c>
      <x:c r="F97" s="30" t="n">
        <x:f>$B97*Assumptions!$B$13</x:f>
        <x:v>21</x:v>
      </x:c>
      <x:c r="G97" s="30" t="n">
        <x:f>$E97+$F97</x:f>
        <x:v>212.06117250701843</x:v>
      </x:c>
      <x:c r="H97" s="30" t="n">
        <x:f>IF($A97=0,"",Assumptions!$B$21)</x:f>
        <x:v>5459.5</x:v>
      </x:c>
      <x:c r="I97" s="31" t="n">
        <x:f>IF($A97=0,"",INDEX(Assumptions!$C$24:$C$35,$C97)*IF($A97=0,"",IF($A97=1,1-Assumptions!$B$16,(1-Assumptions!$B$16)*(1-Assumptions!$B$17)^($A97-1))))</x:f>
        <x:v>255.73994889002336</x:v>
      </x:c>
      <x:c r="J97" s="32" t="n">
        <x:f>IF($A97=0,"",IF($I97&gt;0,$K97/$I97,0))</x:f>
        <x:v>1</x:v>
      </x:c>
      <x:c r="K97" s="31" t="n">
        <x:f>IF($A97=0,"",LET(direct,MIN($I97,$D97),surplus,MAX(0,$I97-direct),deficit,MAX(0,$D97-direct),charge,MIN(surplus,Assumptions!$B$10,direct,deficit),direct+charge))</x:f>
        <x:v>255.73994889002336</x:v>
      </x:c>
      <x:c r="L97" s="31" t="n">
        <x:f>IF($A97=0,"",LET(direct,MIN($I97,$D97),surplus,MAX(0,$I97-direct),deficit,MAX(0,$D97-direct),charge,MIN(surplus,Assumptions!$B$10,direct,deficit),surplus-charge))</x:f>
        <x:v>0</x:v>
      </x:c>
      <x:c r="M97" s="31" t="n">
        <x:f>IF($A97=0,"",LET(direct,MIN($I97,$D97),surplus,MAX(0,$I97-direct),deficit,MAX(0,$D97-direct),charge,MIN(surplus,Assumptions!$B$10,direct,deficit),deficit-charge))</x:f>
        <x:v>228.99391806189556</x:v>
      </x:c>
      <x:c r="N97" s="30" t="n">
        <x:f>IF($A97=0,"",$M97*Assumptions!$B$11*IF($A97=0,1,(1+Assumptions!$B$14)^($A97-1)))</x:f>
        <x:v>90.25952066646427</x:v>
      </x:c>
      <x:c r="O97" s="30" t="n">
        <x:f>IF($A97=0,"",$B97*Assumptions!$B$13)</x:f>
        <x:v>21</x:v>
      </x:c>
      <x:c r="P97" s="30" t="n">
        <x:f>IF($A97=0,"",$L97*Assumptions!$B$12)</x:f>
        <x:v>0</x:v>
      </x:c>
      <x:c r="Q97" s="30" t="n">
        <x:f>IF($A97=0,"",$N97+$O97-$P97)</x:f>
        <x:v>111.25952066646427</x:v>
      </x:c>
      <x:c r="R97" s="30" t="n">
        <x:f>IF($A97=0,"",$G97-$Q97)</x:f>
        <x:v>100.80165184055416</x:v>
      </x:c>
      <x:c r="S97" s="30" t="n">
        <x:f>IF($A97=0,"",SUM($R$17:R97))</x:f>
        <x:v>7875.740141472155</x:v>
      </x:c>
      <x:c r="T97" s="30" t="n">
        <x:f>IF($A97=0,"",$S97-$H97)</x:f>
        <x:v>2416.2401414721553</x:v>
      </x:c>
    </x:row>
    <x:row r="98">
      <x:c r="A98" s="40" t="n">
        <x:v>7</x:v>
      </x:c>
      <x:c r="B98" s="40" t="n">
        <x:v>31</x:v>
      </x:c>
      <x:c r="C98" s="40" t="n">
        <x:v>10</x:v>
      </x:c>
      <x:c r="D98" s="31" t="n">
        <x:f>INDEX(Assumptions!$D$24:$D$35,$C98)</x:f>
        <x:v>965.136511636476</x:v>
      </x:c>
      <x:c r="E98" s="30" t="n">
        <x:f>$D98*Assumptions!$B$11*IF($A98=0,1,(1+Assumptions!$B$14)^($A98-1))</x:f>
        <x:v>380.41516410259305</x:v>
      </x:c>
      <x:c r="F98" s="30" t="n">
        <x:f>$B98*Assumptions!$B$13</x:f>
        <x:v>21.7</x:v>
      </x:c>
      <x:c r="G98" s="30" t="n">
        <x:f>$E98+$F98</x:f>
        <x:v>402.11516410259304</x:v>
      </x:c>
      <x:c r="H98" s="30" t="n">
        <x:f>IF($A98=0,"",Assumptions!$B$21)</x:f>
        <x:v>5459.5</x:v>
      </x:c>
      <x:c r="I98" s="31" t="n">
        <x:f>IF($A98=0,"",INDEX(Assumptions!$C$24:$C$35,$C98)*IF($A98=0,"",IF($A98=1,1-Assumptions!$B$16,(1-Assumptions!$B$16)*(1-Assumptions!$B$17)^($A98-1))))</x:f>
        <x:v>179.05889345104808</x:v>
      </x:c>
      <x:c r="J98" s="32" t="n">
        <x:f>IF($A98=0,"",IF($I98&gt;0,$K98/$I98,0))</x:f>
        <x:v>1</x:v>
      </x:c>
      <x:c r="K98" s="31" t="n">
        <x:f>IF($A98=0,"",LET(direct,MIN($I98,$D98),surplus,MAX(0,$I98-direct),deficit,MAX(0,$D98-direct),charge,MIN(surplus,Assumptions!$B$10,direct,deficit),direct+charge))</x:f>
        <x:v>179.05889345104808</x:v>
      </x:c>
      <x:c r="L98" s="31" t="n">
        <x:f>IF($A98=0,"",LET(direct,MIN($I98,$D98),surplus,MAX(0,$I98-direct),deficit,MAX(0,$D98-direct),charge,MIN(surplus,Assumptions!$B$10,direct,deficit),surplus-charge))</x:f>
        <x:v>0</x:v>
      </x:c>
      <x:c r="M98" s="31" t="n">
        <x:f>IF($A98=0,"",LET(direct,MIN($I98,$D98),surplus,MAX(0,$I98-direct),deficit,MAX(0,$D98-direct),charge,MIN(surplus,Assumptions!$B$10,direct,deficit),deficit-charge))</x:f>
        <x:v>786.0776181854279</x:v>
      </x:c>
      <x:c r="N98" s="30" t="n">
        <x:f>IF($A98=0,"",$M98*Assumptions!$B$11*IF($A98=0,1,(1+Assumptions!$B$14)^($A98-1)))</x:f>
        <x:v>309.83787527874455</x:v>
      </x:c>
      <x:c r="O98" s="30" t="n">
        <x:f>IF($A98=0,"",$B98*Assumptions!$B$13)</x:f>
        <x:v>21.7</x:v>
      </x:c>
      <x:c r="P98" s="30" t="n">
        <x:f>IF($A98=0,"",$L98*Assumptions!$B$12)</x:f>
        <x:v>0</x:v>
      </x:c>
      <x:c r="Q98" s="30" t="n">
        <x:f>IF($A98=0,"",$N98+$O98-$P98)</x:f>
        <x:v>331.53787527874454</x:v>
      </x:c>
      <x:c r="R98" s="30" t="n">
        <x:f>IF($A98=0,"",$G98-$Q98)</x:f>
        <x:v>70.5772888238485</x:v>
      </x:c>
      <x:c r="S98" s="30" t="n">
        <x:f>IF($A98=0,"",SUM($R$17:R98))</x:f>
        <x:v>7946.317430296004</x:v>
      </x:c>
      <x:c r="T98" s="30" t="n">
        <x:f>IF($A98=0,"",$S98-$H98)</x:f>
        <x:v>2486.817430296004</x:v>
      </x:c>
    </x:row>
    <x:row r="99">
      <x:c r="A99" s="40" t="n">
        <x:v>7</x:v>
      </x:c>
      <x:c r="B99" s="40" t="n">
        <x:v>30</x:v>
      </x:c>
      <x:c r="C99" s="40" t="n">
        <x:v>11</x:v>
      </x:c>
      <x:c r="D99" s="31" t="n">
        <x:f>INDEX(Assumptions!$D$24:$D$35,$C99)</x:f>
        <x:v>948.3553735444794</x:v>
      </x:c>
      <x:c r="E99" s="30" t="n">
        <x:f>$D99*Assumptions!$B$11*IF($A99=0,1,(1+Assumptions!$B$14)^($A99-1))</x:f>
        <x:v>373.80076362750293</x:v>
      </x:c>
      <x:c r="F99" s="30" t="n">
        <x:f>$B99*Assumptions!$B$13</x:f>
        <x:v>21</x:v>
      </x:c>
      <x:c r="G99" s="30" t="n">
        <x:f>$E99+$F99</x:f>
        <x:v>394.80076362750293</x:v>
      </x:c>
      <x:c r="H99" s="30" t="n">
        <x:f>IF($A99=0,"",Assumptions!$B$21)</x:f>
        <x:v>5459.5</x:v>
      </x:c>
      <x:c r="I99" s="31" t="n">
        <x:f>IF($A99=0,"",INDEX(Assumptions!$C$24:$C$35,$C99)*IF($A99=0,"",IF($A99=1,1-Assumptions!$B$16,(1-Assumptions!$B$16)*(1-Assumptions!$B$17)^($A99-1))))</x:f>
        <x:v>106.3146973507036</x:v>
      </x:c>
      <x:c r="J99" s="32" t="n">
        <x:f>IF($A99=0,"",IF($I99&gt;0,$K99/$I99,0))</x:f>
        <x:v>1</x:v>
      </x:c>
      <x:c r="K99" s="31" t="n">
        <x:f>IF($A99=0,"",LET(direct,MIN($I99,$D99),surplus,MAX(0,$I99-direct),deficit,MAX(0,$D99-direct),charge,MIN(surplus,Assumptions!$B$10,direct,deficit),direct+charge))</x:f>
        <x:v>106.3146973507036</x:v>
      </x:c>
      <x:c r="L99" s="31" t="n">
        <x:f>IF($A99=0,"",LET(direct,MIN($I99,$D99),surplus,MAX(0,$I99-direct),deficit,MAX(0,$D99-direct),charge,MIN(surplus,Assumptions!$B$10,direct,deficit),surplus-charge))</x:f>
        <x:v>0</x:v>
      </x:c>
      <x:c r="M99" s="31" t="n">
        <x:f>IF($A99=0,"",LET(direct,MIN($I99,$D99),surplus,MAX(0,$I99-direct),deficit,MAX(0,$D99-direct),charge,MIN(surplus,Assumptions!$B$10,direct,deficit),deficit-charge))</x:f>
        <x:v>842.0406761937759</x:v>
      </x:c>
      <x:c r="N99" s="30" t="n">
        <x:f>IF($A99=0,"",$M99*Assumptions!$B$11*IF($A99=0,1,(1+Assumptions!$B$14)^($A99-1)))</x:f>
        <x:v>331.896097757377</x:v>
      </x:c>
      <x:c r="O99" s="30" t="n">
        <x:f>IF($A99=0,"",$B99*Assumptions!$B$13)</x:f>
        <x:v>21</x:v>
      </x:c>
      <x:c r="P99" s="30" t="n">
        <x:f>IF($A99=0,"",$L99*Assumptions!$B$12)</x:f>
        <x:v>0</x:v>
      </x:c>
      <x:c r="Q99" s="30" t="n">
        <x:f>IF($A99=0,"",$N99+$O99-$P99)</x:f>
        <x:v>352.896097757377</x:v>
      </x:c>
      <x:c r="R99" s="30" t="n">
        <x:f>IF($A99=0,"",$G99-$Q99)</x:f>
        <x:v>41.90466587012594</x:v>
      </x:c>
      <x:c r="S99" s="30" t="n">
        <x:f>IF($A99=0,"",SUM($R$17:R99))</x:f>
        <x:v>7988.2220961661305</x:v>
      </x:c>
      <x:c r="T99" s="30" t="n">
        <x:f>IF($A99=0,"",$S99-$H99)</x:f>
        <x:v>2528.7220961661305</x:v>
      </x:c>
    </x:row>
    <x:row r="100">
      <x:c r="A100" s="40" t="n">
        <x:v>7</x:v>
      </x:c>
      <x:c r="B100" s="40" t="n">
        <x:v>31</x:v>
      </x:c>
      <x:c r="C100" s="40" t="n">
        <x:v>12</x:v>
      </x:c>
      <x:c r="D100" s="31" t="n">
        <x:f>INDEX(Assumptions!$D$24:$D$35,$C100)</x:f>
        <x:v>928.0413642752205</x:v>
      </x:c>
      <x:c r="E100" s="30" t="n">
        <x:f>$D100*Assumptions!$B$11*IF($A100=0,1,(1+Assumptions!$B$14)^($A100-1))</x:f>
        <x:v>365.7938577892359</x:v>
      </x:c>
      <x:c r="F100" s="30" t="n">
        <x:f>$B100*Assumptions!$B$13</x:f>
        <x:v>21.7</x:v>
      </x:c>
      <x:c r="G100" s="30" t="n">
        <x:f>$E100+$F100</x:f>
        <x:v>387.4938577892359</x:v>
      </x:c>
      <x:c r="H100" s="30" t="n">
        <x:f>IF($A100=0,"",Assumptions!$B$21)</x:f>
        <x:v>5459.5</x:v>
      </x:c>
      <x:c r="I100" s="31" t="n">
        <x:f>IF($A100=0,"",INDEX(Assumptions!$C$24:$C$35,$C100)*IF($A100=0,"",IF($A100=1,1-Assumptions!$B$16,(1-Assumptions!$B$16)*(1-Assumptions!$B$17)^($A100-1))))</x:f>
        <x:v>78.38786294211839</x:v>
      </x:c>
      <x:c r="J100" s="32" t="n">
        <x:f>IF($A100=0,"",IF($I100&gt;0,$K100/$I100,0))</x:f>
        <x:v>1</x:v>
      </x:c>
      <x:c r="K100" s="31" t="n">
        <x:f>IF($A100=0,"",LET(direct,MIN($I100,$D100),surplus,MAX(0,$I100-direct),deficit,MAX(0,$D100-direct),charge,MIN(surplus,Assumptions!$B$10,direct,deficit),direct+charge))</x:f>
        <x:v>78.38786294211839</x:v>
      </x:c>
      <x:c r="L100" s="31" t="n">
        <x:f>IF($A100=0,"",LET(direct,MIN($I100,$D100),surplus,MAX(0,$I100-direct),deficit,MAX(0,$D100-direct),charge,MIN(surplus,Assumptions!$B$10,direct,deficit),surplus-charge))</x:f>
        <x:v>0</x:v>
      </x:c>
      <x:c r="M100" s="31" t="n">
        <x:f>IF($A100=0,"",LET(direct,MIN($I100,$D100),surplus,MAX(0,$I100-direct),deficit,MAX(0,$D100-direct),charge,MIN(surplus,Assumptions!$B$10,direct,deficit),deficit-charge))</x:f>
        <x:v>849.6535013331021</x:v>
      </x:c>
      <x:c r="N100" s="30" t="n">
        <x:f>IF($A100=0,"",$M100*Assumptions!$B$11*IF($A100=0,1,(1+Assumptions!$B$14)^($A100-1)))</x:f>
        <x:v>334.89674490909505</x:v>
      </x:c>
      <x:c r="O100" s="30" t="n">
        <x:f>IF($A100=0,"",$B100*Assumptions!$B$13)</x:f>
        <x:v>21.7</x:v>
      </x:c>
      <x:c r="P100" s="30" t="n">
        <x:f>IF($A100=0,"",$L100*Assumptions!$B$12)</x:f>
        <x:v>0</x:v>
      </x:c>
      <x:c r="Q100" s="30" t="n">
        <x:f>IF($A100=0,"",$N100+$O100-$P100)</x:f>
        <x:v>356.59674490909504</x:v>
      </x:c>
      <x:c r="R100" s="30" t="n">
        <x:f>IF($A100=0,"",$G100-$Q100)</x:f>
        <x:v>30.897112880140867</x:v>
      </x:c>
      <x:c r="S100" s="30" t="n">
        <x:f>IF($A100=0,"",SUM($R$17:R100))</x:f>
        <x:v>8019.119209046272</x:v>
      </x:c>
      <x:c r="T100" s="30" t="n">
        <x:f>IF($A100=0,"",$S100-$H100)</x:f>
        <x:v>2559.619209046272</x:v>
      </x:c>
    </x:row>
    <x:row r="101">
      <x:c r="A101" s="40" t="n">
        <x:v>8</x:v>
      </x:c>
      <x:c r="B101" s="40" t="n">
        <x:v>31</x:v>
      </x:c>
      <x:c r="C101" s="40" t="n">
        <x:v>1</x:v>
      </x:c>
      <x:c r="D101" s="31" t="n">
        <x:f>INDEX(Assumptions!$D$24:$D$35,$C101)</x:f>
        <x:v>921.8588397150115</x:v>
      </x:c>
      <x:c r="E101" s="30" t="n">
        <x:f>$D101*Assumptions!$B$11*IF($A101=0,1,(1+Assumptions!$B$14)^($A101-1))</x:f>
        <x:v>370.62411287175</x:v>
      </x:c>
      <x:c r="F101" s="30" t="n">
        <x:f>$B101*Assumptions!$B$13</x:f>
        <x:v>21.7</x:v>
      </x:c>
      <x:c r="G101" s="30" t="n">
        <x:f>$E101+$F101</x:f>
        <x:v>392.32411287175</x:v>
      </x:c>
      <x:c r="H101" s="30" t="n">
        <x:f>IF($A101=0,"",Assumptions!$B$21)</x:f>
        <x:v>5459.5</x:v>
      </x:c>
      <x:c r="I101" s="31" t="n">
        <x:f>IF($A101=0,"",INDEX(Assumptions!$C$24:$C$35,$C101)*IF($A101=0,"",IF($A101=1,1-Assumptions!$B$16,(1-Assumptions!$B$16)*(1-Assumptions!$B$17)^($A101-1))))</x:f>
        <x:v>95.03656647384143</x:v>
      </x:c>
      <x:c r="J101" s="32" t="n">
        <x:f>IF($A101=0,"",IF($I101&gt;0,$K101/$I101,0))</x:f>
        <x:v>1</x:v>
      </x:c>
      <x:c r="K101" s="31" t="n">
        <x:f>IF($A101=0,"",LET(direct,MIN($I101,$D101),surplus,MAX(0,$I101-direct),deficit,MAX(0,$D101-direct),charge,MIN(surplus,Assumptions!$B$10,direct,deficit),direct+charge))</x:f>
        <x:v>95.03656647384143</x:v>
      </x:c>
      <x:c r="L101" s="31" t="n">
        <x:f>IF($A101=0,"",LET(direct,MIN($I101,$D101),surplus,MAX(0,$I101-direct),deficit,MAX(0,$D101-direct),charge,MIN(surplus,Assumptions!$B$10,direct,deficit),surplus-charge))</x:f>
        <x:v>0</x:v>
      </x:c>
      <x:c r="M101" s="31" t="n">
        <x:f>IF($A101=0,"",LET(direct,MIN($I101,$D101),surplus,MAX(0,$I101-direct),deficit,MAX(0,$D101-direct),charge,MIN(surplus,Assumptions!$B$10,direct,deficit),deficit-charge))</x:f>
        <x:v>826.8222732411701</x:v>
      </x:c>
      <x:c r="N101" s="30" t="n">
        <x:f>IF($A101=0,"",$M101*Assumptions!$B$11*IF($A101=0,1,(1+Assumptions!$B$14)^($A101-1)))</x:f>
        <x:v>332.41561323786516</x:v>
      </x:c>
      <x:c r="O101" s="30" t="n">
        <x:f>IF($A101=0,"",$B101*Assumptions!$B$13)</x:f>
        <x:v>21.7</x:v>
      </x:c>
      <x:c r="P101" s="30" t="n">
        <x:f>IF($A101=0,"",$L101*Assumptions!$B$12)</x:f>
        <x:v>0</x:v>
      </x:c>
      <x:c r="Q101" s="30" t="n">
        <x:f>IF($A101=0,"",$N101+$O101-$P101)</x:f>
        <x:v>354.11561323786515</x:v>
      </x:c>
      <x:c r="R101" s="30" t="n">
        <x:f>IF($A101=0,"",$G101-$Q101)</x:f>
        <x:v>38.208499633884855</x:v>
      </x:c>
      <x:c r="S101" s="30" t="n">
        <x:f>IF($A101=0,"",SUM($R$17:R101))</x:f>
        <x:v>8057.327708680156</x:v>
      </x:c>
      <x:c r="T101" s="30" t="n">
        <x:f>IF($A101=0,"",$S101-$H101)</x:f>
        <x:v>2597.8277086801563</x:v>
      </x:c>
    </x:row>
    <x:row r="102">
      <x:c r="A102" s="40" t="n">
        <x:v>8</x:v>
      </x:c>
      <x:c r="B102" s="40" t="n">
        <x:v>28</x:v>
      </x:c>
      <x:c r="C102" s="40" t="n">
        <x:v>2</x:v>
      </x:c>
      <x:c r="D102" s="31" t="n">
        <x:f>INDEX(Assumptions!$D$24:$D$35,$C102)</x:f>
        <x:v>923.6252753036425</x:v>
      </x:c>
      <x:c r="E102" s="30" t="n">
        <x:f>$D102*Assumptions!$B$11*IF($A102=0,1,(1+Assumptions!$B$14)^($A102-1))</x:f>
        <x:v>371.3342906069701</x:v>
      </x:c>
      <x:c r="F102" s="30" t="n">
        <x:f>$B102*Assumptions!$B$13</x:f>
        <x:v>19.599999999999998</x:v>
      </x:c>
      <x:c r="G102" s="30" t="n">
        <x:f>$E102+$F102</x:f>
        <x:v>390.93429060697014</x:v>
      </x:c>
      <x:c r="H102" s="30" t="n">
        <x:f>IF($A102=0,"",Assumptions!$B$21)</x:f>
        <x:v>5459.5</x:v>
      </x:c>
      <x:c r="I102" s="31" t="n">
        <x:f>IF($A102=0,"",INDEX(Assumptions!$C$24:$C$35,$C102)*IF($A102=0,"",IF($A102=1,1-Assumptions!$B$16,(1-Assumptions!$B$16)*(1-Assumptions!$B$17)^($A102-1))))</x:f>
        <x:v>150.24477755331935</x:v>
      </x:c>
      <x:c r="J102" s="32" t="n">
        <x:f>IF($A102=0,"",IF($I102&gt;0,$K102/$I102,0))</x:f>
        <x:v>1</x:v>
      </x:c>
      <x:c r="K102" s="31" t="n">
        <x:f>IF($A102=0,"",LET(direct,MIN($I102,$D102),surplus,MAX(0,$I102-direct),deficit,MAX(0,$D102-direct),charge,MIN(surplus,Assumptions!$B$10,direct,deficit),direct+charge))</x:f>
        <x:v>150.24477755331935</x:v>
      </x:c>
      <x:c r="L102" s="31" t="n">
        <x:f>IF($A102=0,"",LET(direct,MIN($I102,$D102),surplus,MAX(0,$I102-direct),deficit,MAX(0,$D102-direct),charge,MIN(surplus,Assumptions!$B$10,direct,deficit),surplus-charge))</x:f>
        <x:v>0</x:v>
      </x:c>
      <x:c r="M102" s="31" t="n">
        <x:f>IF($A102=0,"",LET(direct,MIN($I102,$D102),surplus,MAX(0,$I102-direct),deficit,MAX(0,$D102-direct),charge,MIN(surplus,Assumptions!$B$10,direct,deficit),deficit-charge))</x:f>
        <x:v>773.3804977503232</x:v>
      </x:c>
      <x:c r="N102" s="30" t="n">
        <x:f>IF($A102=0,"",$M102*Assumptions!$B$11*IF($A102=0,1,(1+Assumptions!$B$14)^($A102-1)))</x:f>
        <x:v>310.92988269184184</x:v>
      </x:c>
      <x:c r="O102" s="30" t="n">
        <x:f>IF($A102=0,"",$B102*Assumptions!$B$13)</x:f>
        <x:v>19.599999999999998</x:v>
      </x:c>
      <x:c r="P102" s="30" t="n">
        <x:f>IF($A102=0,"",$L102*Assumptions!$B$12)</x:f>
        <x:v>0</x:v>
      </x:c>
      <x:c r="Q102" s="30" t="n">
        <x:f>IF($A102=0,"",$N102+$O102-$P102)</x:f>
        <x:v>330.52988269184186</x:v>
      </x:c>
      <x:c r="R102" s="30" t="n">
        <x:f>IF($A102=0,"",$G102-$Q102)</x:f>
        <x:v>60.404407915128274</x:v>
      </x:c>
      <x:c r="S102" s="30" t="n">
        <x:f>IF($A102=0,"",SUM($R$17:R102))</x:f>
        <x:v>8117.732116595284</x:v>
      </x:c>
      <x:c r="T102" s="30" t="n">
        <x:f>IF($A102=0,"",$S102-$H102)</x:f>
        <x:v>2658.2321165952844</x:v>
      </x:c>
    </x:row>
    <x:row r="103">
      <x:c r="A103" s="40" t="n">
        <x:v>8</x:v>
      </x:c>
      <x:c r="B103" s="40" t="n">
        <x:v>31</x:v>
      </x:c>
      <x:c r="C103" s="40" t="n">
        <x:v>3</x:v>
      </x:c>
      <x:c r="D103" s="31" t="n">
        <x:f>INDEX(Assumptions!$D$24:$D$35,$C103)</x:f>
        <x:v>907.7273550059616</x:v>
      </x:c>
      <x:c r="E103" s="30" t="n">
        <x:f>$D103*Assumptions!$B$11*IF($A103=0,1,(1+Assumptions!$B$14)^($A103-1))</x:f>
        <x:v>364.9426909899883</x:v>
      </x:c>
      <x:c r="F103" s="30" t="n">
        <x:f>$B103*Assumptions!$B$13</x:f>
        <x:v>21.7</x:v>
      </x:c>
      <x:c r="G103" s="30" t="n">
        <x:f>$E103+$F103</x:f>
        <x:v>386.6426909899883</x:v>
      </x:c>
      <x:c r="H103" s="30" t="n">
        <x:f>IF($A103=0,"",Assumptions!$B$21)</x:f>
        <x:v>5459.5</x:v>
      </x:c>
      <x:c r="I103" s="31" t="n">
        <x:f>IF($A103=0,"",INDEX(Assumptions!$C$24:$C$35,$C103)*IF($A103=0,"",IF($A103=1,1-Assumptions!$B$16,(1-Assumptions!$B$16)*(1-Assumptions!$B$17)^($A103-1))))</x:f>
        <x:v>265.21395198521554</x:v>
      </x:c>
      <x:c r="J103" s="32" t="n">
        <x:f>IF($A103=0,"",IF($I103&gt;0,$K103/$I103,0))</x:f>
        <x:v>1</x:v>
      </x:c>
      <x:c r="K103" s="31" t="n">
        <x:f>IF($A103=0,"",LET(direct,MIN($I103,$D103),surplus,MAX(0,$I103-direct),deficit,MAX(0,$D103-direct),charge,MIN(surplus,Assumptions!$B$10,direct,deficit),direct+charge))</x:f>
        <x:v>265.21395198521554</x:v>
      </x:c>
      <x:c r="L103" s="31" t="n">
        <x:f>IF($A103=0,"",LET(direct,MIN($I103,$D103),surplus,MAX(0,$I103-direct),deficit,MAX(0,$D103-direct),charge,MIN(surplus,Assumptions!$B$10,direct,deficit),surplus-charge))</x:f>
        <x:v>0</x:v>
      </x:c>
      <x:c r="M103" s="31" t="n">
        <x:f>IF($A103=0,"",LET(direct,MIN($I103,$D103),surplus,MAX(0,$I103-direct),deficit,MAX(0,$D103-direct),charge,MIN(surplus,Assumptions!$B$10,direct,deficit),deficit-charge))</x:f>
        <x:v>642.5134030207461</x:v>
      </x:c>
      <x:c r="N103" s="30" t="n">
        <x:f>IF($A103=0,"",$M103*Assumptions!$B$11*IF($A103=0,1,(1+Assumptions!$B$14)^($A103-1)))</x:f>
        <x:v>258.3160780628738</x:v>
      </x:c>
      <x:c r="O103" s="30" t="n">
        <x:f>IF($A103=0,"",$B103*Assumptions!$B$13)</x:f>
        <x:v>21.7</x:v>
      </x:c>
      <x:c r="P103" s="30" t="n">
        <x:f>IF($A103=0,"",$L103*Assumptions!$B$12)</x:f>
        <x:v>0</x:v>
      </x:c>
      <x:c r="Q103" s="30" t="n">
        <x:f>IF($A103=0,"",$N103+$O103-$P103)</x:f>
        <x:v>280.0160780628738</x:v>
      </x:c>
      <x:c r="R103" s="30" t="n">
        <x:f>IF($A103=0,"",$G103-$Q103)</x:f>
        <x:v>106.62661292711448</x:v>
      </x:c>
      <x:c r="S103" s="30" t="n">
        <x:f>IF($A103=0,"",SUM($R$17:R103))</x:f>
        <x:v>8224.358729522399</x:v>
      </x:c>
      <x:c r="T103" s="30" t="n">
        <x:f>IF($A103=0,"",$S103-$H103)</x:f>
        <x:v>2764.858729522399</x:v>
      </x:c>
    </x:row>
    <x:row r="104">
      <x:c r="A104" s="40" t="n">
        <x:v>8</x:v>
      </x:c>
      <x:c r="B104" s="40" t="n">
        <x:v>30</x:v>
      </x:c>
      <x:c r="C104" s="40" t="n">
        <x:v>4</x:v>
      </x:c>
      <x:c r="D104" s="31" t="n">
        <x:f>INDEX(Assumptions!$D$24:$D$35,$C104)</x:f>
        <x:v>951.0050269274262</x:v>
      </x:c>
      <x:c r="E104" s="30" t="n">
        <x:f>$D104*Assumptions!$B$11*IF($A104=0,1,(1+Assumptions!$B$14)^($A104-1))</x:f>
        <x:v>382.3420455028832</x:v>
      </x:c>
      <x:c r="F104" s="30" t="n">
        <x:f>$B104*Assumptions!$B$13</x:f>
        <x:v>21</x:v>
      </x:c>
      <x:c r="G104" s="30" t="n">
        <x:f>$E104+$F104</x:f>
        <x:v>403.3420455028832</x:v>
      </x:c>
      <x:c r="H104" s="30" t="n">
        <x:f>IF($A104=0,"",Assumptions!$B$21)</x:f>
        <x:v>5459.5</x:v>
      </x:c>
      <x:c r="I104" s="31" t="n">
        <x:f>IF($A104=0,"",INDEX(Assumptions!$C$24:$C$35,$C104)*IF($A104=0,"",IF($A104=1,1-Assumptions!$B$16,(1-Assumptions!$B$16)*(1-Assumptions!$B$17)^($A104-1))))</x:f>
        <x:v>353.1849593605129</x:v>
      </x:c>
      <x:c r="J104" s="32" t="n">
        <x:f>IF($A104=0,"",IF($I104&gt;0,$K104/$I104,0))</x:f>
        <x:v>1</x:v>
      </x:c>
      <x:c r="K104" s="31" t="n">
        <x:f>IF($A104=0,"",LET(direct,MIN($I104,$D104),surplus,MAX(0,$I104-direct),deficit,MAX(0,$D104-direct),charge,MIN(surplus,Assumptions!$B$10,direct,deficit),direct+charge))</x:f>
        <x:v>353.1849593605129</x:v>
      </x:c>
      <x:c r="L104" s="31" t="n">
        <x:f>IF($A104=0,"",LET(direct,MIN($I104,$D104),surplus,MAX(0,$I104-direct),deficit,MAX(0,$D104-direct),charge,MIN(surplus,Assumptions!$B$10,direct,deficit),surplus-charge))</x:f>
        <x:v>0</x:v>
      </x:c>
      <x:c r="M104" s="31" t="n">
        <x:f>IF($A104=0,"",LET(direct,MIN($I104,$D104),surplus,MAX(0,$I104-direct),deficit,MAX(0,$D104-direct),charge,MIN(surplus,Assumptions!$B$10,direct,deficit),deficit-charge))</x:f>
        <x:v>597.8200675669134</x:v>
      </x:c>
      <x:c r="N104" s="30" t="n">
        <x:f>IF($A104=0,"",$M104*Assumptions!$B$11*IF($A104=0,1,(1+Assumptions!$B$14)^($A104-1)))</x:f>
        <x:v>240.34757020653313</x:v>
      </x:c>
      <x:c r="O104" s="30" t="n">
        <x:f>IF($A104=0,"",$B104*Assumptions!$B$13)</x:f>
        <x:v>21</x:v>
      </x:c>
      <x:c r="P104" s="30" t="n">
        <x:f>IF($A104=0,"",$L104*Assumptions!$B$12)</x:f>
        <x:v>0</x:v>
      </x:c>
      <x:c r="Q104" s="30" t="n">
        <x:f>IF($A104=0,"",$N104+$O104-$P104)</x:f>
        <x:v>261.34757020653313</x:v>
      </x:c>
      <x:c r="R104" s="30" t="n">
        <x:f>IF($A104=0,"",$G104-$Q104)</x:f>
        <x:v>141.99447529635006</x:v>
      </x:c>
      <x:c r="S104" s="30" t="n">
        <x:f>IF($A104=0,"",SUM($R$17:R104))</x:f>
        <x:v>8366.353204818748</x:v>
      </x:c>
      <x:c r="T104" s="30" t="n">
        <x:f>IF($A104=0,"",$S104-$H104)</x:f>
        <x:v>2906.853204818748</x:v>
      </x:c>
    </x:row>
    <x:row r="105">
      <x:c r="A105" s="40" t="n">
        <x:v>8</x:v>
      </x:c>
      <x:c r="B105" s="40" t="n">
        <x:v>31</x:v>
      </x:c>
      <x:c r="C105" s="40" t="n">
        <x:v>5</x:v>
      </x:c>
      <x:c r="D105" s="31" t="n">
        <x:f>INDEX(Assumptions!$D$24:$D$35,$C105)</x:f>
        <x:v>480.47094299256736</x:v>
      </x:c>
      <x:c r="E105" s="30" t="n">
        <x:f>$D105*Assumptions!$B$11*IF($A105=0,1,(1+Assumptions!$B$14)^($A105-1))</x:f>
        <x:v>193.16853007812372</x:v>
      </x:c>
      <x:c r="F105" s="30" t="n">
        <x:f>$B105*Assumptions!$B$13</x:f>
        <x:v>21.7</x:v>
      </x:c>
      <x:c r="G105" s="30" t="n">
        <x:f>$E105+$F105</x:f>
        <x:v>214.8685300781237</x:v>
      </x:c>
      <x:c r="H105" s="30" t="n">
        <x:f>IF($A105=0,"",Assumptions!$B$21)</x:f>
        <x:v>5459.5</x:v>
      </x:c>
      <x:c r="I105" s="31" t="n">
        <x:f>IF($A105=0,"",INDEX(Assumptions!$C$24:$C$35,$C105)*IF($A105=0,"",IF($A105=1,1-Assumptions!$B$16,(1-Assumptions!$B$16)*(1-Assumptions!$B$17)^($A105-1))))</x:f>
        <x:v>391.29347855197005</x:v>
      </x:c>
      <x:c r="J105" s="32" t="n">
        <x:f>IF($A105=0,"",IF($I105&gt;0,$K105/$I105,0))</x:f>
        <x:v>1</x:v>
      </x:c>
      <x:c r="K105" s="31" t="n">
        <x:f>IF($A105=0,"",LET(direct,MIN($I105,$D105),surplus,MAX(0,$I105-direct),deficit,MAX(0,$D105-direct),charge,MIN(surplus,Assumptions!$B$10,direct,deficit),direct+charge))</x:f>
        <x:v>391.29347855197005</x:v>
      </x:c>
      <x:c r="L105" s="31" t="n">
        <x:f>IF($A105=0,"",LET(direct,MIN($I105,$D105),surplus,MAX(0,$I105-direct),deficit,MAX(0,$D105-direct),charge,MIN(surplus,Assumptions!$B$10,direct,deficit),surplus-charge))</x:f>
        <x:v>0</x:v>
      </x:c>
      <x:c r="M105" s="31" t="n">
        <x:f>IF($A105=0,"",LET(direct,MIN($I105,$D105),surplus,MAX(0,$I105-direct),deficit,MAX(0,$D105-direct),charge,MIN(surplus,Assumptions!$B$10,direct,deficit),deficit-charge))</x:f>
        <x:v>89.1774644405973</x:v>
      </x:c>
      <x:c r="N105" s="30" t="n">
        <x:f>IF($A105=0,"",$M105*Assumptions!$B$11*IF($A105=0,1,(1+Assumptions!$B$14)^($A105-1)))</x:f>
        <x:v>35.852906348076104</x:v>
      </x:c>
      <x:c r="O105" s="30" t="n">
        <x:f>IF($A105=0,"",$B105*Assumptions!$B$13)</x:f>
        <x:v>21.7</x:v>
      </x:c>
      <x:c r="P105" s="30" t="n">
        <x:f>IF($A105=0,"",$L105*Assumptions!$B$12)</x:f>
        <x:v>0</x:v>
      </x:c>
      <x:c r="Q105" s="30" t="n">
        <x:f>IF($A105=0,"",$N105+$O105-$P105)</x:f>
        <x:v>57.55290634807611</x:v>
      </x:c>
      <x:c r="R105" s="30" t="n">
        <x:f>IF($A105=0,"",$G105-$Q105)</x:f>
        <x:v>157.3156237300476</x:v>
      </x:c>
      <x:c r="S105" s="30" t="n">
        <x:f>IF($A105=0,"",SUM($R$17:R105))</x:f>
        <x:v>8523.668828548796</x:v>
      </x:c>
      <x:c r="T105" s="30" t="n">
        <x:f>IF($A105=0,"",$S105-$H105)</x:f>
        <x:v>3064.1688285487962</x:v>
      </x:c>
    </x:row>
    <x:row r="106">
      <x:c r="A106" s="40" t="n">
        <x:v>8</x:v>
      </x:c>
      <x:c r="B106" s="40" t="n">
        <x:v>30</x:v>
      </x:c>
      <x:c r="C106" s="40" t="n">
        <x:v>6</x:v>
      </x:c>
      <x:c r="D106" s="31" t="n">
        <x:f>INDEX(Assumptions!$D$24:$D$35,$C106)</x:f>
        <x:v>491.73724202799656</x:v>
      </x:c>
      <x:c r="E106" s="30" t="n">
        <x:f>$D106*Assumptions!$B$11*IF($A106=0,1,(1+Assumptions!$B$14)^($A106-1))</x:f>
        <x:v>197.69803275843066</x:v>
      </x:c>
      <x:c r="F106" s="30" t="n">
        <x:f>$B106*Assumptions!$B$13</x:f>
        <x:v>21</x:v>
      </x:c>
      <x:c r="G106" s="30" t="n">
        <x:f>$E106+$F106</x:f>
        <x:v>218.69803275843066</x:v>
      </x:c>
      <x:c r="H106" s="30" t="n">
        <x:f>IF($A106=0,"",Assumptions!$B$21)</x:f>
        <x:v>5459.5</x:v>
      </x:c>
      <x:c r="I106" s="31" t="n">
        <x:f>IF($A106=0,"",INDEX(Assumptions!$C$24:$C$35,$C106)*IF($A106=0,"",IF($A106=1,1-Assumptions!$B$16,(1-Assumptions!$B$16)*(1-Assumptions!$B$17)^($A106-1))))</x:f>
        <x:v>401.23439951976536</x:v>
      </x:c>
      <x:c r="J106" s="32" t="n">
        <x:f>IF($A106=0,"",IF($I106&gt;0,$K106/$I106,0))</x:f>
        <x:v>1</x:v>
      </x:c>
      <x:c r="K106" s="31" t="n">
        <x:f>IF($A106=0,"",LET(direct,MIN($I106,$D106),surplus,MAX(0,$I106-direct),deficit,MAX(0,$D106-direct),charge,MIN(surplus,Assumptions!$B$10,direct,deficit),direct+charge))</x:f>
        <x:v>401.23439951976536</x:v>
      </x:c>
      <x:c r="L106" s="31" t="n">
        <x:f>IF($A106=0,"",LET(direct,MIN($I106,$D106),surplus,MAX(0,$I106-direct),deficit,MAX(0,$D106-direct),charge,MIN(surplus,Assumptions!$B$10,direct,deficit),surplus-charge))</x:f>
        <x:v>0</x:v>
      </x:c>
      <x:c r="M106" s="31" t="n">
        <x:f>IF($A106=0,"",LET(direct,MIN($I106,$D106),surplus,MAX(0,$I106-direct),deficit,MAX(0,$D106-direct),charge,MIN(surplus,Assumptions!$B$10,direct,deficit),deficit-charge))</x:f>
        <x:v>90.5028425082312</x:v>
      </x:c>
      <x:c r="N106" s="30" t="n">
        <x:f>IF($A106=0,"",$M106*Assumptions!$B$11*IF($A106=0,1,(1+Assumptions!$B$14)^($A106-1)))</x:f>
        <x:v>36.385761324753815</x:v>
      </x:c>
      <x:c r="O106" s="30" t="n">
        <x:f>IF($A106=0,"",$B106*Assumptions!$B$13)</x:f>
        <x:v>21</x:v>
      </x:c>
      <x:c r="P106" s="30" t="n">
        <x:f>IF($A106=0,"",$L106*Assumptions!$B$12)</x:f>
        <x:v>0</x:v>
      </x:c>
      <x:c r="Q106" s="30" t="n">
        <x:f>IF($A106=0,"",$N106+$O106-$P106)</x:f>
        <x:v>57.385761324753815</x:v>
      </x:c>
      <x:c r="R106" s="30" t="n">
        <x:f>IF($A106=0,"",$G106-$Q106)</x:f>
        <x:v>161.31227143367684</x:v>
      </x:c>
      <x:c r="S106" s="30" t="n">
        <x:f>IF($A106=0,"",SUM($R$17:R106))</x:f>
        <x:v>8684.981099982473</x:v>
      </x:c>
      <x:c r="T106" s="30" t="n">
        <x:f>IF($A106=0,"",$S106-$H106)</x:f>
        <x:v>3225.481099982473</x:v>
      </x:c>
    </x:row>
    <x:row r="107">
      <x:c r="A107" s="40" t="n">
        <x:v>8</x:v>
      </x:c>
      <x:c r="B107" s="40" t="n">
        <x:v>31</x:v>
      </x:c>
      <x:c r="C107" s="40" t="n">
        <x:v>7</x:v>
      </x:c>
      <x:c r="D107" s="31" t="n">
        <x:f>INDEX(Assumptions!$D$24:$D$35,$C107)</x:f>
        <x:v>504.2215193375261</x:v>
      </x:c>
      <x:c r="E107" s="30" t="n">
        <x:f>$D107*Assumptions!$B$11*IF($A107=0,1,(1+Assumptions!$B$14)^($A107-1))</x:f>
        <x:v>202.71721140417617</x:v>
      </x:c>
      <x:c r="F107" s="30" t="n">
        <x:f>$B107*Assumptions!$B$13</x:f>
        <x:v>21.7</x:v>
      </x:c>
      <x:c r="G107" s="30" t="n">
        <x:f>$E107+$F107</x:f>
        <x:v>224.41721140417616</x:v>
      </x:c>
      <x:c r="H107" s="30" t="n">
        <x:f>IF($A107=0,"",Assumptions!$B$21)</x:f>
        <x:v>5459.5</x:v>
      </x:c>
      <x:c r="I107" s="31" t="n">
        <x:f>IF($A107=0,"",INDEX(Assumptions!$C$24:$C$35,$C107)*IF($A107=0,"",IF($A107=1,1-Assumptions!$B$16,(1-Assumptions!$B$16)*(1-Assumptions!$B$17)^($A107-1))))</x:f>
        <x:v>414.5902938748714</x:v>
      </x:c>
      <x:c r="J107" s="32" t="n">
        <x:f>IF($A107=0,"",IF($I107&gt;0,$K107/$I107,0))</x:f>
        <x:v>1</x:v>
      </x:c>
      <x:c r="K107" s="31" t="n">
        <x:f>IF($A107=0,"",LET(direct,MIN($I107,$D107),surplus,MAX(0,$I107-direct),deficit,MAX(0,$D107-direct),charge,MIN(surplus,Assumptions!$B$10,direct,deficit),direct+charge))</x:f>
        <x:v>414.5902938748714</x:v>
      </x:c>
      <x:c r="L107" s="31" t="n">
        <x:f>IF($A107=0,"",LET(direct,MIN($I107,$D107),surplus,MAX(0,$I107-direct),deficit,MAX(0,$D107-direct),charge,MIN(surplus,Assumptions!$B$10,direct,deficit),surplus-charge))</x:f>
        <x:v>0</x:v>
      </x:c>
      <x:c r="M107" s="31" t="n">
        <x:f>IF($A107=0,"",LET(direct,MIN($I107,$D107),surplus,MAX(0,$I107-direct),deficit,MAX(0,$D107-direct),charge,MIN(surplus,Assumptions!$B$10,direct,deficit),deficit-charge))</x:f>
        <x:v>89.6312254626547</x:v>
      </x:c>
      <x:c r="N107" s="30" t="n">
        <x:f>IF($A107=0,"",$M107*Assumptions!$B$11*IF($A107=0,1,(1+Assumptions!$B$14)^($A107-1)))</x:f>
        <x:v>36.035336421977426</x:v>
      </x:c>
      <x:c r="O107" s="30" t="n">
        <x:f>IF($A107=0,"",$B107*Assumptions!$B$13)</x:f>
        <x:v>21.7</x:v>
      </x:c>
      <x:c r="P107" s="30" t="n">
        <x:f>IF($A107=0,"",$L107*Assumptions!$B$12)</x:f>
        <x:v>0</x:v>
      </x:c>
      <x:c r="Q107" s="30" t="n">
        <x:f>IF($A107=0,"",$N107+$O107-$P107)</x:f>
        <x:v>57.73533642197742</x:v>
      </x:c>
      <x:c r="R107" s="30" t="n">
        <x:f>IF($A107=0,"",$G107-$Q107)</x:f>
        <x:v>166.68187498219874</x:v>
      </x:c>
      <x:c r="S107" s="30" t="n">
        <x:f>IF($A107=0,"",SUM($R$17:R107))</x:f>
        <x:v>8851.662974964673</x:v>
      </x:c>
      <x:c r="T107" s="30" t="n">
        <x:f>IF($A107=0,"",$S107-$H107)</x:f>
        <x:v>3392.1629749646727</x:v>
      </x:c>
    </x:row>
    <x:row r="108">
      <x:c r="A108" s="40" t="n">
        <x:v>8</x:v>
      </x:c>
      <x:c r="B108" s="40" t="n">
        <x:v>31</x:v>
      </x:c>
      <x:c r="C108" s="40" t="n">
        <x:v>8</x:v>
      </x:c>
      <x:c r="D108" s="31" t="n">
        <x:f>INDEX(Assumptions!$D$24:$D$35,$C108)</x:f>
        <x:v>495.0866822817727</x:v>
      </x:c>
      <x:c r="E108" s="30" t="n">
        <x:f>$D108*Assumptions!$B$11*IF($A108=0,1,(1+Assumptions!$B$14)^($A108-1))</x:f>
        <x:v>199.04464166338678</x:v>
      </x:c>
      <x:c r="F108" s="30" t="n">
        <x:f>$B108*Assumptions!$B$13</x:f>
        <x:v>21.7</x:v>
      </x:c>
      <x:c r="G108" s="30" t="n">
        <x:f>$E108+$F108</x:f>
        <x:v>220.74464166338677</x:v>
      </x:c>
      <x:c r="H108" s="30" t="n">
        <x:f>IF($A108=0,"",Assumptions!$B$21)</x:f>
        <x:v>5459.5</x:v>
      </x:c>
      <x:c r="I108" s="31" t="n">
        <x:f>IF($A108=0,"",INDEX(Assumptions!$C$24:$C$35,$C108)*IF($A108=0,"",IF($A108=1,1-Assumptions!$B$16,(1-Assumptions!$B$16)*(1-Assumptions!$B$17)^($A108-1))))</x:f>
        <x:v>345.93495350620304</x:v>
      </x:c>
      <x:c r="J108" s="32" t="n">
        <x:f>IF($A108=0,"",IF($I108&gt;0,$K108/$I108,0))</x:f>
        <x:v>1</x:v>
      </x:c>
      <x:c r="K108" s="31" t="n">
        <x:f>IF($A108=0,"",LET(direct,MIN($I108,$D108),surplus,MAX(0,$I108-direct),deficit,MAX(0,$D108-direct),charge,MIN(surplus,Assumptions!$B$10,direct,deficit),direct+charge))</x:f>
        <x:v>345.93495350620304</x:v>
      </x:c>
      <x:c r="L108" s="31" t="n">
        <x:f>IF($A108=0,"",LET(direct,MIN($I108,$D108),surplus,MAX(0,$I108-direct),deficit,MAX(0,$D108-direct),charge,MIN(surplus,Assumptions!$B$10,direct,deficit),surplus-charge))</x:f>
        <x:v>0</x:v>
      </x:c>
      <x:c r="M108" s="31" t="n">
        <x:f>IF($A108=0,"",LET(direct,MIN($I108,$D108),surplus,MAX(0,$I108-direct),deficit,MAX(0,$D108-direct),charge,MIN(surplus,Assumptions!$B$10,direct,deficit),deficit-charge))</x:f>
        <x:v>149.15172877556967</x:v>
      </x:c>
      <x:c r="N108" s="30" t="n">
        <x:f>IF($A108=0,"",$M108*Assumptions!$B$11*IF($A108=0,1,(1+Assumptions!$B$14)^($A108-1)))</x:f>
        <x:v>59.964958602363346</x:v>
      </x:c>
      <x:c r="O108" s="30" t="n">
        <x:f>IF($A108=0,"",$B108*Assumptions!$B$13)</x:f>
        <x:v>21.7</x:v>
      </x:c>
      <x:c r="P108" s="30" t="n">
        <x:f>IF($A108=0,"",$L108*Assumptions!$B$12)</x:f>
        <x:v>0</x:v>
      </x:c>
      <x:c r="Q108" s="30" t="n">
        <x:f>IF($A108=0,"",$N108+$O108-$P108)</x:f>
        <x:v>81.66495860236334</x:v>
      </x:c>
      <x:c r="R108" s="30" t="n">
        <x:f>IF($A108=0,"",$G108-$Q108)</x:f>
        <x:v>139.07968306102345</x:v>
      </x:c>
      <x:c r="S108" s="30" t="n">
        <x:f>IF($A108=0,"",SUM($R$17:R108))</x:f>
        <x:v>8990.742658025696</x:v>
      </x:c>
      <x:c r="T108" s="30" t="n">
        <x:f>IF($A108=0,"",$S108-$H108)</x:f>
        <x:v>3531.242658025696</x:v>
      </x:c>
    </x:row>
    <x:row r="109">
      <x:c r="A109" s="40" t="n">
        <x:v>8</x:v>
      </x:c>
      <x:c r="B109" s="40" t="n">
        <x:v>30</x:v>
      </x:c>
      <x:c r="C109" s="40" t="n">
        <x:v>9</x:v>
      </x:c>
      <x:c r="D109" s="31" t="n">
        <x:f>INDEX(Assumptions!$D$24:$D$35,$C109)</x:f>
        <x:v>484.7338669519189</x:v>
      </x:c>
      <x:c r="E109" s="30" t="n">
        <x:f>$D109*Assumptions!$B$11*IF($A109=0,1,(1+Assumptions!$B$14)^($A109-1))</x:f>
        <x:v>194.8823959571588</x:v>
      </x:c>
      <x:c r="F109" s="30" t="n">
        <x:f>$B109*Assumptions!$B$13</x:f>
        <x:v>21</x:v>
      </x:c>
      <x:c r="G109" s="30" t="n">
        <x:f>$E109+$F109</x:f>
        <x:v>215.8823959571588</x:v>
      </x:c>
      <x:c r="H109" s="30" t="n">
        <x:f>IF($A109=0,"",Assumptions!$B$21)</x:f>
        <x:v>5459.5</x:v>
      </x:c>
      <x:c r="I109" s="31" t="n">
        <x:f>IF($A109=0,"",INDEX(Assumptions!$C$24:$C$35,$C109)*IF($A109=0,"",IF($A109=1,1-Assumptions!$B$16,(1-Assumptions!$B$16)*(1-Assumptions!$B$17)^($A109-1))))</x:f>
        <x:v>254.71698909446323</x:v>
      </x:c>
      <x:c r="J109" s="32" t="n">
        <x:f>IF($A109=0,"",IF($I109&gt;0,$K109/$I109,0))</x:f>
        <x:v>1</x:v>
      </x:c>
      <x:c r="K109" s="31" t="n">
        <x:f>IF($A109=0,"",LET(direct,MIN($I109,$D109),surplus,MAX(0,$I109-direct),deficit,MAX(0,$D109-direct),charge,MIN(surplus,Assumptions!$B$10,direct,deficit),direct+charge))</x:f>
        <x:v>254.71698909446323</x:v>
      </x:c>
      <x:c r="L109" s="31" t="n">
        <x:f>IF($A109=0,"",LET(direct,MIN($I109,$D109),surplus,MAX(0,$I109-direct),deficit,MAX(0,$D109-direct),charge,MIN(surplus,Assumptions!$B$10,direct,deficit),surplus-charge))</x:f>
        <x:v>0</x:v>
      </x:c>
      <x:c r="M109" s="31" t="n">
        <x:f>IF($A109=0,"",LET(direct,MIN($I109,$D109),surplus,MAX(0,$I109-direct),deficit,MAX(0,$D109-direct),charge,MIN(surplus,Assumptions!$B$10,direct,deficit),deficit-charge))</x:f>
        <x:v>230.01687785745568</x:v>
      </x:c>
      <x:c r="N109" s="30" t="n">
        <x:f>IF($A109=0,"",$M109*Assumptions!$B$11*IF($A109=0,1,(1+Assumptions!$B$14)^($A109-1)))</x:f>
        <x:v>92.47598181930303</x:v>
      </x:c>
      <x:c r="O109" s="30" t="n">
        <x:f>IF($A109=0,"",$B109*Assumptions!$B$13)</x:f>
        <x:v>21</x:v>
      </x:c>
      <x:c r="P109" s="30" t="n">
        <x:f>IF($A109=0,"",$L109*Assumptions!$B$12)</x:f>
        <x:v>0</x:v>
      </x:c>
      <x:c r="Q109" s="30" t="n">
        <x:f>IF($A109=0,"",$N109+$O109-$P109)</x:f>
        <x:v>113.47598181930303</x:v>
      </x:c>
      <x:c r="R109" s="30" t="n">
        <x:f>IF($A109=0,"",$G109-$Q109)</x:f>
        <x:v>102.40641413785576</x:v>
      </x:c>
      <x:c r="S109" s="30" t="n">
        <x:f>IF($A109=0,"",SUM($R$17:R109))</x:f>
        <x:v>9093.149072163551</x:v>
      </x:c>
      <x:c r="T109" s="30" t="n">
        <x:f>IF($A109=0,"",$S109-$H109)</x:f>
        <x:v>3633.649072163551</x:v>
      </x:c>
    </x:row>
    <x:row r="110">
      <x:c r="A110" s="40" t="n">
        <x:v>8</x:v>
      </x:c>
      <x:c r="B110" s="40" t="n">
        <x:v>31</x:v>
      </x:c>
      <x:c r="C110" s="40" t="n">
        <x:v>10</x:v>
      </x:c>
      <x:c r="D110" s="31" t="n">
        <x:f>INDEX(Assumptions!$D$24:$D$35,$C110)</x:f>
        <x:v>965.136511636476</x:v>
      </x:c>
      <x:c r="E110" s="30" t="n">
        <x:f>$D110*Assumptions!$B$11*IF($A110=0,1,(1+Assumptions!$B$14)^($A110-1))</x:f>
        <x:v>388.0234673846449</x:v>
      </x:c>
      <x:c r="F110" s="30" t="n">
        <x:f>$B110*Assumptions!$B$13</x:f>
        <x:v>21.7</x:v>
      </x:c>
      <x:c r="G110" s="30" t="n">
        <x:f>$E110+$F110</x:f>
        <x:v>409.7234673846449</x:v>
      </x:c>
      <x:c r="H110" s="30" t="n">
        <x:f>IF($A110=0,"",Assumptions!$B$21)</x:f>
        <x:v>5459.5</x:v>
      </x:c>
      <x:c r="I110" s="31" t="n">
        <x:f>IF($A110=0,"",INDEX(Assumptions!$C$24:$C$35,$C110)*IF($A110=0,"",IF($A110=1,1-Assumptions!$B$16,(1-Assumptions!$B$16)*(1-Assumptions!$B$17)^($A110-1))))</x:f>
        <x:v>178.34265787724388</x:v>
      </x:c>
      <x:c r="J110" s="32" t="n">
        <x:f>IF($A110=0,"",IF($I110&gt;0,$K110/$I110,0))</x:f>
        <x:v>1</x:v>
      </x:c>
      <x:c r="K110" s="31" t="n">
        <x:f>IF($A110=0,"",LET(direct,MIN($I110,$D110),surplus,MAX(0,$I110-direct),deficit,MAX(0,$D110-direct),charge,MIN(surplus,Assumptions!$B$10,direct,deficit),direct+charge))</x:f>
        <x:v>178.34265787724388</x:v>
      </x:c>
      <x:c r="L110" s="31" t="n">
        <x:f>IF($A110=0,"",LET(direct,MIN($I110,$D110),surplus,MAX(0,$I110-direct),deficit,MAX(0,$D110-direct),charge,MIN(surplus,Assumptions!$B$10,direct,deficit),surplus-charge))</x:f>
        <x:v>0</x:v>
      </x:c>
      <x:c r="M110" s="31" t="n">
        <x:f>IF($A110=0,"",LET(direct,MIN($I110,$D110),surplus,MAX(0,$I110-direct),deficit,MAX(0,$D110-direct),charge,MIN(surplus,Assumptions!$B$10,direct,deficit),deficit-charge))</x:f>
        <x:v>786.7938537592322</x:v>
      </x:c>
      <x:c r="N110" s="30" t="n">
        <x:f>IF($A110=0,"",$M110*Assumptions!$B$11*IF($A110=0,1,(1+Assumptions!$B$14)^($A110-1)))</x:f>
        <x:v>316.32258812272073</x:v>
      </x:c>
      <x:c r="O110" s="30" t="n">
        <x:f>IF($A110=0,"",$B110*Assumptions!$B$13)</x:f>
        <x:v>21.7</x:v>
      </x:c>
      <x:c r="P110" s="30" t="n">
        <x:f>IF($A110=0,"",$L110*Assumptions!$B$12)</x:f>
        <x:v>0</x:v>
      </x:c>
      <x:c r="Q110" s="30" t="n">
        <x:f>IF($A110=0,"",$N110+$O110-$P110)</x:f>
        <x:v>338.0225881227207</x:v>
      </x:c>
      <x:c r="R110" s="30" t="n">
        <x:f>IF($A110=0,"",$G110-$Q110)</x:f>
        <x:v>71.70087926192417</x:v>
      </x:c>
      <x:c r="S110" s="30" t="n">
        <x:f>IF($A110=0,"",SUM($R$17:R110))</x:f>
        <x:v>9164.849951425475</x:v>
      </x:c>
      <x:c r="T110" s="30" t="n">
        <x:f>IF($A110=0,"",$S110-$H110)</x:f>
        <x:v>3705.3499514254745</x:v>
      </x:c>
    </x:row>
    <x:row r="111">
      <x:c r="A111" s="40" t="n">
        <x:v>8</x:v>
      </x:c>
      <x:c r="B111" s="40" t="n">
        <x:v>30</x:v>
      </x:c>
      <x:c r="C111" s="40" t="n">
        <x:v>11</x:v>
      </x:c>
      <x:c r="D111" s="31" t="n">
        <x:f>INDEX(Assumptions!$D$24:$D$35,$C111)</x:f>
        <x:v>948.3553735444794</x:v>
      </x:c>
      <x:c r="E111" s="30" t="n">
        <x:f>$D111*Assumptions!$B$11*IF($A111=0,1,(1+Assumptions!$B$14)^($A111-1))</x:f>
        <x:v>381.276778900053</x:v>
      </x:c>
      <x:c r="F111" s="30" t="n">
        <x:f>$B111*Assumptions!$B$13</x:f>
        <x:v>21</x:v>
      </x:c>
      <x:c r="G111" s="30" t="n">
        <x:f>$E111+$F111</x:f>
        <x:v>402.276778900053</x:v>
      </x:c>
      <x:c r="H111" s="30" t="n">
        <x:f>IF($A111=0,"",Assumptions!$B$21)</x:f>
        <x:v>5459.5</x:v>
      </x:c>
      <x:c r="I111" s="31" t="n">
        <x:f>IF($A111=0,"",INDEX(Assumptions!$C$24:$C$35,$C111)*IF($A111=0,"",IF($A111=1,1-Assumptions!$B$16,(1-Assumptions!$B$16)*(1-Assumptions!$B$17)^($A111-1))))</x:f>
        <x:v>105.88943856130078</x:v>
      </x:c>
      <x:c r="J111" s="32" t="n">
        <x:f>IF($A111=0,"",IF($I111&gt;0,$K111/$I111,0))</x:f>
        <x:v>1</x:v>
      </x:c>
      <x:c r="K111" s="31" t="n">
        <x:f>IF($A111=0,"",LET(direct,MIN($I111,$D111),surplus,MAX(0,$I111-direct),deficit,MAX(0,$D111-direct),charge,MIN(surplus,Assumptions!$B$10,direct,deficit),direct+charge))</x:f>
        <x:v>105.88943856130078</x:v>
      </x:c>
      <x:c r="L111" s="31" t="n">
        <x:f>IF($A111=0,"",LET(direct,MIN($I111,$D111),surplus,MAX(0,$I111-direct),deficit,MAX(0,$D111-direct),charge,MIN(surplus,Assumptions!$B$10,direct,deficit),surplus-charge))</x:f>
        <x:v>0</x:v>
      </x:c>
      <x:c r="M111" s="31" t="n">
        <x:f>IF($A111=0,"",LET(direct,MIN($I111,$D111),surplus,MAX(0,$I111-direct),deficit,MAX(0,$D111-direct),charge,MIN(surplus,Assumptions!$B$10,direct,deficit),deficit-charge))</x:f>
        <x:v>842.4659349831786</x:v>
      </x:c>
      <x:c r="N111" s="30" t="n">
        <x:f>IF($A111=0,"",$M111*Assumptions!$B$11*IF($A111=0,1,(1+Assumptions!$B$14)^($A111-1)))</x:f>
        <x:v>338.7049907492746</x:v>
      </x:c>
      <x:c r="O111" s="30" t="n">
        <x:f>IF($A111=0,"",$B111*Assumptions!$B$13)</x:f>
        <x:v>21</x:v>
      </x:c>
      <x:c r="P111" s="30" t="n">
        <x:f>IF($A111=0,"",$L111*Assumptions!$B$12)</x:f>
        <x:v>0</x:v>
      </x:c>
      <x:c r="Q111" s="30" t="n">
        <x:f>IF($A111=0,"",$N111+$O111-$P111)</x:f>
        <x:v>359.7049907492746</x:v>
      </x:c>
      <x:c r="R111" s="30" t="n">
        <x:f>IF($A111=0,"",$G111-$Q111)</x:f>
        <x:v>42.57178815077839</x:v>
      </x:c>
      <x:c r="S111" s="30" t="n">
        <x:f>IF($A111=0,"",SUM($R$17:R111))</x:f>
        <x:v>9207.421739576253</x:v>
      </x:c>
      <x:c r="T111" s="30" t="n">
        <x:f>IF($A111=0,"",$S111-$H111)</x:f>
        <x:v>3747.9217395762535</x:v>
      </x:c>
    </x:row>
    <x:row r="112">
      <x:c r="A112" s="40" t="n">
        <x:v>8</x:v>
      </x:c>
      <x:c r="B112" s="40" t="n">
        <x:v>31</x:v>
      </x:c>
      <x:c r="C112" s="40" t="n">
        <x:v>12</x:v>
      </x:c>
      <x:c r="D112" s="31" t="n">
        <x:f>INDEX(Assumptions!$D$24:$D$35,$C112)</x:f>
        <x:v>928.0413642752205</x:v>
      </x:c>
      <x:c r="E112" s="30" t="n">
        <x:f>$D112*Assumptions!$B$11*IF($A112=0,1,(1+Assumptions!$B$14)^($A112-1))</x:f>
        <x:v>373.10973494502065</x:v>
      </x:c>
      <x:c r="F112" s="30" t="n">
        <x:f>$B112*Assumptions!$B$13</x:f>
        <x:v>21.7</x:v>
      </x:c>
      <x:c r="G112" s="30" t="n">
        <x:f>$E112+$F112</x:f>
        <x:v>394.80973494502064</x:v>
      </x:c>
      <x:c r="H112" s="30" t="n">
        <x:f>IF($A112=0,"",Assumptions!$B$21)</x:f>
        <x:v>5459.5</x:v>
      </x:c>
      <x:c r="I112" s="31" t="n">
        <x:f>IF($A112=0,"",INDEX(Assumptions!$C$24:$C$35,$C112)*IF($A112=0,"",IF($A112=1,1-Assumptions!$B$16,(1-Assumptions!$B$16)*(1-Assumptions!$B$17)^($A112-1))))</x:f>
        <x:v>78.07431149034991</x:v>
      </x:c>
      <x:c r="J112" s="32" t="n">
        <x:f>IF($A112=0,"",IF($I112&gt;0,$K112/$I112,0))</x:f>
        <x:v>1</x:v>
      </x:c>
      <x:c r="K112" s="31" t="n">
        <x:f>IF($A112=0,"",LET(direct,MIN($I112,$D112),surplus,MAX(0,$I112-direct),deficit,MAX(0,$D112-direct),charge,MIN(surplus,Assumptions!$B$10,direct,deficit),direct+charge))</x:f>
        <x:v>78.07431149034991</x:v>
      </x:c>
      <x:c r="L112" s="31" t="n">
        <x:f>IF($A112=0,"",LET(direct,MIN($I112,$D112),surplus,MAX(0,$I112-direct),deficit,MAX(0,$D112-direct),charge,MIN(surplus,Assumptions!$B$10,direct,deficit),surplus-charge))</x:f>
        <x:v>0</x:v>
      </x:c>
      <x:c r="M112" s="31" t="n">
        <x:f>IF($A112=0,"",LET(direct,MIN($I112,$D112),surplus,MAX(0,$I112-direct),deficit,MAX(0,$D112-direct),charge,MIN(surplus,Assumptions!$B$10,direct,deficit),deficit-charge))</x:f>
        <x:v>849.9670527848706</x:v>
      </x:c>
      <x:c r="N112" s="30" t="n">
        <x:f>IF($A112=0,"",$M112*Assumptions!$B$11*IF($A112=0,1,(1+Assumptions!$B$14)^($A112-1)))</x:f>
        <x:v>341.72074002782796</x:v>
      </x:c>
      <x:c r="O112" s="30" t="n">
        <x:f>IF($A112=0,"",$B112*Assumptions!$B$13)</x:f>
        <x:v>21.7</x:v>
      </x:c>
      <x:c r="P112" s="30" t="n">
        <x:f>IF($A112=0,"",$L112*Assumptions!$B$12)</x:f>
        <x:v>0</x:v>
      </x:c>
      <x:c r="Q112" s="30" t="n">
        <x:f>IF($A112=0,"",$N112+$O112-$P112)</x:f>
        <x:v>363.42074002782795</x:v>
      </x:c>
      <x:c r="R112" s="30" t="n">
        <x:f>IF($A112=0,"",$G112-$Q112)</x:f>
        <x:v>31.38899491719269</x:v>
      </x:c>
      <x:c r="S112" s="30" t="n">
        <x:f>IF($A112=0,"",SUM($R$17:R112))</x:f>
        <x:v>9238.810734493447</x:v>
      </x:c>
      <x:c r="T112" s="30" t="n">
        <x:f>IF($A112=0,"",$S112-$H112)</x:f>
        <x:v>3779.310734493447</x:v>
      </x:c>
    </x:row>
    <x:row r="113">
      <x:c r="A113" s="40" t="n">
        <x:v>9</x:v>
      </x:c>
      <x:c r="B113" s="40" t="n">
        <x:v>31</x:v>
      </x:c>
      <x:c r="C113" s="40" t="n">
        <x:v>1</x:v>
      </x:c>
      <x:c r="D113" s="31" t="n">
        <x:f>INDEX(Assumptions!$D$24:$D$35,$C113)</x:f>
        <x:v>921.8588397150115</x:v>
      </x:c>
      <x:c r="E113" s="30" t="n">
        <x:f>$D113*Assumptions!$B$11*IF($A113=0,1,(1+Assumptions!$B$14)^($A113-1))</x:f>
        <x:v>378.03659512918506</x:v>
      </x:c>
      <x:c r="F113" s="30" t="n">
        <x:f>$B113*Assumptions!$B$13</x:f>
        <x:v>21.7</x:v>
      </x:c>
      <x:c r="G113" s="30" t="n">
        <x:f>$E113+$F113</x:f>
        <x:v>399.73659512918505</x:v>
      </x:c>
      <x:c r="H113" s="30" t="n">
        <x:f>IF($A113=0,"",Assumptions!$B$21)</x:f>
        <x:v>5459.5</x:v>
      </x:c>
      <x:c r="I113" s="31" t="n">
        <x:f>IF($A113=0,"",INDEX(Assumptions!$C$24:$C$35,$C113)*IF($A113=0,"",IF($A113=1,1-Assumptions!$B$16,(1-Assumptions!$B$16)*(1-Assumptions!$B$17)^($A113-1))))</x:f>
        <x:v>94.65642020794607</x:v>
      </x:c>
      <x:c r="J113" s="32" t="n">
        <x:f>IF($A113=0,"",IF($I113&gt;0,$K113/$I113,0))</x:f>
        <x:v>1</x:v>
      </x:c>
      <x:c r="K113" s="31" t="n">
        <x:f>IF($A113=0,"",LET(direct,MIN($I113,$D113),surplus,MAX(0,$I113-direct),deficit,MAX(0,$D113-direct),charge,MIN(surplus,Assumptions!$B$10,direct,deficit),direct+charge))</x:f>
        <x:v>94.65642020794607</x:v>
      </x:c>
      <x:c r="L113" s="31" t="n">
        <x:f>IF($A113=0,"",LET(direct,MIN($I113,$D113),surplus,MAX(0,$I113-direct),deficit,MAX(0,$D113-direct),charge,MIN(surplus,Assumptions!$B$10,direct,deficit),surplus-charge))</x:f>
        <x:v>0</x:v>
      </x:c>
      <x:c r="M113" s="31" t="n">
        <x:f>IF($A113=0,"",LET(direct,MIN($I113,$D113),surplus,MAX(0,$I113-direct),deficit,MAX(0,$D113-direct),charge,MIN(surplus,Assumptions!$B$10,direct,deficit),deficit-charge))</x:f>
        <x:v>827.2024195070654</x:v>
      </x:c>
      <x:c r="N113" s="30" t="n">
        <x:f>IF($A113=0,"",$M113*Assumptions!$B$11*IF($A113=0,1,(1+Assumptions!$B$14)^($A113-1)))</x:f>
        <x:v>339.2198161811287</x:v>
      </x:c>
      <x:c r="O113" s="30" t="n">
        <x:f>IF($A113=0,"",$B113*Assumptions!$B$13)</x:f>
        <x:v>21.7</x:v>
      </x:c>
      <x:c r="P113" s="30" t="n">
        <x:f>IF($A113=0,"",$L113*Assumptions!$B$12)</x:f>
        <x:v>0</x:v>
      </x:c>
      <x:c r="Q113" s="30" t="n">
        <x:f>IF($A113=0,"",$N113+$O113-$P113)</x:f>
        <x:v>360.9198161811287</x:v>
      </x:c>
      <x:c r="R113" s="30" t="n">
        <x:f>IF($A113=0,"",$G113-$Q113)</x:f>
        <x:v>38.81677894805637</x:v>
      </x:c>
      <x:c r="S113" s="30" t="n">
        <x:f>IF($A113=0,"",SUM($R$17:R113))</x:f>
        <x:v>9277.627513441503</x:v>
      </x:c>
      <x:c r="T113" s="30" t="n">
        <x:f>IF($A113=0,"",$S113-$H113)</x:f>
        <x:v>3818.1275134415027</x:v>
      </x:c>
    </x:row>
    <x:row r="114">
      <x:c r="A114" s="40" t="n">
        <x:v>9</x:v>
      </x:c>
      <x:c r="B114" s="40" t="n">
        <x:v>28</x:v>
      </x:c>
      <x:c r="C114" s="40" t="n">
        <x:v>2</x:v>
      </x:c>
      <x:c r="D114" s="31" t="n">
        <x:f>INDEX(Assumptions!$D$24:$D$35,$C114)</x:f>
        <x:v>923.6252753036425</x:v>
      </x:c>
      <x:c r="E114" s="30" t="n">
        <x:f>$D114*Assumptions!$B$11*IF($A114=0,1,(1+Assumptions!$B$14)^($A114-1))</x:f>
        <x:v>378.76097641910957</x:v>
      </x:c>
      <x:c r="F114" s="30" t="n">
        <x:f>$B114*Assumptions!$B$13</x:f>
        <x:v>19.599999999999998</x:v>
      </x:c>
      <x:c r="G114" s="30" t="n">
        <x:f>$E114+$F114</x:f>
        <x:v>398.3609764191096</x:v>
      </x:c>
      <x:c r="H114" s="30" t="n">
        <x:f>IF($A114=0,"",Assumptions!$B$21)</x:f>
        <x:v>5459.5</x:v>
      </x:c>
      <x:c r="I114" s="31" t="n">
        <x:f>IF($A114=0,"",INDEX(Assumptions!$C$24:$C$35,$C114)*IF($A114=0,"",IF($A114=1,1-Assumptions!$B$16,(1-Assumptions!$B$16)*(1-Assumptions!$B$17)^($A114-1))))</x:f>
        <x:v>149.64379844310608</x:v>
      </x:c>
      <x:c r="J114" s="32" t="n">
        <x:f>IF($A114=0,"",IF($I114&gt;0,$K114/$I114,0))</x:f>
        <x:v>1</x:v>
      </x:c>
      <x:c r="K114" s="31" t="n">
        <x:f>IF($A114=0,"",LET(direct,MIN($I114,$D114),surplus,MAX(0,$I114-direct),deficit,MAX(0,$D114-direct),charge,MIN(surplus,Assumptions!$B$10,direct,deficit),direct+charge))</x:f>
        <x:v>149.64379844310608</x:v>
      </x:c>
      <x:c r="L114" s="31" t="n">
        <x:f>IF($A114=0,"",LET(direct,MIN($I114,$D114),surplus,MAX(0,$I114-direct),deficit,MAX(0,$D114-direct),charge,MIN(surplus,Assumptions!$B$10,direct,deficit),surplus-charge))</x:f>
        <x:v>0</x:v>
      </x:c>
      <x:c r="M114" s="31" t="n">
        <x:f>IF($A114=0,"",LET(direct,MIN($I114,$D114),surplus,MAX(0,$I114-direct),deficit,MAX(0,$D114-direct),charge,MIN(surplus,Assumptions!$B$10,direct,deficit),deficit-charge))</x:f>
        <x:v>773.9814768605364</x:v>
      </x:c>
      <x:c r="N114" s="30" t="n">
        <x:f>IF($A114=0,"",$M114*Assumptions!$B$11*IF($A114=0,1,(1+Assumptions!$B$14)^($A114-1)))</x:f>
        <x:v>317.39493032997245</x:v>
      </x:c>
      <x:c r="O114" s="30" t="n">
        <x:f>IF($A114=0,"",$B114*Assumptions!$B$13)</x:f>
        <x:v>19.599999999999998</x:v>
      </x:c>
      <x:c r="P114" s="30" t="n">
        <x:f>IF($A114=0,"",$L114*Assumptions!$B$12)</x:f>
        <x:v>0</x:v>
      </x:c>
      <x:c r="Q114" s="30" t="n">
        <x:f>IF($A114=0,"",$N114+$O114-$P114)</x:f>
        <x:v>336.9949303299725</x:v>
      </x:c>
      <x:c r="R114" s="30" t="n">
        <x:f>IF($A114=0,"",$G114-$Q114)</x:f>
        <x:v>61.366046089137114</x:v>
      </x:c>
      <x:c r="S114" s="30" t="n">
        <x:f>IF($A114=0,"",SUM($R$17:R114))</x:f>
        <x:v>9338.99355953064</x:v>
      </x:c>
      <x:c r="T114" s="30" t="n">
        <x:f>IF($A114=0,"",$S114-$H114)</x:f>
        <x:v>3879.4935595306397</x:v>
      </x:c>
    </x:row>
    <x:row r="115">
      <x:c r="A115" s="40" t="n">
        <x:v>9</x:v>
      </x:c>
      <x:c r="B115" s="40" t="n">
        <x:v>31</x:v>
      </x:c>
      <x:c r="C115" s="40" t="n">
        <x:v>3</x:v>
      </x:c>
      <x:c r="D115" s="31" t="n">
        <x:f>INDEX(Assumptions!$D$24:$D$35,$C115)</x:f>
        <x:v>907.7273550059616</x:v>
      </x:c>
      <x:c r="E115" s="30" t="n">
        <x:f>$D115*Assumptions!$B$11*IF($A115=0,1,(1+Assumptions!$B$14)^($A115-1))</x:f>
        <x:v>372.24154480978814</x:v>
      </x:c>
      <x:c r="F115" s="30" t="n">
        <x:f>$B115*Assumptions!$B$13</x:f>
        <x:v>21.7</x:v>
      </x:c>
      <x:c r="G115" s="30" t="n">
        <x:f>$E115+$F115</x:f>
        <x:v>393.9415448097881</x:v>
      </x:c>
      <x:c r="H115" s="30" t="n">
        <x:f>IF($A115=0,"",Assumptions!$B$21)</x:f>
        <x:v>5459.5</x:v>
      </x:c>
      <x:c r="I115" s="31" t="n">
        <x:f>IF($A115=0,"",INDEX(Assumptions!$C$24:$C$35,$C115)*IF($A115=0,"",IF($A115=1,1-Assumptions!$B$16,(1-Assumptions!$B$16)*(1-Assumptions!$B$17)^($A115-1))))</x:f>
        <x:v>264.1530961772747</x:v>
      </x:c>
      <x:c r="J115" s="32" t="n">
        <x:f>IF($A115=0,"",IF($I115&gt;0,$K115/$I115,0))</x:f>
        <x:v>1</x:v>
      </x:c>
      <x:c r="K115" s="31" t="n">
        <x:f>IF($A115=0,"",LET(direct,MIN($I115,$D115),surplus,MAX(0,$I115-direct),deficit,MAX(0,$D115-direct),charge,MIN(surplus,Assumptions!$B$10,direct,deficit),direct+charge))</x:f>
        <x:v>264.1530961772747</x:v>
      </x:c>
      <x:c r="L115" s="31" t="n">
        <x:f>IF($A115=0,"",LET(direct,MIN($I115,$D115),surplus,MAX(0,$I115-direct),deficit,MAX(0,$D115-direct),charge,MIN(surplus,Assumptions!$B$10,direct,deficit),surplus-charge))</x:f>
        <x:v>0</x:v>
      </x:c>
      <x:c r="M115" s="31" t="n">
        <x:f>IF($A115=0,"",LET(direct,MIN($I115,$D115),surplus,MAX(0,$I115-direct),deficit,MAX(0,$D115-direct),charge,MIN(surplus,Assumptions!$B$10,direct,deficit),deficit-charge))</x:f>
        <x:v>643.5742588286869</x:v>
      </x:c>
      <x:c r="N115" s="30" t="n">
        <x:f>IF($A115=0,"",$M115*Assumptions!$B$11*IF($A115=0,1,(1+Assumptions!$B$14)^($A115-1)))</x:f>
        <x:v>263.9174362048739</x:v>
      </x:c>
      <x:c r="O115" s="30" t="n">
        <x:f>IF($A115=0,"",$B115*Assumptions!$B$13)</x:f>
        <x:v>21.7</x:v>
      </x:c>
      <x:c r="P115" s="30" t="n">
        <x:f>IF($A115=0,"",$L115*Assumptions!$B$12)</x:f>
        <x:v>0</x:v>
      </x:c>
      <x:c r="Q115" s="30" t="n">
        <x:f>IF($A115=0,"",$N115+$O115-$P115)</x:f>
        <x:v>285.6174362048739</x:v>
      </x:c>
      <x:c r="R115" s="30" t="n">
        <x:f>IF($A115=0,"",$G115-$Q115)</x:f>
        <x:v>108.32410860491422</x:v>
      </x:c>
      <x:c r="S115" s="30" t="n">
        <x:f>IF($A115=0,"",SUM($R$17:R115))</x:f>
        <x:v>9447.317668135554</x:v>
      </x:c>
      <x:c r="T115" s="30" t="n">
        <x:f>IF($A115=0,"",$S115-$H115)</x:f>
        <x:v>3987.8176681355544</x:v>
      </x:c>
    </x:row>
    <x:row r="116">
      <x:c r="A116" s="40" t="n">
        <x:v>9</x:v>
      </x:c>
      <x:c r="B116" s="40" t="n">
        <x:v>30</x:v>
      </x:c>
      <x:c r="C116" s="40" t="n">
        <x:v>4</x:v>
      </x:c>
      <x:c r="D116" s="31" t="n">
        <x:f>INDEX(Assumptions!$D$24:$D$35,$C116)</x:f>
        <x:v>951.0050269274262</x:v>
      </x:c>
      <x:c r="E116" s="30" t="n">
        <x:f>$D116*Assumptions!$B$11*IF($A116=0,1,(1+Assumptions!$B$14)^($A116-1))</x:f>
        <x:v>389.98888641294093</x:v>
      </x:c>
      <x:c r="F116" s="30" t="n">
        <x:f>$B116*Assumptions!$B$13</x:f>
        <x:v>21</x:v>
      </x:c>
      <x:c r="G116" s="30" t="n">
        <x:f>$E116+$F116</x:f>
        <x:v>410.98888641294093</x:v>
      </x:c>
      <x:c r="H116" s="30" t="n">
        <x:f>IF($A116=0,"",Assumptions!$B$21)</x:f>
        <x:v>5459.5</x:v>
      </x:c>
      <x:c r="I116" s="31" t="n">
        <x:f>IF($A116=0,"",INDEX(Assumptions!$C$24:$C$35,$C116)*IF($A116=0,"",IF($A116=1,1-Assumptions!$B$16,(1-Assumptions!$B$16)*(1-Assumptions!$B$17)^($A116-1))))</x:f>
        <x:v>351.7722195230708</x:v>
      </x:c>
      <x:c r="J116" s="32" t="n">
        <x:f>IF($A116=0,"",IF($I116&gt;0,$K116/$I116,0))</x:f>
        <x:v>1</x:v>
      </x:c>
      <x:c r="K116" s="31" t="n">
        <x:f>IF($A116=0,"",LET(direct,MIN($I116,$D116),surplus,MAX(0,$I116-direct),deficit,MAX(0,$D116-direct),charge,MIN(surplus,Assumptions!$B$10,direct,deficit),direct+charge))</x:f>
        <x:v>351.7722195230708</x:v>
      </x:c>
      <x:c r="L116" s="31" t="n">
        <x:f>IF($A116=0,"",LET(direct,MIN($I116,$D116),surplus,MAX(0,$I116-direct),deficit,MAX(0,$D116-direct),charge,MIN(surplus,Assumptions!$B$10,direct,deficit),surplus-charge))</x:f>
        <x:v>0</x:v>
      </x:c>
      <x:c r="M116" s="31" t="n">
        <x:f>IF($A116=0,"",LET(direct,MIN($I116,$D116),surplus,MAX(0,$I116-direct),deficit,MAX(0,$D116-direct),charge,MIN(surplus,Assumptions!$B$10,direct,deficit),deficit-charge))</x:f>
        <x:v>599.2328074043554</x:v>
      </x:c>
      <x:c r="N116" s="30" t="n">
        <x:f>IF($A116=0,"",$M116*Assumptions!$B$11*IF($A116=0,1,(1+Assumptions!$B$14)^($A116-1)))</x:f>
        <x:v>245.73385906987292</x:v>
      </x:c>
      <x:c r="O116" s="30" t="n">
        <x:f>IF($A116=0,"",$B116*Assumptions!$B$13)</x:f>
        <x:v>21</x:v>
      </x:c>
      <x:c r="P116" s="30" t="n">
        <x:f>IF($A116=0,"",$L116*Assumptions!$B$12)</x:f>
        <x:v>0</x:v>
      </x:c>
      <x:c r="Q116" s="30" t="n">
        <x:f>IF($A116=0,"",$N116+$O116-$P116)</x:f>
        <x:v>266.7338590698729</x:v>
      </x:c>
      <x:c r="R116" s="30" t="n">
        <x:f>IF($A116=0,"",$G116-$Q116)</x:f>
        <x:v>144.25502734306804</x:v>
      </x:c>
      <x:c r="S116" s="30" t="n">
        <x:f>IF($A116=0,"",SUM($R$17:R116))</x:f>
        <x:v>9591.572695478622</x:v>
      </x:c>
      <x:c r="T116" s="30" t="n">
        <x:f>IF($A116=0,"",$S116-$H116)</x:f>
        <x:v>4132.072695478622</x:v>
      </x:c>
    </x:row>
    <x:row r="117">
      <x:c r="A117" s="40" t="n">
        <x:v>9</x:v>
      </x:c>
      <x:c r="B117" s="40" t="n">
        <x:v>31</x:v>
      </x:c>
      <x:c r="C117" s="40" t="n">
        <x:v>5</x:v>
      </x:c>
      <x:c r="D117" s="31" t="n">
        <x:f>INDEX(Assumptions!$D$24:$D$35,$C117)</x:f>
        <x:v>480.47094299256736</x:v>
      </x:c>
      <x:c r="E117" s="30" t="n">
        <x:f>$D117*Assumptions!$B$11*IF($A117=0,1,(1+Assumptions!$B$14)^($A117-1))</x:f>
        <x:v>197.03190067968623</x:v>
      </x:c>
      <x:c r="F117" s="30" t="n">
        <x:f>$B117*Assumptions!$B$13</x:f>
        <x:v>21.7</x:v>
      </x:c>
      <x:c r="G117" s="30" t="n">
        <x:f>$E117+$F117</x:f>
        <x:v>218.73190067968622</x:v>
      </x:c>
      <x:c r="H117" s="30" t="n">
        <x:f>IF($A117=0,"",Assumptions!$B$21)</x:f>
        <x:v>5459.5</x:v>
      </x:c>
      <x:c r="I117" s="31" t="n">
        <x:f>IF($A117=0,"",INDEX(Assumptions!$C$24:$C$35,$C117)*IF($A117=0,"",IF($A117=1,1-Assumptions!$B$16,(1-Assumptions!$B$16)*(1-Assumptions!$B$17)^($A117-1))))</x:f>
        <x:v>389.72830463776216</x:v>
      </x:c>
      <x:c r="J117" s="32" t="n">
        <x:f>IF($A117=0,"",IF($I117&gt;0,$K117/$I117,0))</x:f>
        <x:v>1</x:v>
      </x:c>
      <x:c r="K117" s="31" t="n">
        <x:f>IF($A117=0,"",LET(direct,MIN($I117,$D117),surplus,MAX(0,$I117-direct),deficit,MAX(0,$D117-direct),charge,MIN(surplus,Assumptions!$B$10,direct,deficit),direct+charge))</x:f>
        <x:v>389.72830463776216</x:v>
      </x:c>
      <x:c r="L117" s="31" t="n">
        <x:f>IF($A117=0,"",LET(direct,MIN($I117,$D117),surplus,MAX(0,$I117-direct),deficit,MAX(0,$D117-direct),charge,MIN(surplus,Assumptions!$B$10,direct,deficit),surplus-charge))</x:f>
        <x:v>0</x:v>
      </x:c>
      <x:c r="M117" s="31" t="n">
        <x:f>IF($A117=0,"",LET(direct,MIN($I117,$D117),surplus,MAX(0,$I117-direct),deficit,MAX(0,$D117-direct),charge,MIN(surplus,Assumptions!$B$10,direct,deficit),deficit-charge))</x:f>
        <x:v>90.7426383548052</x:v>
      </x:c>
      <x:c r="N117" s="30" t="n">
        <x:f>IF($A117=0,"",$M117*Assumptions!$B$11*IF($A117=0,1,(1+Assumptions!$B$14)^($A117-1)))</x:f>
        <x:v>37.21181221985623</x:v>
      </x:c>
      <x:c r="O117" s="30" t="n">
        <x:f>IF($A117=0,"",$B117*Assumptions!$B$13)</x:f>
        <x:v>21.7</x:v>
      </x:c>
      <x:c r="P117" s="30" t="n">
        <x:f>IF($A117=0,"",$L117*Assumptions!$B$12)</x:f>
        <x:v>0</x:v>
      </x:c>
      <x:c r="Q117" s="30" t="n">
        <x:f>IF($A117=0,"",$N117+$O117-$P117)</x:f>
        <x:v>58.91181221985623</x:v>
      </x:c>
      <x:c r="R117" s="30" t="n">
        <x:f>IF($A117=0,"",$G117-$Q117)</x:f>
        <x:v>159.82008845983</x:v>
      </x:c>
      <x:c r="S117" s="30" t="n">
        <x:f>IF($A117=0,"",SUM($R$17:R117))</x:f>
        <x:v>9751.392783938452</x:v>
      </x:c>
      <x:c r="T117" s="30" t="n">
        <x:f>IF($A117=0,"",$S117-$H117)</x:f>
        <x:v>4291.892783938452</x:v>
      </x:c>
    </x:row>
    <x:row r="118">
      <x:c r="A118" s="40" t="n">
        <x:v>9</x:v>
      </x:c>
      <x:c r="B118" s="40" t="n">
        <x:v>30</x:v>
      </x:c>
      <x:c r="C118" s="40" t="n">
        <x:v>6</x:v>
      </x:c>
      <x:c r="D118" s="31" t="n">
        <x:f>INDEX(Assumptions!$D$24:$D$35,$C118)</x:f>
        <x:v>491.73724202799656</x:v>
      </x:c>
      <x:c r="E118" s="30" t="n">
        <x:f>$D118*Assumptions!$B$11*IF($A118=0,1,(1+Assumptions!$B$14)^($A118-1))</x:f>
        <x:v>201.65199341359929</x:v>
      </x:c>
      <x:c r="F118" s="30" t="n">
        <x:f>$B118*Assumptions!$B$13</x:f>
        <x:v>21</x:v>
      </x:c>
      <x:c r="G118" s="30" t="n">
        <x:f>$E118+$F118</x:f>
        <x:v>222.65199341359929</x:v>
      </x:c>
      <x:c r="H118" s="30" t="n">
        <x:f>IF($A118=0,"",Assumptions!$B$21)</x:f>
        <x:v>5459.5</x:v>
      </x:c>
      <x:c r="I118" s="31" t="n">
        <x:f>IF($A118=0,"",INDEX(Assumptions!$C$24:$C$35,$C118)*IF($A118=0,"",IF($A118=1,1-Assumptions!$B$16,(1-Assumptions!$B$16)*(1-Assumptions!$B$17)^($A118-1))))</x:f>
        <x:v>399.6294619216863</x:v>
      </x:c>
      <x:c r="J118" s="32" t="n">
        <x:f>IF($A118=0,"",IF($I118&gt;0,$K118/$I118,0))</x:f>
        <x:v>1</x:v>
      </x:c>
      <x:c r="K118" s="31" t="n">
        <x:f>IF($A118=0,"",LET(direct,MIN($I118,$D118),surplus,MAX(0,$I118-direct),deficit,MAX(0,$D118-direct),charge,MIN(surplus,Assumptions!$B$10,direct,deficit),direct+charge))</x:f>
        <x:v>399.6294619216863</x:v>
      </x:c>
      <x:c r="L118" s="31" t="n">
        <x:f>IF($A118=0,"",LET(direct,MIN($I118,$D118),surplus,MAX(0,$I118-direct),deficit,MAX(0,$D118-direct),charge,MIN(surplus,Assumptions!$B$10,direct,deficit),surplus-charge))</x:f>
        <x:v>0</x:v>
      </x:c>
      <x:c r="M118" s="31" t="n">
        <x:f>IF($A118=0,"",LET(direct,MIN($I118,$D118),surplus,MAX(0,$I118-direct),deficit,MAX(0,$D118-direct),charge,MIN(surplus,Assumptions!$B$10,direct,deficit),deficit-charge))</x:f>
        <x:v>92.10778010631026</x:v>
      </x:c>
      <x:c r="N118" s="30" t="n">
        <x:f>IF($A118=0,"",$M118*Assumptions!$B$11*IF($A118=0,1,(1+Assumptions!$B$14)^($A118-1)))</x:f>
        <x:v>37.771630618698296</x:v>
      </x:c>
      <x:c r="O118" s="30" t="n">
        <x:f>IF($A118=0,"",$B118*Assumptions!$B$13)</x:f>
        <x:v>21</x:v>
      </x:c>
      <x:c r="P118" s="30" t="n">
        <x:f>IF($A118=0,"",$L118*Assumptions!$B$12)</x:f>
        <x:v>0</x:v>
      </x:c>
      <x:c r="Q118" s="30" t="n">
        <x:f>IF($A118=0,"",$N118+$O118-$P118)</x:f>
        <x:v>58.771630618698296</x:v>
      </x:c>
      <x:c r="R118" s="30" t="n">
        <x:f>IF($A118=0,"",$G118-$Q118)</x:f>
        <x:v>163.88036279490098</x:v>
      </x:c>
      <x:c r="S118" s="30" t="n">
        <x:f>IF($A118=0,"",SUM($R$17:R118))</x:f>
        <x:v>9915.273146733354</x:v>
      </x:c>
      <x:c r="T118" s="30" t="n">
        <x:f>IF($A118=0,"",$S118-$H118)</x:f>
        <x:v>4455.773146733354</x:v>
      </x:c>
    </x:row>
    <x:row r="119">
      <x:c r="A119" s="40" t="n">
        <x:v>9</x:v>
      </x:c>
      <x:c r="B119" s="40" t="n">
        <x:v>31</x:v>
      </x:c>
      <x:c r="C119" s="40" t="n">
        <x:v>7</x:v>
      </x:c>
      <x:c r="D119" s="31" t="n">
        <x:f>INDEX(Assumptions!$D$24:$D$35,$C119)</x:f>
        <x:v>504.2215193375261</x:v>
      </x:c>
      <x:c r="E119" s="30" t="n">
        <x:f>$D119*Assumptions!$B$11*IF($A119=0,1,(1+Assumptions!$B$14)^($A119-1))</x:f>
        <x:v>206.77155563225972</x:v>
      </x:c>
      <x:c r="F119" s="30" t="n">
        <x:f>$B119*Assumptions!$B$13</x:f>
        <x:v>21.7</x:v>
      </x:c>
      <x:c r="G119" s="30" t="n">
        <x:f>$E119+$F119</x:f>
        <x:v>228.4715556322597</x:v>
      </x:c>
      <x:c r="H119" s="30" t="n">
        <x:f>IF($A119=0,"",Assumptions!$B$21)</x:f>
        <x:v>5459.5</x:v>
      </x:c>
      <x:c r="I119" s="31" t="n">
        <x:f>IF($A119=0,"",INDEX(Assumptions!$C$24:$C$35,$C119)*IF($A119=0,"",IF($A119=1,1-Assumptions!$B$16,(1-Assumptions!$B$16)*(1-Assumptions!$B$17)^($A119-1))))</x:f>
        <x:v>412.93193269937194</x:v>
      </x:c>
      <x:c r="J119" s="32" t="n">
        <x:f>IF($A119=0,"",IF($I119&gt;0,$K119/$I119,0))</x:f>
        <x:v>1</x:v>
      </x:c>
      <x:c r="K119" s="31" t="n">
        <x:f>IF($A119=0,"",LET(direct,MIN($I119,$D119),surplus,MAX(0,$I119-direct),deficit,MAX(0,$D119-direct),charge,MIN(surplus,Assumptions!$B$10,direct,deficit),direct+charge))</x:f>
        <x:v>412.93193269937194</x:v>
      </x:c>
      <x:c r="L119" s="31" t="n">
        <x:f>IF($A119=0,"",LET(direct,MIN($I119,$D119),surplus,MAX(0,$I119-direct),deficit,MAX(0,$D119-direct),charge,MIN(surplus,Assumptions!$B$10,direct,deficit),surplus-charge))</x:f>
        <x:v>0</x:v>
      </x:c>
      <x:c r="M119" s="31" t="n">
        <x:f>IF($A119=0,"",LET(direct,MIN($I119,$D119),surplus,MAX(0,$I119-direct),deficit,MAX(0,$D119-direct),charge,MIN(surplus,Assumptions!$B$10,direct,deficit),deficit-charge))</x:f>
        <x:v>91.28958663815416</x:v>
      </x:c>
      <x:c r="N119" s="30" t="n">
        <x:f>IF($A119=0,"",$M119*Assumptions!$B$11*IF($A119=0,1,(1+Assumptions!$B$14)^($A119-1)))</x:f>
        <x:v>37.43610520034434</x:v>
      </x:c>
      <x:c r="O119" s="30" t="n">
        <x:f>IF($A119=0,"",$B119*Assumptions!$B$13)</x:f>
        <x:v>21.7</x:v>
      </x:c>
      <x:c r="P119" s="30" t="n">
        <x:f>IF($A119=0,"",$L119*Assumptions!$B$12)</x:f>
        <x:v>0</x:v>
      </x:c>
      <x:c r="Q119" s="30" t="n">
        <x:f>IF($A119=0,"",$N119+$O119-$P119)</x:f>
        <x:v>59.136105200344346</x:v>
      </x:c>
      <x:c r="R119" s="30" t="n">
        <x:f>IF($A119=0,"",$G119-$Q119)</x:f>
        <x:v>169.33545043191538</x:v>
      </x:c>
      <x:c r="S119" s="30" t="n">
        <x:f>IF($A119=0,"",SUM($R$17:R119))</x:f>
        <x:v>10084.60859716527</x:v>
      </x:c>
      <x:c r="T119" s="30" t="n">
        <x:f>IF($A119=0,"",$S119-$H119)</x:f>
        <x:v>4625.10859716527</x:v>
      </x:c>
    </x:row>
    <x:row r="120">
      <x:c r="A120" s="40" t="n">
        <x:v>9</x:v>
      </x:c>
      <x:c r="B120" s="40" t="n">
        <x:v>31</x:v>
      </x:c>
      <x:c r="C120" s="40" t="n">
        <x:v>8</x:v>
      </x:c>
      <x:c r="D120" s="31" t="n">
        <x:f>INDEX(Assumptions!$D$24:$D$35,$C120)</x:f>
        <x:v>495.0866822817727</x:v>
      </x:c>
      <x:c r="E120" s="30" t="n">
        <x:f>$D120*Assumptions!$B$11*IF($A120=0,1,(1+Assumptions!$B$14)^($A120-1))</x:f>
        <x:v>203.02553449665453</x:v>
      </x:c>
      <x:c r="F120" s="30" t="n">
        <x:f>$B120*Assumptions!$B$13</x:f>
        <x:v>21.7</x:v>
      </x:c>
      <x:c r="G120" s="30" t="n">
        <x:f>$E120+$F120</x:f>
        <x:v>224.72553449665452</x:v>
      </x:c>
      <x:c r="H120" s="30" t="n">
        <x:f>IF($A120=0,"",Assumptions!$B$21)</x:f>
        <x:v>5459.5</x:v>
      </x:c>
      <x:c r="I120" s="31" t="n">
        <x:f>IF($A120=0,"",INDEX(Assumptions!$C$24:$C$35,$C120)*IF($A120=0,"",IF($A120=1,1-Assumptions!$B$16,(1-Assumptions!$B$16)*(1-Assumptions!$B$17)^($A120-1))))</x:f>
        <x:v>344.55121369217824</x:v>
      </x:c>
      <x:c r="J120" s="32" t="n">
        <x:f>IF($A120=0,"",IF($I120&gt;0,$K120/$I120,0))</x:f>
        <x:v>1</x:v>
      </x:c>
      <x:c r="K120" s="31" t="n">
        <x:f>IF($A120=0,"",LET(direct,MIN($I120,$D120),surplus,MAX(0,$I120-direct),deficit,MAX(0,$D120-direct),charge,MIN(surplus,Assumptions!$B$10,direct,deficit),direct+charge))</x:f>
        <x:v>344.55121369217824</x:v>
      </x:c>
      <x:c r="L120" s="31" t="n">
        <x:f>IF($A120=0,"",LET(direct,MIN($I120,$D120),surplus,MAX(0,$I120-direct),deficit,MAX(0,$D120-direct),charge,MIN(surplus,Assumptions!$B$10,direct,deficit),surplus-charge))</x:f>
        <x:v>0</x:v>
      </x:c>
      <x:c r="M120" s="31" t="n">
        <x:f>IF($A120=0,"",LET(direct,MIN($I120,$D120),surplus,MAX(0,$I120-direct),deficit,MAX(0,$D120-direct),charge,MIN(surplus,Assumptions!$B$10,direct,deficit),deficit-charge))</x:f>
        <x:v>150.53546858959447</x:v>
      </x:c>
      <x:c r="N120" s="30" t="n">
        <x:f>IF($A120=0,"",$M120*Assumptions!$B$11*IF($A120=0,1,(1+Assumptions!$B$14)^($A120-1)))</x:f>
        <x:v>61.73170288129959</x:v>
      </x:c>
      <x:c r="O120" s="30" t="n">
        <x:f>IF($A120=0,"",$B120*Assumptions!$B$13)</x:f>
        <x:v>21.7</x:v>
      </x:c>
      <x:c r="P120" s="30" t="n">
        <x:f>IF($A120=0,"",$L120*Assumptions!$B$12)</x:f>
        <x:v>0</x:v>
      </x:c>
      <x:c r="Q120" s="30" t="n">
        <x:f>IF($A120=0,"",$N120+$O120-$P120)</x:f>
        <x:v>83.43170288129959</x:v>
      </x:c>
      <x:c r="R120" s="30" t="n">
        <x:f>IF($A120=0,"",$G120-$Q120)</x:f>
        <x:v>141.29383161535492</x:v>
      </x:c>
      <x:c r="S120" s="30" t="n">
        <x:f>IF($A120=0,"",SUM($R$17:R120))</x:f>
        <x:v>10225.902428780624</x:v>
      </x:c>
      <x:c r="T120" s="30" t="n">
        <x:f>IF($A120=0,"",$S120-$H120)</x:f>
        <x:v>4766.402428780624</x:v>
      </x:c>
    </x:row>
    <x:row r="121">
      <x:c r="A121" s="40" t="n">
        <x:v>9</x:v>
      </x:c>
      <x:c r="B121" s="40" t="n">
        <x:v>30</x:v>
      </x:c>
      <x:c r="C121" s="40" t="n">
        <x:v>9</x:v>
      </x:c>
      <x:c r="D121" s="31" t="n">
        <x:f>INDEX(Assumptions!$D$24:$D$35,$C121)</x:f>
        <x:v>484.7338669519189</x:v>
      </x:c>
      <x:c r="E121" s="30" t="n">
        <x:f>$D121*Assumptions!$B$11*IF($A121=0,1,(1+Assumptions!$B$14)^($A121-1))</x:f>
        <x:v>198.780043876302</x:v>
      </x:c>
      <x:c r="F121" s="30" t="n">
        <x:f>$B121*Assumptions!$B$13</x:f>
        <x:v>21</x:v>
      </x:c>
      <x:c r="G121" s="30" t="n">
        <x:f>$E121+$F121</x:f>
        <x:v>219.780043876302</x:v>
      </x:c>
      <x:c r="H121" s="30" t="n">
        <x:f>IF($A121=0,"",Assumptions!$B$21)</x:f>
        <x:v>5459.5</x:v>
      </x:c>
      <x:c r="I121" s="31" t="n">
        <x:f>IF($A121=0,"",INDEX(Assumptions!$C$24:$C$35,$C121)*IF($A121=0,"",IF($A121=1,1-Assumptions!$B$16,(1-Assumptions!$B$16)*(1-Assumptions!$B$17)^($A121-1))))</x:f>
        <x:v>253.6981211380854</x:v>
      </x:c>
      <x:c r="J121" s="32" t="n">
        <x:f>IF($A121=0,"",IF($I121&gt;0,$K121/$I121,0))</x:f>
        <x:v>1</x:v>
      </x:c>
      <x:c r="K121" s="31" t="n">
        <x:f>IF($A121=0,"",LET(direct,MIN($I121,$D121),surplus,MAX(0,$I121-direct),deficit,MAX(0,$D121-direct),charge,MIN(surplus,Assumptions!$B$10,direct,deficit),direct+charge))</x:f>
        <x:v>253.6981211380854</x:v>
      </x:c>
      <x:c r="L121" s="31" t="n">
        <x:f>IF($A121=0,"",LET(direct,MIN($I121,$D121),surplus,MAX(0,$I121-direct),deficit,MAX(0,$D121-direct),charge,MIN(surplus,Assumptions!$B$10,direct,deficit),surplus-charge))</x:f>
        <x:v>0</x:v>
      </x:c>
      <x:c r="M121" s="31" t="n">
        <x:f>IF($A121=0,"",LET(direct,MIN($I121,$D121),surplus,MAX(0,$I121-direct),deficit,MAX(0,$D121-direct),charge,MIN(surplus,Assumptions!$B$10,direct,deficit),deficit-charge))</x:f>
        <x:v>231.0357458138335</x:v>
      </x:c>
      <x:c r="N121" s="30" t="n">
        <x:f>IF($A121=0,"",$M121*Assumptions!$B$11*IF($A121=0,1,(1+Assumptions!$B$14)^($A121-1)))</x:f>
        <x:v>94.74331962537153</x:v>
      </x:c>
      <x:c r="O121" s="30" t="n">
        <x:f>IF($A121=0,"",$B121*Assumptions!$B$13)</x:f>
        <x:v>21</x:v>
      </x:c>
      <x:c r="P121" s="30" t="n">
        <x:f>IF($A121=0,"",$L121*Assumptions!$B$12)</x:f>
        <x:v>0</x:v>
      </x:c>
      <x:c r="Q121" s="30" t="n">
        <x:f>IF($A121=0,"",$N121+$O121-$P121)</x:f>
        <x:v>115.74331962537153</x:v>
      </x:c>
      <x:c r="R121" s="30" t="n">
        <x:f>IF($A121=0,"",$G121-$Q121)</x:f>
        <x:v>104.03672425093046</x:v>
      </x:c>
      <x:c r="S121" s="30" t="n">
        <x:f>IF($A121=0,"",SUM($R$17:R121))</x:f>
        <x:v>10329.939153031555</x:v>
      </x:c>
      <x:c r="T121" s="30" t="n">
        <x:f>IF($A121=0,"",$S121-$H121)</x:f>
        <x:v>4870.439153031555</x:v>
      </x:c>
    </x:row>
    <x:row r="122">
      <x:c r="A122" s="40" t="n">
        <x:v>9</x:v>
      </x:c>
      <x:c r="B122" s="40" t="n">
        <x:v>31</x:v>
      </x:c>
      <x:c r="C122" s="40" t="n">
        <x:v>10</x:v>
      </x:c>
      <x:c r="D122" s="31" t="n">
        <x:f>INDEX(Assumptions!$D$24:$D$35,$C122)</x:f>
        <x:v>965.136511636476</x:v>
      </x:c>
      <x:c r="E122" s="30" t="n">
        <x:f>$D122*Assumptions!$B$11*IF($A122=0,1,(1+Assumptions!$B$14)^($A122-1))</x:f>
        <x:v>395.78393673233785</x:v>
      </x:c>
      <x:c r="F122" s="30" t="n">
        <x:f>$B122*Assumptions!$B$13</x:f>
        <x:v>21.7</x:v>
      </x:c>
      <x:c r="G122" s="30" t="n">
        <x:f>$E122+$F122</x:f>
        <x:v>417.48393673233784</x:v>
      </x:c>
      <x:c r="H122" s="30" t="n">
        <x:f>IF($A122=0,"",Assumptions!$B$21)</x:f>
        <x:v>5459.5</x:v>
      </x:c>
      <x:c r="I122" s="31" t="n">
        <x:f>IF($A122=0,"",INDEX(Assumptions!$C$24:$C$35,$C122)*IF($A122=0,"",IF($A122=1,1-Assumptions!$B$16,(1-Assumptions!$B$16)*(1-Assumptions!$B$17)^($A122-1))))</x:f>
        <x:v>177.6292872457349</x:v>
      </x:c>
      <x:c r="J122" s="32" t="n">
        <x:f>IF($A122=0,"",IF($I122&gt;0,$K122/$I122,0))</x:f>
        <x:v>1</x:v>
      </x:c>
      <x:c r="K122" s="31" t="n">
        <x:f>IF($A122=0,"",LET(direct,MIN($I122,$D122),surplus,MAX(0,$I122-direct),deficit,MAX(0,$D122-direct),charge,MIN(surplus,Assumptions!$B$10,direct,deficit),direct+charge))</x:f>
        <x:v>177.6292872457349</x:v>
      </x:c>
      <x:c r="L122" s="31" t="n">
        <x:f>IF($A122=0,"",LET(direct,MIN($I122,$D122),surplus,MAX(0,$I122-direct),deficit,MAX(0,$D122-direct),charge,MIN(surplus,Assumptions!$B$10,direct,deficit),surplus-charge))</x:f>
        <x:v>0</x:v>
      </x:c>
      <x:c r="M122" s="31" t="n">
        <x:f>IF($A122=0,"",LET(direct,MIN($I122,$D122),surplus,MAX(0,$I122-direct),deficit,MAX(0,$D122-direct),charge,MIN(surplus,Assumptions!$B$10,direct,deficit),deficit-charge))</x:f>
        <x:v>787.5072243907412</x:v>
      </x:c>
      <x:c r="N122" s="30" t="n">
        <x:f>IF($A122=0,"",$M122*Assumptions!$B$11*IF($A122=0,1,(1+Assumptions!$B$14)^($A122-1)))</x:f>
        <x:v>322.94157947256383</x:v>
      </x:c>
      <x:c r="O122" s="30" t="n">
        <x:f>IF($A122=0,"",$B122*Assumptions!$B$13)</x:f>
        <x:v>21.7</x:v>
      </x:c>
      <x:c r="P122" s="30" t="n">
        <x:f>IF($A122=0,"",$L122*Assumptions!$B$12)</x:f>
        <x:v>0</x:v>
      </x:c>
      <x:c r="Q122" s="30" t="n">
        <x:f>IF($A122=0,"",$N122+$O122-$P122)</x:f>
        <x:v>344.6415794725638</x:v>
      </x:c>
      <x:c r="R122" s="30" t="n">
        <x:f>IF($A122=0,"",$G122-$Q122)</x:f>
        <x:v>72.84235725977402</x:v>
      </x:c>
      <x:c r="S122" s="30" t="n">
        <x:f>IF($A122=0,"",SUM($R$17:R122))</x:f>
        <x:v>10402.78151029133</x:v>
      </x:c>
      <x:c r="T122" s="30" t="n">
        <x:f>IF($A122=0,"",$S122-$H122)</x:f>
        <x:v>4943.28151029133</x:v>
      </x:c>
    </x:row>
    <x:row r="123">
      <x:c r="A123" s="40" t="n">
        <x:v>9</x:v>
      </x:c>
      <x:c r="B123" s="40" t="n">
        <x:v>30</x:v>
      </x:c>
      <x:c r="C123" s="40" t="n">
        <x:v>11</x:v>
      </x:c>
      <x:c r="D123" s="31" t="n">
        <x:f>INDEX(Assumptions!$D$24:$D$35,$C123)</x:f>
        <x:v>948.3553735444794</x:v>
      </x:c>
      <x:c r="E123" s="30" t="n">
        <x:f>$D123*Assumptions!$B$11*IF($A123=0,1,(1+Assumptions!$B$14)^($A123-1))</x:f>
        <x:v>388.90231447805405</x:v>
      </x:c>
      <x:c r="F123" s="30" t="n">
        <x:f>$B123*Assumptions!$B$13</x:f>
        <x:v>21</x:v>
      </x:c>
      <x:c r="G123" s="30" t="n">
        <x:f>$E123+$F123</x:f>
        <x:v>409.90231447805405</x:v>
      </x:c>
      <x:c r="H123" s="30" t="n">
        <x:f>IF($A123=0,"",Assumptions!$B$21)</x:f>
        <x:v>5459.5</x:v>
      </x:c>
      <x:c r="I123" s="31" t="n">
        <x:f>IF($A123=0,"",INDEX(Assumptions!$C$24:$C$35,$C123)*IF($A123=0,"",IF($A123=1,1-Assumptions!$B$16,(1-Assumptions!$B$16)*(1-Assumptions!$B$17)^($A123-1))))</x:f>
        <x:v>105.46588080705557</x:v>
      </x:c>
      <x:c r="J123" s="32" t="n">
        <x:f>IF($A123=0,"",IF($I123&gt;0,$K123/$I123,0))</x:f>
        <x:v>1</x:v>
      </x:c>
      <x:c r="K123" s="31" t="n">
        <x:f>IF($A123=0,"",LET(direct,MIN($I123,$D123),surplus,MAX(0,$I123-direct),deficit,MAX(0,$D123-direct),charge,MIN(surplus,Assumptions!$B$10,direct,deficit),direct+charge))</x:f>
        <x:v>105.46588080705557</x:v>
      </x:c>
      <x:c r="L123" s="31" t="n">
        <x:f>IF($A123=0,"",LET(direct,MIN($I123,$D123),surplus,MAX(0,$I123-direct),deficit,MAX(0,$D123-direct),charge,MIN(surplus,Assumptions!$B$10,direct,deficit),surplus-charge))</x:f>
        <x:v>0</x:v>
      </x:c>
      <x:c r="M123" s="31" t="n">
        <x:f>IF($A123=0,"",LET(direct,MIN($I123,$D123),surplus,MAX(0,$I123-direct),deficit,MAX(0,$D123-direct),charge,MIN(surplus,Assumptions!$B$10,direct,deficit),deficit-charge))</x:f>
        <x:v>842.8894927374239</x:v>
      </x:c>
      <x:c r="N123" s="30" t="n">
        <x:f>IF($A123=0,"",$M123*Assumptions!$B$11*IF($A123=0,1,(1+Assumptions!$B$14)^($A123-1)))</x:f>
        <x:v>345.6527834599153</x:v>
      </x:c>
      <x:c r="O123" s="30" t="n">
        <x:f>IF($A123=0,"",$B123*Assumptions!$B$13)</x:f>
        <x:v>21</x:v>
      </x:c>
      <x:c r="P123" s="30" t="n">
        <x:f>IF($A123=0,"",$L123*Assumptions!$B$12)</x:f>
        <x:v>0</x:v>
      </x:c>
      <x:c r="Q123" s="30" t="n">
        <x:f>IF($A123=0,"",$N123+$O123-$P123)</x:f>
        <x:v>366.6527834599153</x:v>
      </x:c>
      <x:c r="R123" s="30" t="n">
        <x:f>IF($A123=0,"",$G123-$Q123)</x:f>
        <x:v>43.249531018138725</x:v>
      </x:c>
      <x:c r="S123" s="30" t="n">
        <x:f>IF($A123=0,"",SUM($R$17:R123))</x:f>
        <x:v>10446.031041309468</x:v>
      </x:c>
      <x:c r="T123" s="30" t="n">
        <x:f>IF($A123=0,"",$S123-$H123)</x:f>
        <x:v>4986.5310413094685</x:v>
      </x:c>
    </x:row>
    <x:row r="124">
      <x:c r="A124" s="40" t="n">
        <x:v>9</x:v>
      </x:c>
      <x:c r="B124" s="40" t="n">
        <x:v>31</x:v>
      </x:c>
      <x:c r="C124" s="40" t="n">
        <x:v>12</x:v>
      </x:c>
      <x:c r="D124" s="31" t="n">
        <x:f>INDEX(Assumptions!$D$24:$D$35,$C124)</x:f>
        <x:v>928.0413642752205</x:v>
      </x:c>
      <x:c r="E124" s="30" t="n">
        <x:f>$D124*Assumptions!$B$11*IF($A124=0,1,(1+Assumptions!$B$14)^($A124-1))</x:f>
        <x:v>380.57192964392107</x:v>
      </x:c>
      <x:c r="F124" s="30" t="n">
        <x:f>$B124*Assumptions!$B$13</x:f>
        <x:v>21.7</x:v>
      </x:c>
      <x:c r="G124" s="30" t="n">
        <x:f>$E124+$F124</x:f>
        <x:v>402.27192964392106</x:v>
      </x:c>
      <x:c r="H124" s="30" t="n">
        <x:f>IF($A124=0,"",Assumptions!$B$21)</x:f>
        <x:v>5459.5</x:v>
      </x:c>
      <x:c r="I124" s="31" t="n">
        <x:f>IF($A124=0,"",INDEX(Assumptions!$C$24:$C$35,$C124)*IF($A124=0,"",IF($A124=1,1-Assumptions!$B$16,(1-Assumptions!$B$16)*(1-Assumptions!$B$17)^($A124-1))))</x:f>
        <x:v>77.76201424438851</x:v>
      </x:c>
      <x:c r="J124" s="32" t="n">
        <x:f>IF($A124=0,"",IF($I124&gt;0,$K124/$I124,0))</x:f>
        <x:v>1</x:v>
      </x:c>
      <x:c r="K124" s="31" t="n">
        <x:f>IF($A124=0,"",LET(direct,MIN($I124,$D124),surplus,MAX(0,$I124-direct),deficit,MAX(0,$D124-direct),charge,MIN(surplus,Assumptions!$B$10,direct,deficit),direct+charge))</x:f>
        <x:v>77.76201424438851</x:v>
      </x:c>
      <x:c r="L124" s="31" t="n">
        <x:f>IF($A124=0,"",LET(direct,MIN($I124,$D124),surplus,MAX(0,$I124-direct),deficit,MAX(0,$D124-direct),charge,MIN(surplus,Assumptions!$B$10,direct,deficit),surplus-charge))</x:f>
        <x:v>0</x:v>
      </x:c>
      <x:c r="M124" s="31" t="n">
        <x:f>IF($A124=0,"",LET(direct,MIN($I124,$D124),surplus,MAX(0,$I124-direct),deficit,MAX(0,$D124-direct),charge,MIN(surplus,Assumptions!$B$10,direct,deficit),deficit-charge))</x:f>
        <x:v>850.279350030832</x:v>
      </x:c>
      <x:c r="N124" s="30" t="n">
        <x:f>IF($A124=0,"",$M124*Assumptions!$B$11*IF($A124=0,1,(1+Assumptions!$B$14)^($A124-1)))</x:f>
        <x:v>348.6832219276467</x:v>
      </x:c>
      <x:c r="O124" s="30" t="n">
        <x:f>IF($A124=0,"",$B124*Assumptions!$B$13)</x:f>
        <x:v>21.7</x:v>
      </x:c>
      <x:c r="P124" s="30" t="n">
        <x:f>IF($A124=0,"",$L124*Assumptions!$B$12)</x:f>
        <x:v>0</x:v>
      </x:c>
      <x:c r="Q124" s="30" t="n">
        <x:f>IF($A124=0,"",$N124+$O124-$P124)</x:f>
        <x:v>370.3832219276467</x:v>
      </x:c>
      <x:c r="R124" s="30" t="n">
        <x:f>IF($A124=0,"",$G124-$Q124)</x:f>
        <x:v>31.888707716274382</x:v>
      </x:c>
      <x:c r="S124" s="30" t="n">
        <x:f>IF($A124=0,"",SUM($R$17:R124))</x:f>
        <x:v>10477.919749025743</x:v>
      </x:c>
      <x:c r="T124" s="30" t="n">
        <x:f>IF($A124=0,"",$S124-$H124)</x:f>
        <x:v>5018.419749025743</x:v>
      </x:c>
    </x:row>
    <x:row r="125">
      <x:c r="A125" s="40" t="n">
        <x:v>10</x:v>
      </x:c>
      <x:c r="B125" s="40" t="n">
        <x:v>31</x:v>
      </x:c>
      <x:c r="C125" s="40" t="n">
        <x:v>1</x:v>
      </x:c>
      <x:c r="D125" s="31" t="n">
        <x:f>INDEX(Assumptions!$D$24:$D$35,$C125)</x:f>
        <x:v>921.8588397150115</x:v>
      </x:c>
      <x:c r="E125" s="30" t="n">
        <x:f>$D125*Assumptions!$B$11*IF($A125=0,1,(1+Assumptions!$B$14)^($A125-1))</x:f>
        <x:v>385.59732703176877</x:v>
      </x:c>
      <x:c r="F125" s="30" t="n">
        <x:f>$B125*Assumptions!$B$13</x:f>
        <x:v>21.7</x:v>
      </x:c>
      <x:c r="G125" s="30" t="n">
        <x:f>$E125+$F125</x:f>
        <x:v>407.29732703176876</x:v>
      </x:c>
      <x:c r="H125" s="30" t="n">
        <x:f>IF($A125=0,"",Assumptions!$B$21)</x:f>
        <x:v>5459.5</x:v>
      </x:c>
      <x:c r="I125" s="31" t="n">
        <x:f>IF($A125=0,"",INDEX(Assumptions!$C$24:$C$35,$C125)*IF($A125=0,"",IF($A125=1,1-Assumptions!$B$16,(1-Assumptions!$B$16)*(1-Assumptions!$B$17)^($A125-1))))</x:f>
        <x:v>94.27779452711428</x:v>
      </x:c>
      <x:c r="J125" s="32" t="n">
        <x:f>IF($A125=0,"",IF($I125&gt;0,$K125/$I125,0))</x:f>
        <x:v>1</x:v>
      </x:c>
      <x:c r="K125" s="31" t="n">
        <x:f>IF($A125=0,"",LET(direct,MIN($I125,$D125),surplus,MAX(0,$I125-direct),deficit,MAX(0,$D125-direct),charge,MIN(surplus,Assumptions!$B$10,direct,deficit),direct+charge))</x:f>
        <x:v>94.27779452711428</x:v>
      </x:c>
      <x:c r="L125" s="31" t="n">
        <x:f>IF($A125=0,"",LET(direct,MIN($I125,$D125),surplus,MAX(0,$I125-direct),deficit,MAX(0,$D125-direct),charge,MIN(surplus,Assumptions!$B$10,direct,deficit),surplus-charge))</x:f>
        <x:v>0</x:v>
      </x:c>
      <x:c r="M125" s="31" t="n">
        <x:f>IF($A125=0,"",LET(direct,MIN($I125,$D125),surplus,MAX(0,$I125-direct),deficit,MAX(0,$D125-direct),charge,MIN(surplus,Assumptions!$B$10,direct,deficit),deficit-charge))</x:f>
        <x:v>827.5810451878972</x:v>
      </x:c>
      <x:c r="N125" s="30" t="n">
        <x:f>IF($A125=0,"",$M125*Assumptions!$B$11*IF($A125=0,1,(1+Assumptions!$B$14)^($A125-1)))</x:f>
        <x:v>346.1625849628593</x:v>
      </x:c>
      <x:c r="O125" s="30" t="n">
        <x:f>IF($A125=0,"",$B125*Assumptions!$B$13)</x:f>
        <x:v>21.7</x:v>
      </x:c>
      <x:c r="P125" s="30" t="n">
        <x:f>IF($A125=0,"",$L125*Assumptions!$B$12)</x:f>
        <x:v>0</x:v>
      </x:c>
      <x:c r="Q125" s="30" t="n">
        <x:f>IF($A125=0,"",$N125+$O125-$P125)</x:f>
        <x:v>367.8625849628593</x:v>
      </x:c>
      <x:c r="R125" s="30" t="n">
        <x:f>IF($A125=0,"",$G125-$Q125)</x:f>
        <x:v>39.434742068909486</x:v>
      </x:c>
      <x:c r="S125" s="30" t="n">
        <x:f>IF($A125=0,"",SUM($R$17:R125))</x:f>
        <x:v>10517.354491094653</x:v>
      </x:c>
      <x:c r="T125" s="30" t="n">
        <x:f>IF($A125=0,"",$S125-$H125)</x:f>
        <x:v>5057.854491094653</x:v>
      </x:c>
    </x:row>
    <x:row r="126">
      <x:c r="A126" s="40" t="n">
        <x:v>10</x:v>
      </x:c>
      <x:c r="B126" s="40" t="n">
        <x:v>28</x:v>
      </x:c>
      <x:c r="C126" s="40" t="n">
        <x:v>2</x:v>
      </x:c>
      <x:c r="D126" s="31" t="n">
        <x:f>INDEX(Assumptions!$D$24:$D$35,$C126)</x:f>
        <x:v>923.6252753036425</x:v>
      </x:c>
      <x:c r="E126" s="30" t="n">
        <x:f>$D126*Assumptions!$B$11*IF($A126=0,1,(1+Assumptions!$B$14)^($A126-1))</x:f>
        <x:v>386.3361959474918</x:v>
      </x:c>
      <x:c r="F126" s="30" t="n">
        <x:f>$B126*Assumptions!$B$13</x:f>
        <x:v>19.599999999999998</x:v>
      </x:c>
      <x:c r="G126" s="30" t="n">
        <x:f>$E126+$F126</x:f>
        <x:v>405.9361959474918</x:v>
      </x:c>
      <x:c r="H126" s="30" t="n">
        <x:f>IF($A126=0,"",Assumptions!$B$21)</x:f>
        <x:v>5459.5</x:v>
      </x:c>
      <x:c r="I126" s="31" t="n">
        <x:f>IF($A126=0,"",INDEX(Assumptions!$C$24:$C$35,$C126)*IF($A126=0,"",IF($A126=1,1-Assumptions!$B$16,(1-Assumptions!$B$16)*(1-Assumptions!$B$17)^($A126-1))))</x:f>
        <x:v>149.04522324933365</x:v>
      </x:c>
      <x:c r="J126" s="32" t="n">
        <x:f>IF($A126=0,"",IF($I126&gt;0,$K126/$I126,0))</x:f>
        <x:v>1</x:v>
      </x:c>
      <x:c r="K126" s="31" t="n">
        <x:f>IF($A126=0,"",LET(direct,MIN($I126,$D126),surplus,MAX(0,$I126-direct),deficit,MAX(0,$D126-direct),charge,MIN(surplus,Assumptions!$B$10,direct,deficit),direct+charge))</x:f>
        <x:v>149.04522324933365</x:v>
      </x:c>
      <x:c r="L126" s="31" t="n">
        <x:f>IF($A126=0,"",LET(direct,MIN($I126,$D126),surplus,MAX(0,$I126-direct),deficit,MAX(0,$D126-direct),charge,MIN(surplus,Assumptions!$B$10,direct,deficit),surplus-charge))</x:f>
        <x:v>0</x:v>
      </x:c>
      <x:c r="M126" s="31" t="n">
        <x:f>IF($A126=0,"",LET(direct,MIN($I126,$D126),surplus,MAX(0,$I126-direct),deficit,MAX(0,$D126-direct),charge,MIN(surplus,Assumptions!$B$10,direct,deficit),deficit-charge))</x:f>
        <x:v>774.5800520543089</x:v>
      </x:c>
      <x:c r="N126" s="30" t="n">
        <x:f>IF($A126=0,"",$M126*Assumptions!$B$11*IF($A126=0,1,(1+Assumptions!$B$14)^($A126-1)))</x:f>
        <x:v>323.9932024046156</x:v>
      </x:c>
      <x:c r="O126" s="30" t="n">
        <x:f>IF($A126=0,"",$B126*Assumptions!$B$13)</x:f>
        <x:v>19.599999999999998</x:v>
      </x:c>
      <x:c r="P126" s="30" t="n">
        <x:f>IF($A126=0,"",$L126*Assumptions!$B$12)</x:f>
        <x:v>0</x:v>
      </x:c>
      <x:c r="Q126" s="30" t="n">
        <x:f>IF($A126=0,"",$N126+$O126-$P126)</x:f>
        <x:v>343.5932024046156</x:v>
      </x:c>
      <x:c r="R126" s="30" t="n">
        <x:f>IF($A126=0,"",$G126-$Q126)</x:f>
        <x:v>62.34299354287617</x:v>
      </x:c>
      <x:c r="S126" s="30" t="n">
        <x:f>IF($A126=0,"",SUM($R$17:R126))</x:f>
        <x:v>10579.697484637529</x:v>
      </x:c>
      <x:c r="T126" s="30" t="n">
        <x:f>IF($A126=0,"",$S126-$H126)</x:f>
        <x:v>5120.197484637529</x:v>
      </x:c>
    </x:row>
    <x:row r="127">
      <x:c r="A127" s="40" t="n">
        <x:v>10</x:v>
      </x:c>
      <x:c r="B127" s="40" t="n">
        <x:v>31</x:v>
      </x:c>
      <x:c r="C127" s="40" t="n">
        <x:v>3</x:v>
      </x:c>
      <x:c r="D127" s="31" t="n">
        <x:f>INDEX(Assumptions!$D$24:$D$35,$C127)</x:f>
        <x:v>907.7273550059616</x:v>
      </x:c>
      <x:c r="E127" s="30" t="n">
        <x:f>$D127*Assumptions!$B$11*IF($A127=0,1,(1+Assumptions!$B$14)^($A127-1))</x:f>
        <x:v>379.6863757059839</x:v>
      </x:c>
      <x:c r="F127" s="30" t="n">
        <x:f>$B127*Assumptions!$B$13</x:f>
        <x:v>21.7</x:v>
      </x:c>
      <x:c r="G127" s="30" t="n">
        <x:f>$E127+$F127</x:f>
        <x:v>401.3863757059839</x:v>
      </x:c>
      <x:c r="H127" s="30" t="n">
        <x:f>IF($A127=0,"",Assumptions!$B$21)</x:f>
        <x:v>5459.5</x:v>
      </x:c>
      <x:c r="I127" s="31" t="n">
        <x:f>IF($A127=0,"",INDEX(Assumptions!$C$24:$C$35,$C127)*IF($A127=0,"",IF($A127=1,1-Assumptions!$B$16,(1-Assumptions!$B$16)*(1-Assumptions!$B$17)^($A127-1))))</x:f>
        <x:v>263.09648379256555</x:v>
      </x:c>
      <x:c r="J127" s="32" t="n">
        <x:f>IF($A127=0,"",IF($I127&gt;0,$K127/$I127,0))</x:f>
        <x:v>1</x:v>
      </x:c>
      <x:c r="K127" s="31" t="n">
        <x:f>IF($A127=0,"",LET(direct,MIN($I127,$D127),surplus,MAX(0,$I127-direct),deficit,MAX(0,$D127-direct),charge,MIN(surplus,Assumptions!$B$10,direct,deficit),direct+charge))</x:f>
        <x:v>263.09648379256555</x:v>
      </x:c>
      <x:c r="L127" s="31" t="n">
        <x:f>IF($A127=0,"",LET(direct,MIN($I127,$D127),surplus,MAX(0,$I127-direct),deficit,MAX(0,$D127-direct),charge,MIN(surplus,Assumptions!$B$10,direct,deficit),surplus-charge))</x:f>
        <x:v>0</x:v>
      </x:c>
      <x:c r="M127" s="31" t="n">
        <x:f>IF($A127=0,"",LET(direct,MIN($I127,$D127),surplus,MAX(0,$I127-direct),deficit,MAX(0,$D127-direct),charge,MIN(surplus,Assumptions!$B$10,direct,deficit),deficit-charge))</x:f>
        <x:v>644.6308712133961</x:v>
      </x:c>
      <x:c r="N127" s="30" t="n">
        <x:f>IF($A127=0,"",$M127*Assumptions!$B$11*IF($A127=0,1,(1+Assumptions!$B$14)^($A127-1)))</x:f>
        <x:v>269.63774729207944</x:v>
      </x:c>
      <x:c r="O127" s="30" t="n">
        <x:f>IF($A127=0,"",$B127*Assumptions!$B$13)</x:f>
        <x:v>21.7</x:v>
      </x:c>
      <x:c r="P127" s="30" t="n">
        <x:f>IF($A127=0,"",$L127*Assumptions!$B$12)</x:f>
        <x:v>0</x:v>
      </x:c>
      <x:c r="Q127" s="30" t="n">
        <x:f>IF($A127=0,"",$N127+$O127-$P127)</x:f>
        <x:v>291.3377472920794</x:v>
      </x:c>
      <x:c r="R127" s="30" t="n">
        <x:f>IF($A127=0,"",$G127-$Q127)</x:f>
        <x:v>110.04862841390445</x:v>
      </x:c>
      <x:c r="S127" s="30" t="n">
        <x:f>IF($A127=0,"",SUM($R$17:R127))</x:f>
        <x:v>10689.746113051433</x:v>
      </x:c>
      <x:c r="T127" s="30" t="n">
        <x:f>IF($A127=0,"",$S127-$H127)</x:f>
        <x:v>5230.246113051433</x:v>
      </x:c>
    </x:row>
    <x:row r="128">
      <x:c r="A128" s="40" t="n">
        <x:v>10</x:v>
      </x:c>
      <x:c r="B128" s="40" t="n">
        <x:v>30</x:v>
      </x:c>
      <x:c r="C128" s="40" t="n">
        <x:v>4</x:v>
      </x:c>
      <x:c r="D128" s="31" t="n">
        <x:f>INDEX(Assumptions!$D$24:$D$35,$C128)</x:f>
        <x:v>951.0050269274262</x:v>
      </x:c>
      <x:c r="E128" s="30" t="n">
        <x:f>$D128*Assumptions!$B$11*IF($A128=0,1,(1+Assumptions!$B$14)^($A128-1))</x:f>
        <x:v>397.7886641411997</x:v>
      </x:c>
      <x:c r="F128" s="30" t="n">
        <x:f>$B128*Assumptions!$B$13</x:f>
        <x:v>21</x:v>
      </x:c>
      <x:c r="G128" s="30" t="n">
        <x:f>$E128+$F128</x:f>
        <x:v>418.7886641411997</x:v>
      </x:c>
      <x:c r="H128" s="30" t="n">
        <x:f>IF($A128=0,"",Assumptions!$B$21)</x:f>
        <x:v>5459.5</x:v>
      </x:c>
      <x:c r="I128" s="31" t="n">
        <x:f>IF($A128=0,"",INDEX(Assumptions!$C$24:$C$35,$C128)*IF($A128=0,"",IF($A128=1,1-Assumptions!$B$16,(1-Assumptions!$B$16)*(1-Assumptions!$B$17)^($A128-1))))</x:f>
        <x:v>350.36513064497854</x:v>
      </x:c>
      <x:c r="J128" s="32" t="n">
        <x:f>IF($A128=0,"",IF($I128&gt;0,$K128/$I128,0))</x:f>
        <x:v>1</x:v>
      </x:c>
      <x:c r="K128" s="31" t="n">
        <x:f>IF($A128=0,"",LET(direct,MIN($I128,$D128),surplus,MAX(0,$I128-direct),deficit,MAX(0,$D128-direct),charge,MIN(surplus,Assumptions!$B$10,direct,deficit),direct+charge))</x:f>
        <x:v>350.36513064497854</x:v>
      </x:c>
      <x:c r="L128" s="31" t="n">
        <x:f>IF($A128=0,"",LET(direct,MIN($I128,$D128),surplus,MAX(0,$I128-direct),deficit,MAX(0,$D128-direct),charge,MIN(surplus,Assumptions!$B$10,direct,deficit),surplus-charge))</x:f>
        <x:v>0</x:v>
      </x:c>
      <x:c r="M128" s="31" t="n">
        <x:f>IF($A128=0,"",LET(direct,MIN($I128,$D128),surplus,MAX(0,$I128-direct),deficit,MAX(0,$D128-direct),charge,MIN(surplus,Assumptions!$B$10,direct,deficit),deficit-charge))</x:f>
        <x:v>600.6398962824477</x:v>
      </x:c>
      <x:c r="N128" s="30" t="n">
        <x:f>IF($A128=0,"",$M128*Assumptions!$B$11*IF($A128=0,1,(1+Assumptions!$B$14)^($A128-1)))</x:f>
        <x:v>251.23709676283013</x:v>
      </x:c>
      <x:c r="O128" s="30" t="n">
        <x:f>IF($A128=0,"",$B128*Assumptions!$B$13)</x:f>
        <x:v>21</x:v>
      </x:c>
      <x:c r="P128" s="30" t="n">
        <x:f>IF($A128=0,"",$L128*Assumptions!$B$12)</x:f>
        <x:v>0</x:v>
      </x:c>
      <x:c r="Q128" s="30" t="n">
        <x:f>IF($A128=0,"",$N128+$O128-$P128)</x:f>
        <x:v>272.2370967628301</x:v>
      </x:c>
      <x:c r="R128" s="30" t="n">
        <x:f>IF($A128=0,"",$G128-$Q128)</x:f>
        <x:v>146.5515673783696</x:v>
      </x:c>
      <x:c r="S128" s="30" t="n">
        <x:f>IF($A128=0,"",SUM($R$17:R128))</x:f>
        <x:v>10836.297680429803</x:v>
      </x:c>
      <x:c r="T128" s="30" t="n">
        <x:f>IF($A128=0,"",$S128-$H128)</x:f>
        <x:v>5376.797680429803</x:v>
      </x:c>
    </x:row>
    <x:row r="129">
      <x:c r="A129" s="40" t="n">
        <x:v>10</x:v>
      </x:c>
      <x:c r="B129" s="40" t="n">
        <x:v>31</x:v>
      </x:c>
      <x:c r="C129" s="40" t="n">
        <x:v>5</x:v>
      </x:c>
      <x:c r="D129" s="31" t="n">
        <x:f>INDEX(Assumptions!$D$24:$D$35,$C129)</x:f>
        <x:v>480.47094299256736</x:v>
      </x:c>
      <x:c r="E129" s="30" t="n">
        <x:f>$D129*Assumptions!$B$11*IF($A129=0,1,(1+Assumptions!$B$14)^($A129-1))</x:f>
        <x:v>200.97253869327994</x:v>
      </x:c>
      <x:c r="F129" s="30" t="n">
        <x:f>$B129*Assumptions!$B$13</x:f>
        <x:v>21.7</x:v>
      </x:c>
      <x:c r="G129" s="30" t="n">
        <x:f>$E129+$F129</x:f>
        <x:v>222.67253869327993</x:v>
      </x:c>
      <x:c r="H129" s="30" t="n">
        <x:f>IF($A129=0,"",Assumptions!$B$21)</x:f>
        <x:v>5459.5</x:v>
      </x:c>
      <x:c r="I129" s="31" t="n">
        <x:f>IF($A129=0,"",INDEX(Assumptions!$C$24:$C$35,$C129)*IF($A129=0,"",IF($A129=1,1-Assumptions!$B$16,(1-Assumptions!$B$16)*(1-Assumptions!$B$17)^($A129-1))))</x:f>
        <x:v>388.1693914192111</x:v>
      </x:c>
      <x:c r="J129" s="32" t="n">
        <x:f>IF($A129=0,"",IF($I129&gt;0,$K129/$I129,0))</x:f>
        <x:v>1</x:v>
      </x:c>
      <x:c r="K129" s="31" t="n">
        <x:f>IF($A129=0,"",LET(direct,MIN($I129,$D129),surplus,MAX(0,$I129-direct),deficit,MAX(0,$D129-direct),charge,MIN(surplus,Assumptions!$B$10,direct,deficit),direct+charge))</x:f>
        <x:v>388.1693914192111</x:v>
      </x:c>
      <x:c r="L129" s="31" t="n">
        <x:f>IF($A129=0,"",LET(direct,MIN($I129,$D129),surplus,MAX(0,$I129-direct),deficit,MAX(0,$D129-direct),charge,MIN(surplus,Assumptions!$B$10,direct,deficit),surplus-charge))</x:f>
        <x:v>0</x:v>
      </x:c>
      <x:c r="M129" s="31" t="n">
        <x:f>IF($A129=0,"",LET(direct,MIN($I129,$D129),surplus,MAX(0,$I129-direct),deficit,MAX(0,$D129-direct),charge,MIN(surplus,Assumptions!$B$10,direct,deficit),deficit-charge))</x:f>
        <x:v>92.30155157335628</x:v>
      </x:c>
      <x:c r="N129" s="30" t="n">
        <x:f>IF($A129=0,"",$M129*Assumptions!$B$11*IF($A129=0,1,(1+Assumptions!$B$14)^($A129-1)))</x:f>
        <x:v>38.60811442516947</x:v>
      </x:c>
      <x:c r="O129" s="30" t="n">
        <x:f>IF($A129=0,"",$B129*Assumptions!$B$13)</x:f>
        <x:v>21.7</x:v>
      </x:c>
      <x:c r="P129" s="30" t="n">
        <x:f>IF($A129=0,"",$L129*Assumptions!$B$12)</x:f>
        <x:v>0</x:v>
      </x:c>
      <x:c r="Q129" s="30" t="n">
        <x:f>IF($A129=0,"",$N129+$O129-$P129)</x:f>
        <x:v>60.308114425169464</x:v>
      </x:c>
      <x:c r="R129" s="30" t="n">
        <x:f>IF($A129=0,"",$G129-$Q129)</x:f>
        <x:v>162.36442426811047</x:v>
      </x:c>
      <x:c r="S129" s="30" t="n">
        <x:f>IF($A129=0,"",SUM($R$17:R129))</x:f>
        <x:v>10998.662104697914</x:v>
      </x:c>
      <x:c r="T129" s="30" t="n">
        <x:f>IF($A129=0,"",$S129-$H129)</x:f>
        <x:v>5539.162104697914</x:v>
      </x:c>
    </x:row>
    <x:row r="130">
      <x:c r="A130" s="40" t="n">
        <x:v>10</x:v>
      </x:c>
      <x:c r="B130" s="40" t="n">
        <x:v>30</x:v>
      </x:c>
      <x:c r="C130" s="40" t="n">
        <x:v>6</x:v>
      </x:c>
      <x:c r="D130" s="31" t="n">
        <x:f>INDEX(Assumptions!$D$24:$D$35,$C130)</x:f>
        <x:v>491.73724202799656</x:v>
      </x:c>
      <x:c r="E130" s="30" t="n">
        <x:f>$D130*Assumptions!$B$11*IF($A130=0,1,(1+Assumptions!$B$14)^($A130-1))</x:f>
        <x:v>205.68503328187128</x:v>
      </x:c>
      <x:c r="F130" s="30" t="n">
        <x:f>$B130*Assumptions!$B$13</x:f>
        <x:v>21</x:v>
      </x:c>
      <x:c r="G130" s="30" t="n">
        <x:f>$E130+$F130</x:f>
        <x:v>226.68503328187128</x:v>
      </x:c>
      <x:c r="H130" s="30" t="n">
        <x:f>IF($A130=0,"",Assumptions!$B$21)</x:f>
        <x:v>5459.5</x:v>
      </x:c>
      <x:c r="I130" s="31" t="n">
        <x:f>IF($A130=0,"",INDEX(Assumptions!$C$24:$C$35,$C130)*IF($A130=0,"",IF($A130=1,1-Assumptions!$B$16,(1-Assumptions!$B$16)*(1-Assumptions!$B$17)^($A130-1))))</x:f>
        <x:v>398.03094407399954</x:v>
      </x:c>
      <x:c r="J130" s="32" t="n">
        <x:f>IF($A130=0,"",IF($I130&gt;0,$K130/$I130,0))</x:f>
        <x:v>1</x:v>
      </x:c>
      <x:c r="K130" s="31" t="n">
        <x:f>IF($A130=0,"",LET(direct,MIN($I130,$D130),surplus,MAX(0,$I130-direct),deficit,MAX(0,$D130-direct),charge,MIN(surplus,Assumptions!$B$10,direct,deficit),direct+charge))</x:f>
        <x:v>398.03094407399954</x:v>
      </x:c>
      <x:c r="L130" s="31" t="n">
        <x:f>IF($A130=0,"",LET(direct,MIN($I130,$D130),surplus,MAX(0,$I130-direct),deficit,MAX(0,$D130-direct),charge,MIN(surplus,Assumptions!$B$10,direct,deficit),surplus-charge))</x:f>
        <x:v>0</x:v>
      </x:c>
      <x:c r="M130" s="31" t="n">
        <x:f>IF($A130=0,"",LET(direct,MIN($I130,$D130),surplus,MAX(0,$I130-direct),deficit,MAX(0,$D130-direct),charge,MIN(surplus,Assumptions!$B$10,direct,deficit),deficit-charge))</x:f>
        <x:v>93.70629795399702</x:v>
      </x:c>
      <x:c r="N130" s="30" t="n">
        <x:f>IF($A130=0,"",$M130*Assumptions!$B$11*IF($A130=0,1,(1+Assumptions!$B$14)^($A130-1)))</x:f>
        <x:v>39.19569511127547</x:v>
      </x:c>
      <x:c r="O130" s="30" t="n">
        <x:f>IF($A130=0,"",$B130*Assumptions!$B$13)</x:f>
        <x:v>21</x:v>
      </x:c>
      <x:c r="P130" s="30" t="n">
        <x:f>IF($A130=0,"",$L130*Assumptions!$B$12)</x:f>
        <x:v>0</x:v>
      </x:c>
      <x:c r="Q130" s="30" t="n">
        <x:f>IF($A130=0,"",$N130+$O130-$P130)</x:f>
        <x:v>60.19569511127547</x:v>
      </x:c>
      <x:c r="R130" s="30" t="n">
        <x:f>IF($A130=0,"",$G130-$Q130)</x:f>
        <x:v>166.48933817059583</x:v>
      </x:c>
      <x:c r="S130" s="30" t="n">
        <x:f>IF($A130=0,"",SUM($R$17:R130))</x:f>
        <x:v>11165.15144286851</x:v>
      </x:c>
      <x:c r="T130" s="30" t="n">
        <x:f>IF($A130=0,"",$S130-$H130)</x:f>
        <x:v>5705.65144286851</x:v>
      </x:c>
    </x:row>
    <x:row r="131">
      <x:c r="A131" s="40" t="n">
        <x:v>10</x:v>
      </x:c>
      <x:c r="B131" s="40" t="n">
        <x:v>31</x:v>
      </x:c>
      <x:c r="C131" s="40" t="n">
        <x:v>7</x:v>
      </x:c>
      <x:c r="D131" s="31" t="n">
        <x:f>INDEX(Assumptions!$D$24:$D$35,$C131)</x:f>
        <x:v>504.2215193375261</x:v>
      </x:c>
      <x:c r="E131" s="30" t="n">
        <x:f>$D131*Assumptions!$B$11*IF($A131=0,1,(1+Assumptions!$B$14)^($A131-1))</x:f>
        <x:v>210.9069867449049</x:v>
      </x:c>
      <x:c r="F131" s="30" t="n">
        <x:f>$B131*Assumptions!$B$13</x:f>
        <x:v>21.7</x:v>
      </x:c>
      <x:c r="G131" s="30" t="n">
        <x:f>$E131+$F131</x:f>
        <x:v>232.6069867449049</x:v>
      </x:c>
      <x:c r="H131" s="30" t="n">
        <x:f>IF($A131=0,"",Assumptions!$B$21)</x:f>
        <x:v>5459.5</x:v>
      </x:c>
      <x:c r="I131" s="31" t="n">
        <x:f>IF($A131=0,"",INDEX(Assumptions!$C$24:$C$35,$C131)*IF($A131=0,"",IF($A131=1,1-Assumptions!$B$16,(1-Assumptions!$B$16)*(1-Assumptions!$B$17)^($A131-1))))</x:f>
        <x:v>411.2802049685744</x:v>
      </x:c>
      <x:c r="J131" s="32" t="n">
        <x:f>IF($A131=0,"",IF($I131&gt;0,$K131/$I131,0))</x:f>
        <x:v>1</x:v>
      </x:c>
      <x:c r="K131" s="31" t="n">
        <x:f>IF($A131=0,"",LET(direct,MIN($I131,$D131),surplus,MAX(0,$I131-direct),deficit,MAX(0,$D131-direct),charge,MIN(surplus,Assumptions!$B$10,direct,deficit),direct+charge))</x:f>
        <x:v>411.2802049685744</x:v>
      </x:c>
      <x:c r="L131" s="31" t="n">
        <x:f>IF($A131=0,"",LET(direct,MIN($I131,$D131),surplus,MAX(0,$I131-direct),deficit,MAX(0,$D131-direct),charge,MIN(surplus,Assumptions!$B$10,direct,deficit),surplus-charge))</x:f>
        <x:v>0</x:v>
      </x:c>
      <x:c r="M131" s="31" t="n">
        <x:f>IF($A131=0,"",LET(direct,MIN($I131,$D131),surplus,MAX(0,$I131-direct),deficit,MAX(0,$D131-direct),charge,MIN(surplus,Assumptions!$B$10,direct,deficit),deficit-charge))</x:f>
        <x:v>92.94131436895168</x:v>
      </x:c>
      <x:c r="N131" s="30" t="n">
        <x:f>IF($A131=0,"",$M131*Assumptions!$B$11*IF($A131=0,1,(1+Assumptions!$B$14)^($A131-1)))</x:f>
        <x:v>38.87571594211345</x:v>
      </x:c>
      <x:c r="O131" s="30" t="n">
        <x:f>IF($A131=0,"",$B131*Assumptions!$B$13)</x:f>
        <x:v>21.7</x:v>
      </x:c>
      <x:c r="P131" s="30" t="n">
        <x:f>IF($A131=0,"",$L131*Assumptions!$B$12)</x:f>
        <x:v>0</x:v>
      </x:c>
      <x:c r="Q131" s="30" t="n">
        <x:f>IF($A131=0,"",$N131+$O131-$P131)</x:f>
        <x:v>60.57571594211345</x:v>
      </x:c>
      <x:c r="R131" s="30" t="n">
        <x:f>IF($A131=0,"",$G131-$Q131)</x:f>
        <x:v>172.03127080279145</x:v>
      </x:c>
      <x:c r="S131" s="30" t="n">
        <x:f>IF($A131=0,"",SUM($R$17:R131))</x:f>
        <x:v>11337.182713671302</x:v>
      </x:c>
      <x:c r="T131" s="30" t="n">
        <x:f>IF($A131=0,"",$S131-$H131)</x:f>
        <x:v>5877.682713671302</x:v>
      </x:c>
    </x:row>
    <x:row r="132">
      <x:c r="A132" s="40" t="n">
        <x:v>10</x:v>
      </x:c>
      <x:c r="B132" s="40" t="n">
        <x:v>31</x:v>
      </x:c>
      <x:c r="C132" s="40" t="n">
        <x:v>8</x:v>
      </x:c>
      <x:c r="D132" s="31" t="n">
        <x:f>INDEX(Assumptions!$D$24:$D$35,$C132)</x:f>
        <x:v>495.0866822817727</x:v>
      </x:c>
      <x:c r="E132" s="30" t="n">
        <x:f>$D132*Assumptions!$B$11*IF($A132=0,1,(1+Assumptions!$B$14)^($A132-1))</x:f>
        <x:v>207.08604518658763</x:v>
      </x:c>
      <x:c r="F132" s="30" t="n">
        <x:f>$B132*Assumptions!$B$13</x:f>
        <x:v>21.7</x:v>
      </x:c>
      <x:c r="G132" s="30" t="n">
        <x:f>$E132+$F132</x:f>
        <x:v>228.78604518658761</x:v>
      </x:c>
      <x:c r="H132" s="30" t="n">
        <x:f>IF($A132=0,"",Assumptions!$B$21)</x:f>
        <x:v>5459.5</x:v>
      </x:c>
      <x:c r="I132" s="31" t="n">
        <x:f>IF($A132=0,"",INDEX(Assumptions!$C$24:$C$35,$C132)*IF($A132=0,"",IF($A132=1,1-Assumptions!$B$16,(1-Assumptions!$B$16)*(1-Assumptions!$B$17)^($A132-1))))</x:f>
        <x:v>343.1730088374095</x:v>
      </x:c>
      <x:c r="J132" s="32" t="n">
        <x:f>IF($A132=0,"",IF($I132&gt;0,$K132/$I132,0))</x:f>
        <x:v>1</x:v>
      </x:c>
      <x:c r="K132" s="31" t="n">
        <x:f>IF($A132=0,"",LET(direct,MIN($I132,$D132),surplus,MAX(0,$I132-direct),deficit,MAX(0,$D132-direct),charge,MIN(surplus,Assumptions!$B$10,direct,deficit),direct+charge))</x:f>
        <x:v>343.1730088374095</x:v>
      </x:c>
      <x:c r="L132" s="31" t="n">
        <x:f>IF($A132=0,"",LET(direct,MIN($I132,$D132),surplus,MAX(0,$I132-direct),deficit,MAX(0,$D132-direct),charge,MIN(surplus,Assumptions!$B$10,direct,deficit),surplus-charge))</x:f>
        <x:v>0</x:v>
      </x:c>
      <x:c r="M132" s="31" t="n">
        <x:f>IF($A132=0,"",LET(direct,MIN($I132,$D132),surplus,MAX(0,$I132-direct),deficit,MAX(0,$D132-direct),charge,MIN(surplus,Assumptions!$B$10,direct,deficit),deficit-charge))</x:f>
        <x:v>151.9136734443632</x:v>
      </x:c>
      <x:c r="N132" s="30" t="n">
        <x:f>IF($A132=0,"",$M132*Assumptions!$B$11*IF($A132=0,1,(1+Assumptions!$B$14)^($A132-1)))</x:f>
        <x:v>63.54281577191624</x:v>
      </x:c>
      <x:c r="O132" s="30" t="n">
        <x:f>IF($A132=0,"",$B132*Assumptions!$B$13)</x:f>
        <x:v>21.7</x:v>
      </x:c>
      <x:c r="P132" s="30" t="n">
        <x:f>IF($A132=0,"",$L132*Assumptions!$B$12)</x:f>
        <x:v>0</x:v>
      </x:c>
      <x:c r="Q132" s="30" t="n">
        <x:f>IF($A132=0,"",$N132+$O132-$P132)</x:f>
        <x:v>85.24281577191624</x:v>
      </x:c>
      <x:c r="R132" s="30" t="n">
        <x:f>IF($A132=0,"",$G132-$Q132)</x:f>
        <x:v>143.54322941467137</x:v>
      </x:c>
      <x:c r="S132" s="30" t="n">
        <x:f>IF($A132=0,"",SUM($R$17:R132))</x:f>
        <x:v>11480.725943085974</x:v>
      </x:c>
      <x:c r="T132" s="30" t="n">
        <x:f>IF($A132=0,"",$S132-$H132)</x:f>
        <x:v>6021.225943085974</x:v>
      </x:c>
    </x:row>
    <x:row r="133">
      <x:c r="A133" s="40" t="n">
        <x:v>10</x:v>
      </x:c>
      <x:c r="B133" s="40" t="n">
        <x:v>30</x:v>
      </x:c>
      <x:c r="C133" s="40" t="n">
        <x:v>9</x:v>
      </x:c>
      <x:c r="D133" s="31" t="n">
        <x:f>INDEX(Assumptions!$D$24:$D$35,$C133)</x:f>
        <x:v>484.7338669519189</x:v>
      </x:c>
      <x:c r="E133" s="30" t="n">
        <x:f>$D133*Assumptions!$B$11*IF($A133=0,1,(1+Assumptions!$B$14)^($A133-1))</x:f>
        <x:v>202.75564475382802</x:v>
      </x:c>
      <x:c r="F133" s="30" t="n">
        <x:f>$B133*Assumptions!$B$13</x:f>
        <x:v>21</x:v>
      </x:c>
      <x:c r="G133" s="30" t="n">
        <x:f>$E133+$F133</x:f>
        <x:v>223.75564475382802</x:v>
      </x:c>
      <x:c r="H133" s="30" t="n">
        <x:f>IF($A133=0,"",Assumptions!$B$21)</x:f>
        <x:v>5459.5</x:v>
      </x:c>
      <x:c r="I133" s="31" t="n">
        <x:f>IF($A133=0,"",INDEX(Assumptions!$C$24:$C$35,$C133)*IF($A133=0,"",IF($A133=1,1-Assumptions!$B$16,(1-Assumptions!$B$16)*(1-Assumptions!$B$17)^($A133-1))))</x:f>
        <x:v>252.68332865353304</x:v>
      </x:c>
      <x:c r="J133" s="32" t="n">
        <x:f>IF($A133=0,"",IF($I133&gt;0,$K133/$I133,0))</x:f>
        <x:v>1</x:v>
      </x:c>
      <x:c r="K133" s="31" t="n">
        <x:f>IF($A133=0,"",LET(direct,MIN($I133,$D133),surplus,MAX(0,$I133-direct),deficit,MAX(0,$D133-direct),charge,MIN(surplus,Assumptions!$B$10,direct,deficit),direct+charge))</x:f>
        <x:v>252.68332865353304</x:v>
      </x:c>
      <x:c r="L133" s="31" t="n">
        <x:f>IF($A133=0,"",LET(direct,MIN($I133,$D133),surplus,MAX(0,$I133-direct),deficit,MAX(0,$D133-direct),charge,MIN(surplus,Assumptions!$B$10,direct,deficit),surplus-charge))</x:f>
        <x:v>0</x:v>
      </x:c>
      <x:c r="M133" s="31" t="n">
        <x:f>IF($A133=0,"",LET(direct,MIN($I133,$D133),surplus,MAX(0,$I133-direct),deficit,MAX(0,$D133-direct),charge,MIN(surplus,Assumptions!$B$10,direct,deficit),deficit-charge))</x:f>
        <x:v>232.05053829838587</x:v>
      </x:c>
      <x:c r="N133" s="30" t="n">
        <x:f>IF($A133=0,"",$M133*Assumptions!$B$11*IF($A133=0,1,(1+Assumptions!$B$14)^($A133-1)))</x:f>
        <x:v>97.06265585282277</x:v>
      </x:c>
      <x:c r="O133" s="30" t="n">
        <x:f>IF($A133=0,"",$B133*Assumptions!$B$13)</x:f>
        <x:v>21</x:v>
      </x:c>
      <x:c r="P133" s="30" t="n">
        <x:f>IF($A133=0,"",$L133*Assumptions!$B$12)</x:f>
        <x:v>0</x:v>
      </x:c>
      <x:c r="Q133" s="30" t="n">
        <x:f>IF($A133=0,"",$N133+$O133-$P133)</x:f>
        <x:v>118.06265585282277</x:v>
      </x:c>
      <x:c r="R133" s="30" t="n">
        <x:f>IF($A133=0,"",$G133-$Q133)</x:f>
        <x:v>105.69298890100525</x:v>
      </x:c>
      <x:c r="S133" s="30" t="n">
        <x:f>IF($A133=0,"",SUM($R$17:R133))</x:f>
        <x:v>11586.418931986978</x:v>
      </x:c>
      <x:c r="T133" s="30" t="n">
        <x:f>IF($A133=0,"",$S133-$H133)</x:f>
        <x:v>6126.918931986978</x:v>
      </x:c>
    </x:row>
    <x:row r="134">
      <x:c r="A134" s="40" t="n">
        <x:v>10</x:v>
      </x:c>
      <x:c r="B134" s="40" t="n">
        <x:v>31</x:v>
      </x:c>
      <x:c r="C134" s="40" t="n">
        <x:v>10</x:v>
      </x:c>
      <x:c r="D134" s="31" t="n">
        <x:f>INDEX(Assumptions!$D$24:$D$35,$C134)</x:f>
        <x:v>965.136511636476</x:v>
      </x:c>
      <x:c r="E134" s="30" t="n">
        <x:f>$D134*Assumptions!$B$11*IF($A134=0,1,(1+Assumptions!$B$14)^($A134-1))</x:f>
        <x:v>403.6996154669846</x:v>
      </x:c>
      <x:c r="F134" s="30" t="n">
        <x:f>$B134*Assumptions!$B$13</x:f>
        <x:v>21.7</x:v>
      </x:c>
      <x:c r="G134" s="30" t="n">
        <x:f>$E134+$F134</x:f>
        <x:v>425.3996154669846</x:v>
      </x:c>
      <x:c r="H134" s="30" t="n">
        <x:f>IF($A134=0,"",Assumptions!$B$21)</x:f>
        <x:v>5459.5</x:v>
      </x:c>
      <x:c r="I134" s="31" t="n">
        <x:f>IF($A134=0,"",INDEX(Assumptions!$C$24:$C$35,$C134)*IF($A134=0,"",IF($A134=1,1-Assumptions!$B$16,(1-Assumptions!$B$16)*(1-Assumptions!$B$17)^($A134-1))))</x:f>
        <x:v>176.91877009675196</x:v>
      </x:c>
      <x:c r="J134" s="32" t="n">
        <x:f>IF($A134=0,"",IF($I134&gt;0,$K134/$I134,0))</x:f>
        <x:v>1</x:v>
      </x:c>
      <x:c r="K134" s="31" t="n">
        <x:f>IF($A134=0,"",LET(direct,MIN($I134,$D134),surplus,MAX(0,$I134-direct),deficit,MAX(0,$D134-direct),charge,MIN(surplus,Assumptions!$B$10,direct,deficit),direct+charge))</x:f>
        <x:v>176.91877009675196</x:v>
      </x:c>
      <x:c r="L134" s="31" t="n">
        <x:f>IF($A134=0,"",LET(direct,MIN($I134,$D134),surplus,MAX(0,$I134-direct),deficit,MAX(0,$D134-direct),charge,MIN(surplus,Assumptions!$B$10,direct,deficit),surplus-charge))</x:f>
        <x:v>0</x:v>
      </x:c>
      <x:c r="M134" s="31" t="n">
        <x:f>IF($A134=0,"",LET(direct,MIN($I134,$D134),surplus,MAX(0,$I134-direct),deficit,MAX(0,$D134-direct),charge,MIN(surplus,Assumptions!$B$10,direct,deficit),deficit-charge))</x:f>
        <x:v>788.2177415397241</x:v>
      </x:c>
      <x:c r="N134" s="30" t="n">
        <x:f>IF($A134=0,"",$M134*Assumptions!$B$11*IF($A134=0,1,(1+Assumptions!$B$14)^($A134-1)))</x:f>
        <x:v>329.69760787963503</x:v>
      </x:c>
      <x:c r="O134" s="30" t="n">
        <x:f>IF($A134=0,"",$B134*Assumptions!$B$13)</x:f>
        <x:v>21.7</x:v>
      </x:c>
      <x:c r="P134" s="30" t="n">
        <x:f>IF($A134=0,"",$L134*Assumptions!$B$12)</x:f>
        <x:v>0</x:v>
      </x:c>
      <x:c r="Q134" s="30" t="n">
        <x:f>IF($A134=0,"",$N134+$O134-$P134)</x:f>
        <x:v>351.397607879635</x:v>
      </x:c>
      <x:c r="R134" s="30" t="n">
        <x:f>IF($A134=0,"",$G134-$Q134)</x:f>
        <x:v>74.00200758734957</x:v>
      </x:c>
      <x:c r="S134" s="30" t="n">
        <x:f>IF($A134=0,"",SUM($R$17:R134))</x:f>
        <x:v>11660.420939574327</x:v>
      </x:c>
      <x:c r="T134" s="30" t="n">
        <x:f>IF($A134=0,"",$S134-$H134)</x:f>
        <x:v>6200.920939574327</x:v>
      </x:c>
    </x:row>
    <x:row r="135">
      <x:c r="A135" s="40" t="n">
        <x:v>10</x:v>
      </x:c>
      <x:c r="B135" s="40" t="n">
        <x:v>30</x:v>
      </x:c>
      <x:c r="C135" s="40" t="n">
        <x:v>11</x:v>
      </x:c>
      <x:c r="D135" s="31" t="n">
        <x:f>INDEX(Assumptions!$D$24:$D$35,$C135)</x:f>
        <x:v>948.3553735444794</x:v>
      </x:c>
      <x:c r="E135" s="30" t="n">
        <x:f>$D135*Assumptions!$B$11*IF($A135=0,1,(1+Assumptions!$B$14)^($A135-1))</x:f>
        <x:v>396.6803607676151</x:v>
      </x:c>
      <x:c r="F135" s="30" t="n">
        <x:f>$B135*Assumptions!$B$13</x:f>
        <x:v>21</x:v>
      </x:c>
      <x:c r="G135" s="30" t="n">
        <x:f>$E135+$F135</x:f>
        <x:v>417.6803607676151</x:v>
      </x:c>
      <x:c r="H135" s="30" t="n">
        <x:f>IF($A135=0,"",Assumptions!$B$21)</x:f>
        <x:v>5459.5</x:v>
      </x:c>
      <x:c r="I135" s="31" t="n">
        <x:f>IF($A135=0,"",INDEX(Assumptions!$C$24:$C$35,$C135)*IF($A135=0,"",IF($A135=1,1-Assumptions!$B$16,(1-Assumptions!$B$16)*(1-Assumptions!$B$17)^($A135-1))))</x:f>
        <x:v>105.04401728382734</x:v>
      </x:c>
      <x:c r="J135" s="32" t="n">
        <x:f>IF($A135=0,"",IF($I135&gt;0,$K135/$I135,0))</x:f>
        <x:v>1</x:v>
      </x:c>
      <x:c r="K135" s="31" t="n">
        <x:f>IF($A135=0,"",LET(direct,MIN($I135,$D135),surplus,MAX(0,$I135-direct),deficit,MAX(0,$D135-direct),charge,MIN(surplus,Assumptions!$B$10,direct,deficit),direct+charge))</x:f>
        <x:v>105.04401728382734</x:v>
      </x:c>
      <x:c r="L135" s="31" t="n">
        <x:f>IF($A135=0,"",LET(direct,MIN($I135,$D135),surplus,MAX(0,$I135-direct),deficit,MAX(0,$D135-direct),charge,MIN(surplus,Assumptions!$B$10,direct,deficit),surplus-charge))</x:f>
        <x:v>0</x:v>
      </x:c>
      <x:c r="M135" s="31" t="n">
        <x:f>IF($A135=0,"",LET(direct,MIN($I135,$D135),surplus,MAX(0,$I135-direct),deficit,MAX(0,$D135-direct),charge,MIN(surplus,Assumptions!$B$10,direct,deficit),deficit-charge))</x:f>
        <x:v>843.3113562606521</x:v>
      </x:c>
      <x:c r="N135" s="30" t="n">
        <x:f>IF($A135=0,"",$M135*Assumptions!$B$11*IF($A135=0,1,(1+Assumptions!$B$14)^($A135-1)))</x:f>
        <x:v>352.7422972156677</x:v>
      </x:c>
      <x:c r="O135" s="30" t="n">
        <x:f>IF($A135=0,"",$B135*Assumptions!$B$13)</x:f>
        <x:v>21</x:v>
      </x:c>
      <x:c r="P135" s="30" t="n">
        <x:f>IF($A135=0,"",$L135*Assumptions!$B$12)</x:f>
        <x:v>0</x:v>
      </x:c>
      <x:c r="Q135" s="30" t="n">
        <x:f>IF($A135=0,"",$N135+$O135-$P135)</x:f>
        <x:v>373.7422972156677</x:v>
      </x:c>
      <x:c r="R135" s="30" t="n">
        <x:f>IF($A135=0,"",$G135-$Q135)</x:f>
        <x:v>43.93806355194744</x:v>
      </x:c>
      <x:c r="S135" s="30" t="n">
        <x:f>IF($A135=0,"",SUM($R$17:R135))</x:f>
        <x:v>11704.359003126276</x:v>
      </x:c>
      <x:c r="T135" s="30" t="n">
        <x:f>IF($A135=0,"",$S135-$H135)</x:f>
        <x:v>6244.859003126276</x:v>
      </x:c>
    </x:row>
    <x:row r="136">
      <x:c r="A136" s="40" t="n">
        <x:v>10</x:v>
      </x:c>
      <x:c r="B136" s="40" t="n">
        <x:v>31</x:v>
      </x:c>
      <x:c r="C136" s="40" t="n">
        <x:v>12</x:v>
      </x:c>
      <x:c r="D136" s="31" t="n">
        <x:f>INDEX(Assumptions!$D$24:$D$35,$C136)</x:f>
        <x:v>928.0413642752205</x:v>
      </x:c>
      <x:c r="E136" s="30" t="n">
        <x:f>$D136*Assumptions!$B$11*IF($A136=0,1,(1+Assumptions!$B$14)^($A136-1))</x:f>
        <x:v>388.1833682367995</x:v>
      </x:c>
      <x:c r="F136" s="30" t="n">
        <x:f>$B136*Assumptions!$B$13</x:f>
        <x:v>21.7</x:v>
      </x:c>
      <x:c r="G136" s="30" t="n">
        <x:f>$E136+$F136</x:f>
        <x:v>409.88336823679947</x:v>
      </x:c>
      <x:c r="H136" s="30" t="n">
        <x:f>IF($A136=0,"",Assumptions!$B$21)</x:f>
        <x:v>5459.5</x:v>
      </x:c>
      <x:c r="I136" s="31" t="n">
        <x:f>IF($A136=0,"",INDEX(Assumptions!$C$24:$C$35,$C136)*IF($A136=0,"",IF($A136=1,1-Assumptions!$B$16,(1-Assumptions!$B$16)*(1-Assumptions!$B$17)^($A136-1))))</x:f>
        <x:v>77.45096618741096</x:v>
      </x:c>
      <x:c r="J136" s="32" t="n">
        <x:f>IF($A136=0,"",IF($I136&gt;0,$K136/$I136,0))</x:f>
        <x:v>1</x:v>
      </x:c>
      <x:c r="K136" s="31" t="n">
        <x:f>IF($A136=0,"",LET(direct,MIN($I136,$D136),surplus,MAX(0,$I136-direct),deficit,MAX(0,$D136-direct),charge,MIN(surplus,Assumptions!$B$10,direct,deficit),direct+charge))</x:f>
        <x:v>77.45096618741096</x:v>
      </x:c>
      <x:c r="L136" s="31" t="n">
        <x:f>IF($A136=0,"",LET(direct,MIN($I136,$D136),surplus,MAX(0,$I136-direct),deficit,MAX(0,$D136-direct),charge,MIN(surplus,Assumptions!$B$10,direct,deficit),surplus-charge))</x:f>
        <x:v>0</x:v>
      </x:c>
      <x:c r="M136" s="31" t="n">
        <x:f>IF($A136=0,"",LET(direct,MIN($I136,$D136),surplus,MAX(0,$I136-direct),deficit,MAX(0,$D136-direct),charge,MIN(surplus,Assumptions!$B$10,direct,deficit),deficit-charge))</x:f>
        <x:v>850.5903980878096</x:v>
      </x:c>
      <x:c r="N136" s="30" t="n">
        <x:f>IF($A136=0,"",$M136*Assumptions!$B$11*IF($A136=0,1,(1+Assumptions!$B$14)^($A136-1)))</x:f>
        <x:v>355.7869922936821</x:v>
      </x:c>
      <x:c r="O136" s="30" t="n">
        <x:f>IF($A136=0,"",$B136*Assumptions!$B$13)</x:f>
        <x:v>21.7</x:v>
      </x:c>
      <x:c r="P136" s="30" t="n">
        <x:f>IF($A136=0,"",$L136*Assumptions!$B$12)</x:f>
        <x:v>0</x:v>
      </x:c>
      <x:c r="Q136" s="30" t="n">
        <x:f>IF($A136=0,"",$N136+$O136-$P136)</x:f>
        <x:v>377.4869922936821</x:v>
      </x:c>
      <x:c r="R136" s="30" t="n">
        <x:f>IF($A136=0,"",$G136-$Q136)</x:f>
        <x:v>32.39637594311739</x:v>
      </x:c>
      <x:c r="S136" s="30" t="n">
        <x:f>IF($A136=0,"",SUM($R$17:R136))</x:f>
        <x:v>11736.755379069393</x:v>
      </x:c>
      <x:c r="T136" s="30" t="n">
        <x:f>IF($A136=0,"",$S136-$H136)</x:f>
        <x:v>6277.255379069393</x:v>
      </x:c>
    </x:row>
    <x:row r="137">
      <x:c r="A137" s="40" t="n">
        <x:v>11</x:v>
      </x:c>
      <x:c r="B137" s="40" t="n">
        <x:v>31</x:v>
      </x:c>
      <x:c r="C137" s="40" t="n">
        <x:v>1</x:v>
      </x:c>
      <x:c r="D137" s="31" t="n">
        <x:f>INDEX(Assumptions!$D$24:$D$35,$C137)</x:f>
        <x:v>921.8588397150115</x:v>
      </x:c>
      <x:c r="E137" s="30" t="n">
        <x:f>$D137*Assumptions!$B$11*IF($A137=0,1,(1+Assumptions!$B$14)^($A137-1))</x:f>
        <x:v>393.30927357240415</x:v>
      </x:c>
      <x:c r="F137" s="30" t="n">
        <x:f>$B137*Assumptions!$B$13</x:f>
        <x:v>21.7</x:v>
      </x:c>
      <x:c r="G137" s="30" t="n">
        <x:f>$E137+$F137</x:f>
        <x:v>415.00927357240414</x:v>
      </x:c>
      <x:c r="H137" s="30" t="n">
        <x:f>IF($A137=0,"",Assumptions!$B$21)</x:f>
        <x:v>5459.5</x:v>
      </x:c>
      <x:c r="I137" s="31" t="n">
        <x:f>IF($A137=0,"",INDEX(Assumptions!$C$24:$C$35,$C137)*IF($A137=0,"",IF($A137=1,1-Assumptions!$B$16,(1-Assumptions!$B$16)*(1-Assumptions!$B$17)^($A137-1))))</x:f>
        <x:v>93.90068334900582</x:v>
      </x:c>
      <x:c r="J137" s="32" t="n">
        <x:f>IF($A137=0,"",IF($I137&gt;0,$K137/$I137,0))</x:f>
        <x:v>1</x:v>
      </x:c>
      <x:c r="K137" s="31" t="n">
        <x:f>IF($A137=0,"",LET(direct,MIN($I137,$D137),surplus,MAX(0,$I137-direct),deficit,MAX(0,$D137-direct),charge,MIN(surplus,Assumptions!$B$10,direct,deficit),direct+charge))</x:f>
        <x:v>93.90068334900582</x:v>
      </x:c>
      <x:c r="L137" s="31" t="n">
        <x:f>IF($A137=0,"",LET(direct,MIN($I137,$D137),surplus,MAX(0,$I137-direct),deficit,MAX(0,$D137-direct),charge,MIN(surplus,Assumptions!$B$10,direct,deficit),surplus-charge))</x:f>
        <x:v>0</x:v>
      </x:c>
      <x:c r="M137" s="31" t="n">
        <x:f>IF($A137=0,"",LET(direct,MIN($I137,$D137),surplus,MAX(0,$I137-direct),deficit,MAX(0,$D137-direct),charge,MIN(surplus,Assumptions!$B$10,direct,deficit),deficit-charge))</x:f>
        <x:v>827.9581563660057</x:v>
      </x:c>
      <x:c r="N137" s="30" t="n">
        <x:f>IF($A137=0,"",$M137*Assumptions!$B$11*IF($A137=0,1,(1+Assumptions!$B$14)^($A137-1)))</x:f>
        <x:v>353.2467304097577</x:v>
      </x:c>
      <x:c r="O137" s="30" t="n">
        <x:f>IF($A137=0,"",$B137*Assumptions!$B$13)</x:f>
        <x:v>21.7</x:v>
      </x:c>
      <x:c r="P137" s="30" t="n">
        <x:f>IF($A137=0,"",$L137*Assumptions!$B$12)</x:f>
        <x:v>0</x:v>
      </x:c>
      <x:c r="Q137" s="30" t="n">
        <x:f>IF($A137=0,"",$N137+$O137-$P137)</x:f>
        <x:v>374.94673040975766</x:v>
      </x:c>
      <x:c r="R137" s="30" t="n">
        <x:f>IF($A137=0,"",$G137-$Q137)</x:f>
        <x:v>40.06254316264648</x:v>
      </x:c>
      <x:c r="S137" s="30" t="n">
        <x:f>IF($A137=0,"",SUM($R$17:R137))</x:f>
        <x:v>11776.81792223204</x:v>
      </x:c>
      <x:c r="T137" s="30" t="n">
        <x:f>IF($A137=0,"",$S137-$H137)</x:f>
        <x:v>6317.31792223204</x:v>
      </x:c>
    </x:row>
    <x:row r="138">
      <x:c r="A138" s="40" t="n">
        <x:v>11</x:v>
      </x:c>
      <x:c r="B138" s="40" t="n">
        <x:v>28</x:v>
      </x:c>
      <x:c r="C138" s="40" t="n">
        <x:v>2</x:v>
      </x:c>
      <x:c r="D138" s="31" t="n">
        <x:f>INDEX(Assumptions!$D$24:$D$35,$C138)</x:f>
        <x:v>923.6252753036425</x:v>
      </x:c>
      <x:c r="E138" s="30" t="n">
        <x:f>$D138*Assumptions!$B$11*IF($A138=0,1,(1+Assumptions!$B$14)^($A138-1))</x:f>
        <x:v>394.06291986644163</x:v>
      </x:c>
      <x:c r="F138" s="30" t="n">
        <x:f>$B138*Assumptions!$B$13</x:f>
        <x:v>19.599999999999998</x:v>
      </x:c>
      <x:c r="G138" s="30" t="n">
        <x:f>$E138+$F138</x:f>
        <x:v>413.66291986644165</x:v>
      </x:c>
      <x:c r="H138" s="30" t="n">
        <x:f>IF($A138=0,"",Assumptions!$B$21)</x:f>
        <x:v>5459.5</x:v>
      </x:c>
      <x:c r="I138" s="31" t="n">
        <x:f>IF($A138=0,"",INDEX(Assumptions!$C$24:$C$35,$C138)*IF($A138=0,"",IF($A138=1,1-Assumptions!$B$16,(1-Assumptions!$B$16)*(1-Assumptions!$B$17)^($A138-1))))</x:f>
        <x:v>148.44904235633632</x:v>
      </x:c>
      <x:c r="J138" s="32" t="n">
        <x:f>IF($A138=0,"",IF($I138&gt;0,$K138/$I138,0))</x:f>
        <x:v>1</x:v>
      </x:c>
      <x:c r="K138" s="31" t="n">
        <x:f>IF($A138=0,"",LET(direct,MIN($I138,$D138),surplus,MAX(0,$I138-direct),deficit,MAX(0,$D138-direct),charge,MIN(surplus,Assumptions!$B$10,direct,deficit),direct+charge))</x:f>
        <x:v>148.44904235633632</x:v>
      </x:c>
      <x:c r="L138" s="31" t="n">
        <x:f>IF($A138=0,"",LET(direct,MIN($I138,$D138),surplus,MAX(0,$I138-direct),deficit,MAX(0,$D138-direct),charge,MIN(surplus,Assumptions!$B$10,direct,deficit),surplus-charge))</x:f>
        <x:v>0</x:v>
      </x:c>
      <x:c r="M138" s="31" t="n">
        <x:f>IF($A138=0,"",LET(direct,MIN($I138,$D138),surplus,MAX(0,$I138-direct),deficit,MAX(0,$D138-direct),charge,MIN(surplus,Assumptions!$B$10,direct,deficit),deficit-charge))</x:f>
        <x:v>775.1762329473062</x:v>
      </x:c>
      <x:c r="N138" s="30" t="n">
        <x:f>IF($A138=0,"",$M138*Assumptions!$B$11*IF($A138=0,1,(1+Assumptions!$B$14)^($A138-1)))</x:f>
        <x:v>330.7274258663628</x:v>
      </x:c>
      <x:c r="O138" s="30" t="n">
        <x:f>IF($A138=0,"",$B138*Assumptions!$B$13)</x:f>
        <x:v>19.599999999999998</x:v>
      </x:c>
      <x:c r="P138" s="30" t="n">
        <x:f>IF($A138=0,"",$L138*Assumptions!$B$12)</x:f>
        <x:v>0</x:v>
      </x:c>
      <x:c r="Q138" s="30" t="n">
        <x:f>IF($A138=0,"",$N138+$O138-$P138)</x:f>
        <x:v>350.32742586636283</x:v>
      </x:c>
      <x:c r="R138" s="30" t="n">
        <x:f>IF($A138=0,"",$G138-$Q138)</x:f>
        <x:v>63.335494000078825</x:v>
      </x:c>
      <x:c r="S138" s="30" t="n">
        <x:f>IF($A138=0,"",SUM($R$17:R138))</x:f>
        <x:v>11840.153416232119</x:v>
      </x:c>
      <x:c r="T138" s="30" t="n">
        <x:f>IF($A138=0,"",$S138-$H138)</x:f>
        <x:v>6380.653416232119</x:v>
      </x:c>
    </x:row>
    <x:row r="139">
      <x:c r="A139" s="40" t="n">
        <x:v>11</x:v>
      </x:c>
      <x:c r="B139" s="40" t="n">
        <x:v>31</x:v>
      </x:c>
      <x:c r="C139" s="40" t="n">
        <x:v>3</x:v>
      </x:c>
      <x:c r="D139" s="31" t="n">
        <x:f>INDEX(Assumptions!$D$24:$D$35,$C139)</x:f>
        <x:v>907.7273550059616</x:v>
      </x:c>
      <x:c r="E139" s="30" t="n">
        <x:f>$D139*Assumptions!$B$11*IF($A139=0,1,(1+Assumptions!$B$14)^($A139-1))</x:f>
        <x:v>387.28010322010357</x:v>
      </x:c>
      <x:c r="F139" s="30" t="n">
        <x:f>$B139*Assumptions!$B$13</x:f>
        <x:v>21.7</x:v>
      </x:c>
      <x:c r="G139" s="30" t="n">
        <x:f>$E139+$F139</x:f>
        <x:v>408.98010322010356</x:v>
      </x:c>
      <x:c r="H139" s="30" t="n">
        <x:f>IF($A139=0,"",Assumptions!$B$21)</x:f>
        <x:v>5459.5</x:v>
      </x:c>
      <x:c r="I139" s="31" t="n">
        <x:f>IF($A139=0,"",INDEX(Assumptions!$C$24:$C$35,$C139)*IF($A139=0,"",IF($A139=1,1-Assumptions!$B$16,(1-Assumptions!$B$16)*(1-Assumptions!$B$17)^($A139-1))))</x:f>
        <x:v>262.0440978573953</x:v>
      </x:c>
      <x:c r="J139" s="32" t="n">
        <x:f>IF($A139=0,"",IF($I139&gt;0,$K139/$I139,0))</x:f>
        <x:v>1</x:v>
      </x:c>
      <x:c r="K139" s="31" t="n">
        <x:f>IF($A139=0,"",LET(direct,MIN($I139,$D139),surplus,MAX(0,$I139-direct),deficit,MAX(0,$D139-direct),charge,MIN(surplus,Assumptions!$B$10,direct,deficit),direct+charge))</x:f>
        <x:v>262.0440978573953</x:v>
      </x:c>
      <x:c r="L139" s="31" t="n">
        <x:f>IF($A139=0,"",LET(direct,MIN($I139,$D139),surplus,MAX(0,$I139-direct),deficit,MAX(0,$D139-direct),charge,MIN(surplus,Assumptions!$B$10,direct,deficit),surplus-charge))</x:f>
        <x:v>0</x:v>
      </x:c>
      <x:c r="M139" s="31" t="n">
        <x:f>IF($A139=0,"",LET(direct,MIN($I139,$D139),surplus,MAX(0,$I139-direct),deficit,MAX(0,$D139-direct),charge,MIN(surplus,Assumptions!$B$10,direct,deficit),deficit-charge))</x:f>
        <x:v>645.6832571485663</x:v>
      </x:c>
      <x:c r="N139" s="30" t="n">
        <x:f>IF($A139=0,"",$M139*Assumptions!$B$11*IF($A139=0,1,(1+Assumptions!$B$14)^($A139-1)))</x:f>
        <x:v>275.4795006418498</x:v>
      </x:c>
      <x:c r="O139" s="30" t="n">
        <x:f>IF($A139=0,"",$B139*Assumptions!$B$13)</x:f>
        <x:v>21.7</x:v>
      </x:c>
      <x:c r="P139" s="30" t="n">
        <x:f>IF($A139=0,"",$L139*Assumptions!$B$12)</x:f>
        <x:v>0</x:v>
      </x:c>
      <x:c r="Q139" s="30" t="n">
        <x:f>IF($A139=0,"",$N139+$O139-$P139)</x:f>
        <x:v>297.1795006418498</x:v>
      </x:c>
      <x:c r="R139" s="30" t="n">
        <x:f>IF($A139=0,"",$G139-$Q139)</x:f>
        <x:v>111.80060257825374</x:v>
      </x:c>
      <x:c r="S139" s="30" t="n">
        <x:f>IF($A139=0,"",SUM($R$17:R139))</x:f>
        <x:v>11951.954018810373</x:v>
      </x:c>
      <x:c r="T139" s="30" t="n">
        <x:f>IF($A139=0,"",$S139-$H139)</x:f>
        <x:v>6492.454018810373</x:v>
      </x:c>
    </x:row>
    <x:row r="140">
      <x:c r="A140" s="40" t="n">
        <x:v>11</x:v>
      </x:c>
      <x:c r="B140" s="40" t="n">
        <x:v>30</x:v>
      </x:c>
      <x:c r="C140" s="40" t="n">
        <x:v>4</x:v>
      </x:c>
      <x:c r="D140" s="31" t="n">
        <x:f>INDEX(Assumptions!$D$24:$D$35,$C140)</x:f>
        <x:v>951.0050269274262</x:v>
      </x:c>
      <x:c r="E140" s="30" t="n">
        <x:f>$D140*Assumptions!$B$11*IF($A140=0,1,(1+Assumptions!$B$14)^($A140-1))</x:f>
        <x:v>405.7444374240238</x:v>
      </x:c>
      <x:c r="F140" s="30" t="n">
        <x:f>$B140*Assumptions!$B$13</x:f>
        <x:v>21</x:v>
      </x:c>
      <x:c r="G140" s="30" t="n">
        <x:f>$E140+$F140</x:f>
        <x:v>426.7444374240238</x:v>
      </x:c>
      <x:c r="H140" s="30" t="n">
        <x:f>IF($A140=0,"",Assumptions!$B$21)</x:f>
        <x:v>5459.5</x:v>
      </x:c>
      <x:c r="I140" s="31" t="n">
        <x:f>IF($A140=0,"",INDEX(Assumptions!$C$24:$C$35,$C140)*IF($A140=0,"",IF($A140=1,1-Assumptions!$B$16,(1-Assumptions!$B$16)*(1-Assumptions!$B$17)^($A140-1))))</x:f>
        <x:v>348.96367012239864</x:v>
      </x:c>
      <x:c r="J140" s="32" t="n">
        <x:f>IF($A140=0,"",IF($I140&gt;0,$K140/$I140,0))</x:f>
        <x:v>1</x:v>
      </x:c>
      <x:c r="K140" s="31" t="n">
        <x:f>IF($A140=0,"",LET(direct,MIN($I140,$D140),surplus,MAX(0,$I140-direct),deficit,MAX(0,$D140-direct),charge,MIN(surplus,Assumptions!$B$10,direct,deficit),direct+charge))</x:f>
        <x:v>348.96367012239864</x:v>
      </x:c>
      <x:c r="L140" s="31" t="n">
        <x:f>IF($A140=0,"",LET(direct,MIN($I140,$D140),surplus,MAX(0,$I140-direct),deficit,MAX(0,$D140-direct),charge,MIN(surplus,Assumptions!$B$10,direct,deficit),surplus-charge))</x:f>
        <x:v>0</x:v>
      </x:c>
      <x:c r="M140" s="31" t="n">
        <x:f>IF($A140=0,"",LET(direct,MIN($I140,$D140),surplus,MAX(0,$I140-direct),deficit,MAX(0,$D140-direct),charge,MIN(surplus,Assumptions!$B$10,direct,deficit),deficit-charge))</x:f>
        <x:v>602.0413568050276</x:v>
      </x:c>
      <x:c r="N140" s="30" t="n">
        <x:f>IF($A140=0,"",$M140*Assumptions!$B$11*IF($A140=0,1,(1+Assumptions!$B$14)^($A140-1)))</x:f>
        <x:v>256.85976909299046</x:v>
      </x:c>
      <x:c r="O140" s="30" t="n">
        <x:f>IF($A140=0,"",$B140*Assumptions!$B$13)</x:f>
        <x:v>21</x:v>
      </x:c>
      <x:c r="P140" s="30" t="n">
        <x:f>IF($A140=0,"",$L140*Assumptions!$B$12)</x:f>
        <x:v>0</x:v>
      </x:c>
      <x:c r="Q140" s="30" t="n">
        <x:f>IF($A140=0,"",$N140+$O140-$P140)</x:f>
        <x:v>277.85976909299046</x:v>
      </x:c>
      <x:c r="R140" s="30" t="n">
        <x:f>IF($A140=0,"",$G140-$Q140)</x:f>
        <x:v>148.8846683310333</x:v>
      </x:c>
      <x:c r="S140" s="30" t="n">
        <x:f>IF($A140=0,"",SUM($R$17:R140))</x:f>
        <x:v>12100.838687141406</x:v>
      </x:c>
      <x:c r="T140" s="30" t="n">
        <x:f>IF($A140=0,"",$S140-$H140)</x:f>
        <x:v>6641.338687141406</x:v>
      </x:c>
    </x:row>
    <x:row r="141">
      <x:c r="A141" s="40" t="n">
        <x:v>11</x:v>
      </x:c>
      <x:c r="B141" s="40" t="n">
        <x:v>31</x:v>
      </x:c>
      <x:c r="C141" s="40" t="n">
        <x:v>5</x:v>
      </x:c>
      <x:c r="D141" s="31" t="n">
        <x:f>INDEX(Assumptions!$D$24:$D$35,$C141)</x:f>
        <x:v>480.47094299256736</x:v>
      </x:c>
      <x:c r="E141" s="30" t="n">
        <x:f>$D141*Assumptions!$B$11*IF($A141=0,1,(1+Assumptions!$B$14)^($A141-1))</x:f>
        <x:v>204.99198946714554</x:v>
      </x:c>
      <x:c r="F141" s="30" t="n">
        <x:f>$B141*Assumptions!$B$13</x:f>
        <x:v>21.7</x:v>
      </x:c>
      <x:c r="G141" s="30" t="n">
        <x:f>$E141+$F141</x:f>
        <x:v>226.69198946714553</x:v>
      </x:c>
      <x:c r="H141" s="30" t="n">
        <x:f>IF($A141=0,"",Assumptions!$B$21)</x:f>
        <x:v>5459.5</x:v>
      </x:c>
      <x:c r="I141" s="31" t="n">
        <x:f>IF($A141=0,"",INDEX(Assumptions!$C$24:$C$35,$C141)*IF($A141=0,"",IF($A141=1,1-Assumptions!$B$16,(1-Assumptions!$B$16)*(1-Assumptions!$B$17)^($A141-1))))</x:f>
        <x:v>386.61671385353424</x:v>
      </x:c>
      <x:c r="J141" s="32" t="n">
        <x:f>IF($A141=0,"",IF($I141&gt;0,$K141/$I141,0))</x:f>
        <x:v>1</x:v>
      </x:c>
      <x:c r="K141" s="31" t="n">
        <x:f>IF($A141=0,"",LET(direct,MIN($I141,$D141),surplus,MAX(0,$I141-direct),deficit,MAX(0,$D141-direct),charge,MIN(surplus,Assumptions!$B$10,direct,deficit),direct+charge))</x:f>
        <x:v>386.61671385353424</x:v>
      </x:c>
      <x:c r="L141" s="31" t="n">
        <x:f>IF($A141=0,"",LET(direct,MIN($I141,$D141),surplus,MAX(0,$I141-direct),deficit,MAX(0,$D141-direct),charge,MIN(surplus,Assumptions!$B$10,direct,deficit),surplus-charge))</x:f>
        <x:v>0</x:v>
      </x:c>
      <x:c r="M141" s="31" t="n">
        <x:f>IF($A141=0,"",LET(direct,MIN($I141,$D141),surplus,MAX(0,$I141-direct),deficit,MAX(0,$D141-direct),charge,MIN(surplus,Assumptions!$B$10,direct,deficit),deficit-charge))</x:f>
        <x:v>93.85422913903312</x:v>
      </x:c>
      <x:c r="N141" s="30" t="n">
        <x:f>IF($A141=0,"",$M141*Assumptions!$B$11*IF($A141=0,1,(1+Assumptions!$B$14)^($A141-1)))</x:f>
        <x:v>40.04272356468676</x:v>
      </x:c>
      <x:c r="O141" s="30" t="n">
        <x:f>IF($A141=0,"",$B141*Assumptions!$B$13)</x:f>
        <x:v>21.7</x:v>
      </x:c>
      <x:c r="P141" s="30" t="n">
        <x:f>IF($A141=0,"",$L141*Assumptions!$B$12)</x:f>
        <x:v>0</x:v>
      </x:c>
      <x:c r="Q141" s="30" t="n">
        <x:f>IF($A141=0,"",$N141+$O141-$P141)</x:f>
        <x:v>61.742723564686756</x:v>
      </x:c>
      <x:c r="R141" s="30" t="n">
        <x:f>IF($A141=0,"",$G141-$Q141)</x:f>
        <x:v>164.94926590245876</x:v>
      </x:c>
      <x:c r="S141" s="30" t="n">
        <x:f>IF($A141=0,"",SUM($R$17:R141))</x:f>
        <x:v>12265.787953043864</x:v>
      </x:c>
      <x:c r="T141" s="30" t="n">
        <x:f>IF($A141=0,"",$S141-$H141)</x:f>
        <x:v>6806.287953043864</x:v>
      </x:c>
    </x:row>
    <x:row r="142">
      <x:c r="A142" s="40" t="n">
        <x:v>11</x:v>
      </x:c>
      <x:c r="B142" s="40" t="n">
        <x:v>30</x:v>
      </x:c>
      <x:c r="C142" s="40" t="n">
        <x:v>6</x:v>
      </x:c>
      <x:c r="D142" s="31" t="n">
        <x:f>INDEX(Assumptions!$D$24:$D$35,$C142)</x:f>
        <x:v>491.73724202799656</x:v>
      </x:c>
      <x:c r="E142" s="30" t="n">
        <x:f>$D142*Assumptions!$B$11*IF($A142=0,1,(1+Assumptions!$B$14)^($A142-1))</x:f>
        <x:v>209.7987339475087</x:v>
      </x:c>
      <x:c r="F142" s="30" t="n">
        <x:f>$B142*Assumptions!$B$13</x:f>
        <x:v>21</x:v>
      </x:c>
      <x:c r="G142" s="30" t="n">
        <x:f>$E142+$F142</x:f>
        <x:v>230.7987339475087</x:v>
      </x:c>
      <x:c r="H142" s="30" t="n">
        <x:f>IF($A142=0,"",Assumptions!$B$21)</x:f>
        <x:v>5459.5</x:v>
      </x:c>
      <x:c r="I142" s="31" t="n">
        <x:f>IF($A142=0,"",INDEX(Assumptions!$C$24:$C$35,$C142)*IF($A142=0,"",IF($A142=1,1-Assumptions!$B$16,(1-Assumptions!$B$16)*(1-Assumptions!$B$17)^($A142-1))))</x:f>
        <x:v>396.4388202977035</x:v>
      </x:c>
      <x:c r="J142" s="32" t="n">
        <x:f>IF($A142=0,"",IF($I142&gt;0,$K142/$I142,0))</x:f>
        <x:v>1</x:v>
      </x:c>
      <x:c r="K142" s="31" t="n">
        <x:f>IF($A142=0,"",LET(direct,MIN($I142,$D142),surplus,MAX(0,$I142-direct),deficit,MAX(0,$D142-direct),charge,MIN(surplus,Assumptions!$B$10,direct,deficit),direct+charge))</x:f>
        <x:v>396.4388202977035</x:v>
      </x:c>
      <x:c r="L142" s="31" t="n">
        <x:f>IF($A142=0,"",LET(direct,MIN($I142,$D142),surplus,MAX(0,$I142-direct),deficit,MAX(0,$D142-direct),charge,MIN(surplus,Assumptions!$B$10,direct,deficit),surplus-charge))</x:f>
        <x:v>0</x:v>
      </x:c>
      <x:c r="M142" s="31" t="n">
        <x:f>IF($A142=0,"",LET(direct,MIN($I142,$D142),surplus,MAX(0,$I142-direct),deficit,MAX(0,$D142-direct),charge,MIN(surplus,Assumptions!$B$10,direct,deficit),deficit-charge))</x:f>
        <x:v>95.29842173029306</x:v>
      </x:c>
      <x:c r="N142" s="30" t="n">
        <x:f>IF($A142=0,"",$M142*Assumptions!$B$11*IF($A142=0,1,(1+Assumptions!$B$14)^($A142-1)))</x:f>
        <x:v>40.658885513237024</x:v>
      </x:c>
      <x:c r="O142" s="30" t="n">
        <x:f>IF($A142=0,"",$B142*Assumptions!$B$13)</x:f>
        <x:v>21</x:v>
      </x:c>
      <x:c r="P142" s="30" t="n">
        <x:f>IF($A142=0,"",$L142*Assumptions!$B$12)</x:f>
        <x:v>0</x:v>
      </x:c>
      <x:c r="Q142" s="30" t="n">
        <x:f>IF($A142=0,"",$N142+$O142-$P142)</x:f>
        <x:v>61.658885513237024</x:v>
      </x:c>
      <x:c r="R142" s="30" t="n">
        <x:f>IF($A142=0,"",$G142-$Q142)</x:f>
        <x:v>169.1398484342717</x:v>
      </x:c>
      <x:c r="S142" s="30" t="n">
        <x:f>IF($A142=0,"",SUM($R$17:R142))</x:f>
        <x:v>12434.927801478136</x:v>
      </x:c>
      <x:c r="T142" s="30" t="n">
        <x:f>IF($A142=0,"",$S142-$H142)</x:f>
        <x:v>6975.427801478136</x:v>
      </x:c>
    </x:row>
    <x:row r="143">
      <x:c r="A143" s="40" t="n">
        <x:v>11</x:v>
      </x:c>
      <x:c r="B143" s="40" t="n">
        <x:v>31</x:v>
      </x:c>
      <x:c r="C143" s="40" t="n">
        <x:v>7</x:v>
      </x:c>
      <x:c r="D143" s="31" t="n">
        <x:f>INDEX(Assumptions!$D$24:$D$35,$C143)</x:f>
        <x:v>504.2215193375261</x:v>
      </x:c>
      <x:c r="E143" s="30" t="n">
        <x:f>$D143*Assumptions!$B$11*IF($A143=0,1,(1+Assumptions!$B$14)^($A143-1))</x:f>
        <x:v>215.12512647980301</x:v>
      </x:c>
      <x:c r="F143" s="30" t="n">
        <x:f>$B143*Assumptions!$B$13</x:f>
        <x:v>21.7</x:v>
      </x:c>
      <x:c r="G143" s="30" t="n">
        <x:f>$E143+$F143</x:f>
        <x:v>236.825126479803</x:v>
      </x:c>
      <x:c r="H143" s="30" t="n">
        <x:f>IF($A143=0,"",Assumptions!$B$21)</x:f>
        <x:v>5459.5</x:v>
      </x:c>
      <x:c r="I143" s="31" t="n">
        <x:f>IF($A143=0,"",INDEX(Assumptions!$C$24:$C$35,$C143)*IF($A143=0,"",IF($A143=1,1-Assumptions!$B$16,(1-Assumptions!$B$16)*(1-Assumptions!$B$17)^($A143-1))))</x:f>
        <x:v>409.6350841487001</x:v>
      </x:c>
      <x:c r="J143" s="32" t="n">
        <x:f>IF($A143=0,"",IF($I143&gt;0,$K143/$I143,0))</x:f>
        <x:v>1</x:v>
      </x:c>
      <x:c r="K143" s="31" t="n">
        <x:f>IF($A143=0,"",LET(direct,MIN($I143,$D143),surplus,MAX(0,$I143-direct),deficit,MAX(0,$D143-direct),charge,MIN(surplus,Assumptions!$B$10,direct,deficit),direct+charge))</x:f>
        <x:v>409.6350841487001</x:v>
      </x:c>
      <x:c r="L143" s="31" t="n">
        <x:f>IF($A143=0,"",LET(direct,MIN($I143,$D143),surplus,MAX(0,$I143-direct),deficit,MAX(0,$D143-direct),charge,MIN(surplus,Assumptions!$B$10,direct,deficit),surplus-charge))</x:f>
        <x:v>0</x:v>
      </x:c>
      <x:c r="M143" s="31" t="n">
        <x:f>IF($A143=0,"",LET(direct,MIN($I143,$D143),surplus,MAX(0,$I143-direct),deficit,MAX(0,$D143-direct),charge,MIN(surplus,Assumptions!$B$10,direct,deficit),deficit-charge))</x:f>
        <x:v>94.58643518882599</x:v>
      </x:c>
      <x:c r="N143" s="30" t="n">
        <x:f>IF($A143=0,"",$M143*Assumptions!$B$11*IF($A143=0,1,(1+Assumptions!$B$14)^($A143-1)))</x:f>
        <x:v>40.35511784583112</x:v>
      </x:c>
      <x:c r="O143" s="30" t="n">
        <x:f>IF($A143=0,"",$B143*Assumptions!$B$13)</x:f>
        <x:v>21.7</x:v>
      </x:c>
      <x:c r="P143" s="30" t="n">
        <x:f>IF($A143=0,"",$L143*Assumptions!$B$12)</x:f>
        <x:v>0</x:v>
      </x:c>
      <x:c r="Q143" s="30" t="n">
        <x:f>IF($A143=0,"",$N143+$O143-$P143)</x:f>
        <x:v>62.05511784583112</x:v>
      </x:c>
      <x:c r="R143" s="30" t="n">
        <x:f>IF($A143=0,"",$G143-$Q143)</x:f>
        <x:v>174.77000863397188</x:v>
      </x:c>
      <x:c r="S143" s="30" t="n">
        <x:f>IF($A143=0,"",SUM($R$17:R143))</x:f>
        <x:v>12609.697810112108</x:v>
      </x:c>
      <x:c r="T143" s="30" t="n">
        <x:f>IF($A143=0,"",$S143-$H143)</x:f>
        <x:v>7150.197810112108</x:v>
      </x:c>
    </x:row>
    <x:row r="144">
      <x:c r="A144" s="40" t="n">
        <x:v>11</x:v>
      </x:c>
      <x:c r="B144" s="40" t="n">
        <x:v>31</x:v>
      </x:c>
      <x:c r="C144" s="40" t="n">
        <x:v>8</x:v>
      </x:c>
      <x:c r="D144" s="31" t="n">
        <x:f>INDEX(Assumptions!$D$24:$D$35,$C144)</x:f>
        <x:v>495.0866822817727</x:v>
      </x:c>
      <x:c r="E144" s="30" t="n">
        <x:f>$D144*Assumptions!$B$11*IF($A144=0,1,(1+Assumptions!$B$14)^($A144-1))</x:f>
        <x:v>211.2277660903194</x:v>
      </x:c>
      <x:c r="F144" s="30" t="n">
        <x:f>$B144*Assumptions!$B$13</x:f>
        <x:v>21.7</x:v>
      </x:c>
      <x:c r="G144" s="30" t="n">
        <x:f>$E144+$F144</x:f>
        <x:v>232.92776609031938</x:v>
      </x:c>
      <x:c r="H144" s="30" t="n">
        <x:f>IF($A144=0,"",Assumptions!$B$21)</x:f>
        <x:v>5459.5</x:v>
      </x:c>
      <x:c r="I144" s="31" t="n">
        <x:f>IF($A144=0,"",INDEX(Assumptions!$C$24:$C$35,$C144)*IF($A144=0,"",IF($A144=1,1-Assumptions!$B$16,(1-Assumptions!$B$16)*(1-Assumptions!$B$17)^($A144-1))))</x:f>
        <x:v>341.80031680205985</x:v>
      </x:c>
      <x:c r="J144" s="32" t="n">
        <x:f>IF($A144=0,"",IF($I144&gt;0,$K144/$I144,0))</x:f>
        <x:v>1</x:v>
      </x:c>
      <x:c r="K144" s="31" t="n">
        <x:f>IF($A144=0,"",LET(direct,MIN($I144,$D144),surplus,MAX(0,$I144-direct),deficit,MAX(0,$D144-direct),charge,MIN(surplus,Assumptions!$B$10,direct,deficit),direct+charge))</x:f>
        <x:v>341.80031680205985</x:v>
      </x:c>
      <x:c r="L144" s="31" t="n">
        <x:f>IF($A144=0,"",LET(direct,MIN($I144,$D144),surplus,MAX(0,$I144-direct),deficit,MAX(0,$D144-direct),charge,MIN(surplus,Assumptions!$B$10,direct,deficit),surplus-charge))</x:f>
        <x:v>0</x:v>
      </x:c>
      <x:c r="M144" s="31" t="n">
        <x:f>IF($A144=0,"",LET(direct,MIN($I144,$D144),surplus,MAX(0,$I144-direct),deficit,MAX(0,$D144-direct),charge,MIN(surplus,Assumptions!$B$10,direct,deficit),deficit-charge))</x:f>
        <x:v>153.28636547971286</x:v>
      </x:c>
      <x:c r="N144" s="30" t="n">
        <x:f>IF($A144=0,"",$M144*Assumptions!$B$11*IF($A144=0,1,(1+Assumptions!$B$14)^($A144-1)))</x:f>
        <x:v>65.39932846336644</x:v>
      </x:c>
      <x:c r="O144" s="30" t="n">
        <x:f>IF($A144=0,"",$B144*Assumptions!$B$13)</x:f>
        <x:v>21.7</x:v>
      </x:c>
      <x:c r="P144" s="30" t="n">
        <x:f>IF($A144=0,"",$L144*Assumptions!$B$12)</x:f>
        <x:v>0</x:v>
      </x:c>
      <x:c r="Q144" s="30" t="n">
        <x:f>IF($A144=0,"",$N144+$O144-$P144)</x:f>
        <x:v>87.09932846336645</x:v>
      </x:c>
      <x:c r="R144" s="30" t="n">
        <x:f>IF($A144=0,"",$G144-$Q144)</x:f>
        <x:v>145.82843762695293</x:v>
      </x:c>
      <x:c r="S144" s="30" t="n">
        <x:f>IF($A144=0,"",SUM($R$17:R144))</x:f>
        <x:v>12755.52624773906</x:v>
      </x:c>
      <x:c r="T144" s="30" t="n">
        <x:f>IF($A144=0,"",$S144-$H144)</x:f>
        <x:v>7296.026247739061</x:v>
      </x:c>
    </x:row>
    <x:row r="145">
      <x:c r="A145" s="40" t="n">
        <x:v>11</x:v>
      </x:c>
      <x:c r="B145" s="40" t="n">
        <x:v>30</x:v>
      </x:c>
      <x:c r="C145" s="40" t="n">
        <x:v>9</x:v>
      </x:c>
      <x:c r="D145" s="31" t="n">
        <x:f>INDEX(Assumptions!$D$24:$D$35,$C145)</x:f>
        <x:v>484.7338669519189</x:v>
      </x:c>
      <x:c r="E145" s="30" t="n">
        <x:f>$D145*Assumptions!$B$11*IF($A145=0,1,(1+Assumptions!$B$14)^($A145-1))</x:f>
        <x:v>206.8107576489046</x:v>
      </x:c>
      <x:c r="F145" s="30" t="n">
        <x:f>$B145*Assumptions!$B$13</x:f>
        <x:v>21</x:v>
      </x:c>
      <x:c r="G145" s="30" t="n">
        <x:f>$E145+$F145</x:f>
        <x:v>227.8107576489046</x:v>
      </x:c>
      <x:c r="H145" s="30" t="n">
        <x:f>IF($A145=0,"",Assumptions!$B$21)</x:f>
        <x:v>5459.5</x:v>
      </x:c>
      <x:c r="I145" s="31" t="n">
        <x:f>IF($A145=0,"",INDEX(Assumptions!$C$24:$C$35,$C145)*IF($A145=0,"",IF($A145=1,1-Assumptions!$B$16,(1-Assumptions!$B$16)*(1-Assumptions!$B$17)^($A145-1))))</x:f>
        <x:v>251.6725953389189</x:v>
      </x:c>
      <x:c r="J145" s="32" t="n">
        <x:f>IF($A145=0,"",IF($I145&gt;0,$K145/$I145,0))</x:f>
        <x:v>1</x:v>
      </x:c>
      <x:c r="K145" s="31" t="n">
        <x:f>IF($A145=0,"",LET(direct,MIN($I145,$D145),surplus,MAX(0,$I145-direct),deficit,MAX(0,$D145-direct),charge,MIN(surplus,Assumptions!$B$10,direct,deficit),direct+charge))</x:f>
        <x:v>251.6725953389189</x:v>
      </x:c>
      <x:c r="L145" s="31" t="n">
        <x:f>IF($A145=0,"",LET(direct,MIN($I145,$D145),surplus,MAX(0,$I145-direct),deficit,MAX(0,$D145-direct),charge,MIN(surplus,Assumptions!$B$10,direct,deficit),surplus-charge))</x:f>
        <x:v>0</x:v>
      </x:c>
      <x:c r="M145" s="31" t="n">
        <x:f>IF($A145=0,"",LET(direct,MIN($I145,$D145),surplus,MAX(0,$I145-direct),deficit,MAX(0,$D145-direct),charge,MIN(surplus,Assumptions!$B$10,direct,deficit),deficit-charge))</x:f>
        <x:v>233.061271613</x:v>
      </x:c>
      <x:c r="N145" s="30" t="n">
        <x:f>IF($A145=0,"",$M145*Assumptions!$B$11*IF($A145=0,1,(1+Assumptions!$B$14)^($A145-1)))</x:f>
        <x:v>99.43513636459532</x:v>
      </x:c>
      <x:c r="O145" s="30" t="n">
        <x:f>IF($A145=0,"",$B145*Assumptions!$B$13)</x:f>
        <x:v>21</x:v>
      </x:c>
      <x:c r="P145" s="30" t="n">
        <x:f>IF($A145=0,"",$L145*Assumptions!$B$12)</x:f>
        <x:v>0</x:v>
      </x:c>
      <x:c r="Q145" s="30" t="n">
        <x:f>IF($A145=0,"",$N145+$O145-$P145)</x:f>
        <x:v>120.43513636459532</x:v>
      </x:c>
      <x:c r="R145" s="30" t="n">
        <x:f>IF($A145=0,"",$G145-$Q145)</x:f>
        <x:v>107.37562128430928</x:v>
      </x:c>
      <x:c r="S145" s="30" t="n">
        <x:f>IF($A145=0,"",SUM($R$17:R145))</x:f>
        <x:v>12862.90186902337</x:v>
      </x:c>
      <x:c r="T145" s="30" t="n">
        <x:f>IF($A145=0,"",$S145-$H145)</x:f>
        <x:v>7403.40186902337</x:v>
      </x:c>
    </x:row>
    <x:row r="146">
      <x:c r="A146" s="40" t="n">
        <x:v>11</x:v>
      </x:c>
      <x:c r="B146" s="40" t="n">
        <x:v>31</x:v>
      </x:c>
      <x:c r="C146" s="40" t="n">
        <x:v>10</x:v>
      </x:c>
      <x:c r="D146" s="31" t="n">
        <x:f>INDEX(Assumptions!$D$24:$D$35,$C146)</x:f>
        <x:v>965.136511636476</x:v>
      </x:c>
      <x:c r="E146" s="30" t="n">
        <x:f>$D146*Assumptions!$B$11*IF($A146=0,1,(1+Assumptions!$B$14)^($A146-1))</x:f>
        <x:v>411.7736077763243</x:v>
      </x:c>
      <x:c r="F146" s="30" t="n">
        <x:f>$B146*Assumptions!$B$13</x:f>
        <x:v>21.7</x:v>
      </x:c>
      <x:c r="G146" s="30" t="n">
        <x:f>$E146+$F146</x:f>
        <x:v>433.4736077763243</x:v>
      </x:c>
      <x:c r="H146" s="30" t="n">
        <x:f>IF($A146=0,"",Assumptions!$B$21)</x:f>
        <x:v>5459.5</x:v>
      </x:c>
      <x:c r="I146" s="31" t="n">
        <x:f>IF($A146=0,"",INDEX(Assumptions!$C$24:$C$35,$C146)*IF($A146=0,"",IF($A146=1,1-Assumptions!$B$16,(1-Assumptions!$B$16)*(1-Assumptions!$B$17)^($A146-1))))</x:f>
        <x:v>176.21109501636494</x:v>
      </x:c>
      <x:c r="J146" s="32" t="n">
        <x:f>IF($A146=0,"",IF($I146&gt;0,$K146/$I146,0))</x:f>
        <x:v>1</x:v>
      </x:c>
      <x:c r="K146" s="31" t="n">
        <x:f>IF($A146=0,"",LET(direct,MIN($I146,$D146),surplus,MAX(0,$I146-direct),deficit,MAX(0,$D146-direct),charge,MIN(surplus,Assumptions!$B$10,direct,deficit),direct+charge))</x:f>
        <x:v>176.21109501636494</x:v>
      </x:c>
      <x:c r="L146" s="31" t="n">
        <x:f>IF($A146=0,"",LET(direct,MIN($I146,$D146),surplus,MAX(0,$I146-direct),deficit,MAX(0,$D146-direct),charge,MIN(surplus,Assumptions!$B$10,direct,deficit),surplus-charge))</x:f>
        <x:v>0</x:v>
      </x:c>
      <x:c r="M146" s="31" t="n">
        <x:f>IF($A146=0,"",LET(direct,MIN($I146,$D146),surplus,MAX(0,$I146-direct),deficit,MAX(0,$D146-direct),charge,MIN(surplus,Assumptions!$B$10,direct,deficit),deficit-charge))</x:f>
        <x:v>788.925416620111</x:v>
      </x:c>
      <x:c r="N146" s="30" t="n">
        <x:f>IF($A146=0,"",$M146*Assumptions!$B$11*IF($A146=0,1,(1+Assumptions!$B$14)^($A146-1)))</x:f>
        <x:v>336.59348822818407</x:v>
      </x:c>
      <x:c r="O146" s="30" t="n">
        <x:f>IF($A146=0,"",$B146*Assumptions!$B$13)</x:f>
        <x:v>21.7</x:v>
      </x:c>
      <x:c r="P146" s="30" t="n">
        <x:f>IF($A146=0,"",$L146*Assumptions!$B$12)</x:f>
        <x:v>0</x:v>
      </x:c>
      <x:c r="Q146" s="30" t="n">
        <x:f>IF($A146=0,"",$N146+$O146-$P146)</x:f>
        <x:v>358.29348822818406</x:v>
      </x:c>
      <x:c r="R146" s="30" t="n">
        <x:f>IF($A146=0,"",$G146-$Q146)</x:f>
        <x:v>75.18011954814023</x:v>
      </x:c>
      <x:c r="S146" s="30" t="n">
        <x:f>IF($A146=0,"",SUM($R$17:R146))</x:f>
        <x:v>12938.08198857151</x:v>
      </x:c>
      <x:c r="T146" s="30" t="n">
        <x:f>IF($A146=0,"",$S146-$H146)</x:f>
        <x:v>7478.58198857151</x:v>
      </x:c>
    </x:row>
    <x:row r="147">
      <x:c r="A147" s="40" t="n">
        <x:v>11</x:v>
      </x:c>
      <x:c r="B147" s="40" t="n">
        <x:v>30</x:v>
      </x:c>
      <x:c r="C147" s="40" t="n">
        <x:v>11</x:v>
      </x:c>
      <x:c r="D147" s="31" t="n">
        <x:f>INDEX(Assumptions!$D$24:$D$35,$C147)</x:f>
        <x:v>948.3553735444794</x:v>
      </x:c>
      <x:c r="E147" s="30" t="n">
        <x:f>$D147*Assumptions!$B$11*IF($A147=0,1,(1+Assumptions!$B$14)^($A147-1))</x:f>
        <x:v>404.61396798296744</x:v>
      </x:c>
      <x:c r="F147" s="30" t="n">
        <x:f>$B147*Assumptions!$B$13</x:f>
        <x:v>21</x:v>
      </x:c>
      <x:c r="G147" s="30" t="n">
        <x:f>$E147+$F147</x:f>
        <x:v>425.61396798296744</x:v>
      </x:c>
      <x:c r="H147" s="30" t="n">
        <x:f>IF($A147=0,"",Assumptions!$B$21)</x:f>
        <x:v>5459.5</x:v>
      </x:c>
      <x:c r="I147" s="31" t="n">
        <x:f>IF($A147=0,"",INDEX(Assumptions!$C$24:$C$35,$C147)*IF($A147=0,"",IF($A147=1,1-Assumptions!$B$16,(1-Assumptions!$B$16)*(1-Assumptions!$B$17)^($A147-1))))</x:f>
        <x:v>104.62384121469204</x:v>
      </x:c>
      <x:c r="J147" s="32" t="n">
        <x:f>IF($A147=0,"",IF($I147&gt;0,$K147/$I147,0))</x:f>
        <x:v>1</x:v>
      </x:c>
      <x:c r="K147" s="31" t="n">
        <x:f>IF($A147=0,"",LET(direct,MIN($I147,$D147),surplus,MAX(0,$I147-direct),deficit,MAX(0,$D147-direct),charge,MIN(surplus,Assumptions!$B$10,direct,deficit),direct+charge))</x:f>
        <x:v>104.62384121469204</x:v>
      </x:c>
      <x:c r="L147" s="31" t="n">
        <x:f>IF($A147=0,"",LET(direct,MIN($I147,$D147),surplus,MAX(0,$I147-direct),deficit,MAX(0,$D147-direct),charge,MIN(surplus,Assumptions!$B$10,direct,deficit),surplus-charge))</x:f>
        <x:v>0</x:v>
      </x:c>
      <x:c r="M147" s="31" t="n">
        <x:f>IF($A147=0,"",LET(direct,MIN($I147,$D147),surplus,MAX(0,$I147-direct),deficit,MAX(0,$D147-direct),charge,MIN(surplus,Assumptions!$B$10,direct,deficit),deficit-charge))</x:f>
        <x:v>843.7315323297875</x:v>
      </x:c>
      <x:c r="N147" s="30" t="n">
        <x:f>IF($A147=0,"",$M147*Assumptions!$B$11*IF($A147=0,1,(1+Assumptions!$B$14)^($A147-1)))</x:f>
        <x:v>359.976410459273</x:v>
      </x:c>
      <x:c r="O147" s="30" t="n">
        <x:f>IF($A147=0,"",$B147*Assumptions!$B$13)</x:f>
        <x:v>21</x:v>
      </x:c>
      <x:c r="P147" s="30" t="n">
        <x:f>IF($A147=0,"",$L147*Assumptions!$B$12)</x:f>
        <x:v>0</x:v>
      </x:c>
      <x:c r="Q147" s="30" t="n">
        <x:f>IF($A147=0,"",$N147+$O147-$P147)</x:f>
        <x:v>380.976410459273</x:v>
      </x:c>
      <x:c r="R147" s="30" t="n">
        <x:f>IF($A147=0,"",$G147-$Q147)</x:f>
        <x:v>44.637557523694454</x:v>
      </x:c>
      <x:c r="S147" s="30" t="n">
        <x:f>IF($A147=0,"",SUM($R$17:R147))</x:f>
        <x:v>12982.719546095204</x:v>
      </x:c>
      <x:c r="T147" s="30" t="n">
        <x:f>IF($A147=0,"",$S147-$H147)</x:f>
        <x:v>7523.219546095204</x:v>
      </x:c>
    </x:row>
    <x:row r="148">
      <x:c r="A148" s="40" t="n">
        <x:v>11</x:v>
      </x:c>
      <x:c r="B148" s="40" t="n">
        <x:v>31</x:v>
      </x:c>
      <x:c r="C148" s="40" t="n">
        <x:v>12</x:v>
      </x:c>
      <x:c r="D148" s="31" t="n">
        <x:f>INDEX(Assumptions!$D$24:$D$35,$C148)</x:f>
        <x:v>928.0413642752205</x:v>
      </x:c>
      <x:c r="E148" s="30" t="n">
        <x:f>$D148*Assumptions!$B$11*IF($A148=0,1,(1+Assumptions!$B$14)^($A148-1))</x:f>
        <x:v>395.9470356015355</x:v>
      </x:c>
      <x:c r="F148" s="30" t="n">
        <x:f>$B148*Assumptions!$B$13</x:f>
        <x:v>21.7</x:v>
      </x:c>
      <x:c r="G148" s="30" t="n">
        <x:f>$E148+$F148</x:f>
        <x:v>417.6470356015355</x:v>
      </x:c>
      <x:c r="H148" s="30" t="n">
        <x:f>IF($A148=0,"",Assumptions!$B$21)</x:f>
        <x:v>5459.5</x:v>
      </x:c>
      <x:c r="I148" s="31" t="n">
        <x:f>IF($A148=0,"",INDEX(Assumptions!$C$24:$C$35,$C148)*IF($A148=0,"",IF($A148=1,1-Assumptions!$B$16,(1-Assumptions!$B$16)*(1-Assumptions!$B$17)^($A148-1))))</x:f>
        <x:v>77.1411623226613</x:v>
      </x:c>
      <x:c r="J148" s="32" t="n">
        <x:f>IF($A148=0,"",IF($I148&gt;0,$K148/$I148,0))</x:f>
        <x:v>1</x:v>
      </x:c>
      <x:c r="K148" s="31" t="n">
        <x:f>IF($A148=0,"",LET(direct,MIN($I148,$D148),surplus,MAX(0,$I148-direct),deficit,MAX(0,$D148-direct),charge,MIN(surplus,Assumptions!$B$10,direct,deficit),direct+charge))</x:f>
        <x:v>77.1411623226613</x:v>
      </x:c>
      <x:c r="L148" s="31" t="n">
        <x:f>IF($A148=0,"",LET(direct,MIN($I148,$D148),surplus,MAX(0,$I148-direct),deficit,MAX(0,$D148-direct),charge,MIN(surplus,Assumptions!$B$10,direct,deficit),surplus-charge))</x:f>
        <x:v>0</x:v>
      </x:c>
      <x:c r="M148" s="31" t="n">
        <x:f>IF($A148=0,"",LET(direct,MIN($I148,$D148),surplus,MAX(0,$I148-direct),deficit,MAX(0,$D148-direct),charge,MIN(surplus,Assumptions!$B$10,direct,deficit),deficit-charge))</x:f>
        <x:v>850.9002019525592</x:v>
      </x:c>
      <x:c r="N148" s="30" t="n">
        <x:f>IF($A148=0,"",$M148*Assumptions!$B$11*IF($A148=0,1,(1+Assumptions!$B$14)^($A148-1)))</x:f>
        <x:v>363.0349093534036</x:v>
      </x:c>
      <x:c r="O148" s="30" t="n">
        <x:f>IF($A148=0,"",$B148*Assumptions!$B$13)</x:f>
        <x:v>21.7</x:v>
      </x:c>
      <x:c r="P148" s="30" t="n">
        <x:f>IF($A148=0,"",$L148*Assumptions!$B$12)</x:f>
        <x:v>0</x:v>
      </x:c>
      <x:c r="Q148" s="30" t="n">
        <x:f>IF($A148=0,"",$N148+$O148-$P148)</x:f>
        <x:v>384.73490935340357</x:v>
      </x:c>
      <x:c r="R148" s="30" t="n">
        <x:f>IF($A148=0,"",$G148-$Q148)</x:f>
        <x:v>32.912126248131926</x:v>
      </x:c>
      <x:c r="S148" s="30" t="n">
        <x:f>IF($A148=0,"",SUM($R$17:R148))</x:f>
        <x:v>13015.631672343336</x:v>
      </x:c>
      <x:c r="T148" s="30" t="n">
        <x:f>IF($A148=0,"",$S148-$H148)</x:f>
        <x:v>7556.131672343336</x:v>
      </x:c>
    </x:row>
    <x:row r="149">
      <x:c r="A149" s="40" t="n">
        <x:v>12</x:v>
      </x:c>
      <x:c r="B149" s="40" t="n">
        <x:v>31</x:v>
      </x:c>
      <x:c r="C149" s="40" t="n">
        <x:v>1</x:v>
      </x:c>
      <x:c r="D149" s="31" t="n">
        <x:f>INDEX(Assumptions!$D$24:$D$35,$C149)</x:f>
        <x:v>921.8588397150115</x:v>
      </x:c>
      <x:c r="E149" s="30" t="n">
        <x:f>$D149*Assumptions!$B$11*IF($A149=0,1,(1+Assumptions!$B$14)^($A149-1))</x:f>
        <x:v>401.17545904385224</x:v>
      </x:c>
      <x:c r="F149" s="30" t="n">
        <x:f>$B149*Assumptions!$B$13</x:f>
        <x:v>21.7</x:v>
      </x:c>
      <x:c r="G149" s="30" t="n">
        <x:f>$E149+$F149</x:f>
        <x:v>422.87545904385223</x:v>
      </x:c>
      <x:c r="H149" s="30" t="n">
        <x:f>IF($A149=0,"",Assumptions!$B$21)</x:f>
        <x:v>5459.5</x:v>
      </x:c>
      <x:c r="I149" s="31" t="n">
        <x:f>IF($A149=0,"",INDEX(Assumptions!$C$24:$C$35,$C149)*IF($A149=0,"",IF($A149=1,1-Assumptions!$B$16,(1-Assumptions!$B$16)*(1-Assumptions!$B$17)^($A149-1))))</x:f>
        <x:v>93.5250806156098</x:v>
      </x:c>
      <x:c r="J149" s="32" t="n">
        <x:f>IF($A149=0,"",IF($I149&gt;0,$K149/$I149,0))</x:f>
        <x:v>1</x:v>
      </x:c>
      <x:c r="K149" s="31" t="n">
        <x:f>IF($A149=0,"",LET(direct,MIN($I149,$D149),surplus,MAX(0,$I149-direct),deficit,MAX(0,$D149-direct),charge,MIN(surplus,Assumptions!$B$10,direct,deficit),direct+charge))</x:f>
        <x:v>93.5250806156098</x:v>
      </x:c>
      <x:c r="L149" s="31" t="n">
        <x:f>IF($A149=0,"",LET(direct,MIN($I149,$D149),surplus,MAX(0,$I149-direct),deficit,MAX(0,$D149-direct),charge,MIN(surplus,Assumptions!$B$10,direct,deficit),surplus-charge))</x:f>
        <x:v>0</x:v>
      </x:c>
      <x:c r="M149" s="31" t="n">
        <x:f>IF($A149=0,"",LET(direct,MIN($I149,$D149),surplus,MAX(0,$I149-direct),deficit,MAX(0,$D149-direct),charge,MIN(surplus,Assumptions!$B$10,direct,deficit),deficit-charge))</x:f>
        <x:v>828.3337590994017</x:v>
      </x:c>
      <x:c r="N149" s="30" t="n">
        <x:f>IF($A149=0,"",$M149*Assumptions!$B$11*IF($A149=0,1,(1+Assumptions!$B$14)^($A149-1)))</x:f>
        <x:v>360.47512019405644</x:v>
      </x:c>
      <x:c r="O149" s="30" t="n">
        <x:f>IF($A149=0,"",$B149*Assumptions!$B$13)</x:f>
        <x:v>21.7</x:v>
      </x:c>
      <x:c r="P149" s="30" t="n">
        <x:f>IF($A149=0,"",$L149*Assumptions!$B$12)</x:f>
        <x:v>0</x:v>
      </x:c>
      <x:c r="Q149" s="30" t="n">
        <x:f>IF($A149=0,"",$N149+$O149-$P149)</x:f>
        <x:v>382.17512019405643</x:v>
      </x:c>
      <x:c r="R149" s="30" t="n">
        <x:f>IF($A149=0,"",$G149-$Q149)</x:f>
        <x:v>40.7003388497958</x:v>
      </x:c>
      <x:c r="S149" s="30" t="n">
        <x:f>IF($A149=0,"",SUM($R$17:R149))</x:f>
        <x:v>13056.332011193132</x:v>
      </x:c>
      <x:c r="T149" s="30" t="n">
        <x:f>IF($A149=0,"",$S149-$H149)</x:f>
        <x:v>7596.832011193132</x:v>
      </x:c>
    </x:row>
    <x:row r="150">
      <x:c r="A150" s="40" t="n">
        <x:v>12</x:v>
      </x:c>
      <x:c r="B150" s="40" t="n">
        <x:v>28</x:v>
      </x:c>
      <x:c r="C150" s="40" t="n">
        <x:v>2</x:v>
      </x:c>
      <x:c r="D150" s="31" t="n">
        <x:f>INDEX(Assumptions!$D$24:$D$35,$C150)</x:f>
        <x:v>923.6252753036425</x:v>
      </x:c>
      <x:c r="E150" s="30" t="n">
        <x:f>$D150*Assumptions!$B$11*IF($A150=0,1,(1+Assumptions!$B$14)^($A150-1))</x:f>
        <x:v>401.9441782637704</x:v>
      </x:c>
      <x:c r="F150" s="30" t="n">
        <x:f>$B150*Assumptions!$B$13</x:f>
        <x:v>19.599999999999998</x:v>
      </x:c>
      <x:c r="G150" s="30" t="n">
        <x:f>$E150+$F150</x:f>
        <x:v>421.54417826377045</x:v>
      </x:c>
      <x:c r="H150" s="30" t="n">
        <x:f>IF($A150=0,"",Assumptions!$B$21)</x:f>
        <x:v>5459.5</x:v>
      </x:c>
      <x:c r="I150" s="31" t="n">
        <x:f>IF($A150=0,"",INDEX(Assumptions!$C$24:$C$35,$C150)*IF($A150=0,"",IF($A150=1,1-Assumptions!$B$16,(1-Assumptions!$B$16)*(1-Assumptions!$B$17)^($A150-1))))</x:f>
        <x:v>147.85524618691096</x:v>
      </x:c>
      <x:c r="J150" s="32" t="n">
        <x:f>IF($A150=0,"",IF($I150&gt;0,$K150/$I150,0))</x:f>
        <x:v>1</x:v>
      </x:c>
      <x:c r="K150" s="31" t="n">
        <x:f>IF($A150=0,"",LET(direct,MIN($I150,$D150),surplus,MAX(0,$I150-direct),deficit,MAX(0,$D150-direct),charge,MIN(surplus,Assumptions!$B$10,direct,deficit),direct+charge))</x:f>
        <x:v>147.85524618691096</x:v>
      </x:c>
      <x:c r="L150" s="31" t="n">
        <x:f>IF($A150=0,"",LET(direct,MIN($I150,$D150),surplus,MAX(0,$I150-direct),deficit,MAX(0,$D150-direct),charge,MIN(surplus,Assumptions!$B$10,direct,deficit),surplus-charge))</x:f>
        <x:v>0</x:v>
      </x:c>
      <x:c r="M150" s="31" t="n">
        <x:f>IF($A150=0,"",LET(direct,MIN($I150,$D150),surplus,MAX(0,$I150-direct),deficit,MAX(0,$D150-direct),charge,MIN(surplus,Assumptions!$B$10,direct,deficit),deficit-charge))</x:f>
        <x:v>775.7700291167316</x:v>
      </x:c>
      <x:c r="N150" s="30" t="n">
        <x:f>IF($A150=0,"",$M150*Assumptions!$B$11*IF($A150=0,1,(1+Assumptions!$B$14)^($A150-1)))</x:f>
        <x:v>337.60038319921046</x:v>
      </x:c>
      <x:c r="O150" s="30" t="n">
        <x:f>IF($A150=0,"",$B150*Assumptions!$B$13)</x:f>
        <x:v>19.599999999999998</x:v>
      </x:c>
      <x:c r="P150" s="30" t="n">
        <x:f>IF($A150=0,"",$L150*Assumptions!$B$12)</x:f>
        <x:v>0</x:v>
      </x:c>
      <x:c r="Q150" s="30" t="n">
        <x:f>IF($A150=0,"",$N150+$O150-$P150)</x:f>
        <x:v>357.2003831992105</x:v>
      </x:c>
      <x:c r="R150" s="30" t="n">
        <x:f>IF($A150=0,"",$G150-$Q150)</x:f>
        <x:v>64.34379506455997</x:v>
      </x:c>
      <x:c r="S150" s="30" t="n">
        <x:f>IF($A150=0,"",SUM($R$17:R150))</x:f>
        <x:v>13120.675806257692</x:v>
      </x:c>
      <x:c r="T150" s="30" t="n">
        <x:f>IF($A150=0,"",$S150-$H150)</x:f>
        <x:v>7661.175806257692</x:v>
      </x:c>
    </x:row>
    <x:row r="151">
      <x:c r="A151" s="40" t="n">
        <x:v>12</x:v>
      </x:c>
      <x:c r="B151" s="40" t="n">
        <x:v>31</x:v>
      </x:c>
      <x:c r="C151" s="40" t="n">
        <x:v>3</x:v>
      </x:c>
      <x:c r="D151" s="31" t="n">
        <x:f>INDEX(Assumptions!$D$24:$D$35,$C151)</x:f>
        <x:v>907.7273550059616</x:v>
      </x:c>
      <x:c r="E151" s="30" t="n">
        <x:f>$D151*Assumptions!$B$11*IF($A151=0,1,(1+Assumptions!$B$14)^($A151-1))</x:f>
        <x:v>395.02570528450565</x:v>
      </x:c>
      <x:c r="F151" s="30" t="n">
        <x:f>$B151*Assumptions!$B$13</x:f>
        <x:v>21.7</x:v>
      </x:c>
      <x:c r="G151" s="30" t="n">
        <x:f>$E151+$F151</x:f>
        <x:v>416.72570528450564</x:v>
      </x:c>
      <x:c r="H151" s="30" t="n">
        <x:f>IF($A151=0,"",Assumptions!$B$21)</x:f>
        <x:v>5459.5</x:v>
      </x:c>
      <x:c r="I151" s="31" t="n">
        <x:f>IF($A151=0,"",INDEX(Assumptions!$C$24:$C$35,$C151)*IF($A151=0,"",IF($A151=1,1-Assumptions!$B$16,(1-Assumptions!$B$16)*(1-Assumptions!$B$17)^($A151-1))))</x:f>
        <x:v>260.9959214659657</x:v>
      </x:c>
      <x:c r="J151" s="32" t="n">
        <x:f>IF($A151=0,"",IF($I151&gt;0,$K151/$I151,0))</x:f>
        <x:v>1</x:v>
      </x:c>
      <x:c r="K151" s="31" t="n">
        <x:f>IF($A151=0,"",LET(direct,MIN($I151,$D151),surplus,MAX(0,$I151-direct),deficit,MAX(0,$D151-direct),charge,MIN(surplus,Assumptions!$B$10,direct,deficit),direct+charge))</x:f>
        <x:v>260.9959214659657</x:v>
      </x:c>
      <x:c r="L151" s="31" t="n">
        <x:f>IF($A151=0,"",LET(direct,MIN($I151,$D151),surplus,MAX(0,$I151-direct),deficit,MAX(0,$D151-direct),charge,MIN(surplus,Assumptions!$B$10,direct,deficit),surplus-charge))</x:f>
        <x:v>0</x:v>
      </x:c>
      <x:c r="M151" s="31" t="n">
        <x:f>IF($A151=0,"",LET(direct,MIN($I151,$D151),surplus,MAX(0,$I151-direct),deficit,MAX(0,$D151-direct),charge,MIN(surplus,Assumptions!$B$10,direct,deficit),deficit-charge))</x:f>
        <x:v>646.7314335399959</x:v>
      </x:c>
      <x:c r="N151" s="30" t="n">
        <x:f>IF($A151=0,"",$M151*Assumptions!$B$11*IF($A151=0,1,(1+Assumptions!$B$14)^($A151-1)))</x:f>
        <x:v>281.4452371132061</x:v>
      </x:c>
      <x:c r="O151" s="30" t="n">
        <x:f>IF($A151=0,"",$B151*Assumptions!$B$13)</x:f>
        <x:v>21.7</x:v>
      </x:c>
      <x:c r="P151" s="30" t="n">
        <x:f>IF($A151=0,"",$L151*Assumptions!$B$12)</x:f>
        <x:v>0</x:v>
      </x:c>
      <x:c r="Q151" s="30" t="n">
        <x:f>IF($A151=0,"",$N151+$O151-$P151)</x:f>
        <x:v>303.14523711320606</x:v>
      </x:c>
      <x:c r="R151" s="30" t="n">
        <x:f>IF($A151=0,"",$G151-$Q151)</x:f>
        <x:v>113.58046817129957</x:v>
      </x:c>
      <x:c r="S151" s="30" t="n">
        <x:f>IF($A151=0,"",SUM($R$17:R151))</x:f>
        <x:v>13234.256274428992</x:v>
      </x:c>
      <x:c r="T151" s="30" t="n">
        <x:f>IF($A151=0,"",$S151-$H151)</x:f>
        <x:v>7774.756274428992</x:v>
      </x:c>
    </x:row>
    <x:row r="152">
      <x:c r="A152" s="40" t="n">
        <x:v>12</x:v>
      </x:c>
      <x:c r="B152" s="40" t="n">
        <x:v>30</x:v>
      </x:c>
      <x:c r="C152" s="40" t="n">
        <x:v>4</x:v>
      </x:c>
      <x:c r="D152" s="31" t="n">
        <x:f>INDEX(Assumptions!$D$24:$D$35,$C152)</x:f>
        <x:v>951.0050269274262</x:v>
      </x:c>
      <x:c r="E152" s="30" t="n">
        <x:f>$D152*Assumptions!$B$11*IF($A152=0,1,(1+Assumptions!$B$14)^($A152-1))</x:f>
        <x:v>413.8593261725042</x:v>
      </x:c>
      <x:c r="F152" s="30" t="n">
        <x:f>$B152*Assumptions!$B$13</x:f>
        <x:v>21</x:v>
      </x:c>
      <x:c r="G152" s="30" t="n">
        <x:f>$E152+$F152</x:f>
        <x:v>434.8593261725042</x:v>
      </x:c>
      <x:c r="H152" s="30" t="n">
        <x:f>IF($A152=0,"",Assumptions!$B$21)</x:f>
        <x:v>5459.5</x:v>
      </x:c>
      <x:c r="I152" s="31" t="n">
        <x:f>IF($A152=0,"",INDEX(Assumptions!$C$24:$C$35,$C152)*IF($A152=0,"",IF($A152=1,1-Assumptions!$B$16,(1-Assumptions!$B$16)*(1-Assumptions!$B$17)^($A152-1))))</x:f>
        <x:v>347.56781544190903</x:v>
      </x:c>
      <x:c r="J152" s="32" t="n">
        <x:f>IF($A152=0,"",IF($I152&gt;0,$K152/$I152,0))</x:f>
        <x:v>1</x:v>
      </x:c>
      <x:c r="K152" s="31" t="n">
        <x:f>IF($A152=0,"",LET(direct,MIN($I152,$D152),surplus,MAX(0,$I152-direct),deficit,MAX(0,$D152-direct),charge,MIN(surplus,Assumptions!$B$10,direct,deficit),direct+charge))</x:f>
        <x:v>347.56781544190903</x:v>
      </x:c>
      <x:c r="L152" s="31" t="n">
        <x:f>IF($A152=0,"",LET(direct,MIN($I152,$D152),surplus,MAX(0,$I152-direct),deficit,MAX(0,$D152-direct),charge,MIN(surplus,Assumptions!$B$10,direct,deficit),surplus-charge))</x:f>
        <x:v>0</x:v>
      </x:c>
      <x:c r="M152" s="31" t="n">
        <x:f>IF($A152=0,"",LET(direct,MIN($I152,$D152),surplus,MAX(0,$I152-direct),deficit,MAX(0,$D152-direct),charge,MIN(surplus,Assumptions!$B$10,direct,deficit),deficit-charge))</x:f>
        <x:v>603.4372114855172</x:v>
      </x:c>
      <x:c r="N152" s="30" t="n">
        <x:f>IF($A152=0,"",$M152*Assumptions!$B$11*IF($A152=0,1,(1+Assumptions!$B$14)^($A152-1)))</x:f>
        <x:v>262.6044139216409</x:v>
      </x:c>
      <x:c r="O152" s="30" t="n">
        <x:f>IF($A152=0,"",$B152*Assumptions!$B$13)</x:f>
        <x:v>21</x:v>
      </x:c>
      <x:c r="P152" s="30" t="n">
        <x:f>IF($A152=0,"",$L152*Assumptions!$B$12)</x:f>
        <x:v>0</x:v>
      </x:c>
      <x:c r="Q152" s="30" t="n">
        <x:f>IF($A152=0,"",$N152+$O152-$P152)</x:f>
        <x:v>283.6044139216409</x:v>
      </x:c>
      <x:c r="R152" s="30" t="n">
        <x:f>IF($A152=0,"",$G152-$Q152)</x:f>
        <x:v>151.2549122508633</x:v>
      </x:c>
      <x:c r="S152" s="30" t="n">
        <x:f>IF($A152=0,"",SUM($R$17:R152))</x:f>
        <x:v>13385.511186679854</x:v>
      </x:c>
      <x:c r="T152" s="30" t="n">
        <x:f>IF($A152=0,"",$S152-$H152)</x:f>
        <x:v>7926.011186679854</x:v>
      </x:c>
    </x:row>
    <x:row r="153">
      <x:c r="A153" s="40" t="n">
        <x:v>12</x:v>
      </x:c>
      <x:c r="B153" s="40" t="n">
        <x:v>31</x:v>
      </x:c>
      <x:c r="C153" s="40" t="n">
        <x:v>5</x:v>
      </x:c>
      <x:c r="D153" s="31" t="n">
        <x:f>INDEX(Assumptions!$D$24:$D$35,$C153)</x:f>
        <x:v>480.47094299256736</x:v>
      </x:c>
      <x:c r="E153" s="30" t="n">
        <x:f>$D153*Assumptions!$B$11*IF($A153=0,1,(1+Assumptions!$B$14)^($A153-1))</x:f>
        <x:v>209.09182925648847</x:v>
      </x:c>
      <x:c r="F153" s="30" t="n">
        <x:f>$B153*Assumptions!$B$13</x:f>
        <x:v>21.7</x:v>
      </x:c>
      <x:c r="G153" s="30" t="n">
        <x:f>$E153+$F153</x:f>
        <x:v>230.79182925648846</x:v>
      </x:c>
      <x:c r="H153" s="30" t="n">
        <x:f>IF($A153=0,"",Assumptions!$B$21)</x:f>
        <x:v>5459.5</x:v>
      </x:c>
      <x:c r="I153" s="31" t="n">
        <x:f>IF($A153=0,"",INDEX(Assumptions!$C$24:$C$35,$C153)*IF($A153=0,"",IF($A153=1,1-Assumptions!$B$16,(1-Assumptions!$B$16)*(1-Assumptions!$B$17)^($A153-1))))</x:f>
        <x:v>385.0702469981201</x:v>
      </x:c>
      <x:c r="J153" s="32" t="n">
        <x:f>IF($A153=0,"",IF($I153&gt;0,$K153/$I153,0))</x:f>
        <x:v>1</x:v>
      </x:c>
      <x:c r="K153" s="31" t="n">
        <x:f>IF($A153=0,"",LET(direct,MIN($I153,$D153),surplus,MAX(0,$I153-direct),deficit,MAX(0,$D153-direct),charge,MIN(surplus,Assumptions!$B$10,direct,deficit),direct+charge))</x:f>
        <x:v>385.0702469981201</x:v>
      </x:c>
      <x:c r="L153" s="31" t="n">
        <x:f>IF($A153=0,"",LET(direct,MIN($I153,$D153),surplus,MAX(0,$I153-direct),deficit,MAX(0,$D153-direct),charge,MIN(surplus,Assumptions!$B$10,direct,deficit),surplus-charge))</x:f>
        <x:v>0</x:v>
      </x:c>
      <x:c r="M153" s="31" t="n">
        <x:f>IF($A153=0,"",LET(direct,MIN($I153,$D153),surplus,MAX(0,$I153-direct),deficit,MAX(0,$D153-direct),charge,MIN(surplus,Assumptions!$B$10,direct,deficit),deficit-charge))</x:f>
        <x:v>95.40069599444723</x:v>
      </x:c>
      <x:c r="N153" s="30" t="n">
        <x:f>IF($A153=0,"",$M153*Assumptions!$B$11*IF($A153=0,1,(1+Assumptions!$B$14)^($A153-1)))</x:f>
        <x:v>41.51657104086251</x:v>
      </x:c>
      <x:c r="O153" s="30" t="n">
        <x:f>IF($A153=0,"",$B153*Assumptions!$B$13)</x:f>
        <x:v>21.7</x:v>
      </x:c>
      <x:c r="P153" s="30" t="n">
        <x:f>IF($A153=0,"",$L153*Assumptions!$B$12)</x:f>
        <x:v>0</x:v>
      </x:c>
      <x:c r="Q153" s="30" t="n">
        <x:f>IF($A153=0,"",$N153+$O153-$P153)</x:f>
        <x:v>63.216571040862505</x:v>
      </x:c>
      <x:c r="R153" s="30" t="n">
        <x:f>IF($A153=0,"",$G153-$Q153)</x:f>
        <x:v>167.57525821562595</x:v>
      </x:c>
      <x:c r="S153" s="30" t="n">
        <x:f>IF($A153=0,"",SUM($R$17:R153))</x:f>
        <x:v>13553.08644489548</x:v>
      </x:c>
      <x:c r="T153" s="30" t="n">
        <x:f>IF($A153=0,"",$S153-$H153)</x:f>
        <x:v>8093.58644489548</x:v>
      </x:c>
    </x:row>
    <x:row r="154">
      <x:c r="A154" s="40" t="n">
        <x:v>12</x:v>
      </x:c>
      <x:c r="B154" s="40" t="n">
        <x:v>30</x:v>
      </x:c>
      <x:c r="C154" s="40" t="n">
        <x:v>6</x:v>
      </x:c>
      <x:c r="D154" s="31" t="n">
        <x:f>INDEX(Assumptions!$D$24:$D$35,$C154)</x:f>
        <x:v>491.73724202799656</x:v>
      </x:c>
      <x:c r="E154" s="30" t="n">
        <x:f>$D154*Assumptions!$B$11*IF($A154=0,1,(1+Assumptions!$B$14)^($A154-1))</x:f>
        <x:v>213.9947086264589</x:v>
      </x:c>
      <x:c r="F154" s="30" t="n">
        <x:f>$B154*Assumptions!$B$13</x:f>
        <x:v>21</x:v>
      </x:c>
      <x:c r="G154" s="30" t="n">
        <x:f>$E154+$F154</x:f>
        <x:v>234.9947086264589</x:v>
      </x:c>
      <x:c r="H154" s="30" t="n">
        <x:f>IF($A154=0,"",Assumptions!$B$21)</x:f>
        <x:v>5459.5</x:v>
      </x:c>
      <x:c r="I154" s="31" t="n">
        <x:f>IF($A154=0,"",INDEX(Assumptions!$C$24:$C$35,$C154)*IF($A154=0,"",IF($A154=1,1-Assumptions!$B$16,(1-Assumptions!$B$16)*(1-Assumptions!$B$17)^($A154-1))))</x:f>
        <x:v>394.8530650165127</x:v>
      </x:c>
      <x:c r="J154" s="32" t="n">
        <x:f>IF($A154=0,"",IF($I154&gt;0,$K154/$I154,0))</x:f>
        <x:v>1</x:v>
      </x:c>
      <x:c r="K154" s="31" t="n">
        <x:f>IF($A154=0,"",LET(direct,MIN($I154,$D154),surplus,MAX(0,$I154-direct),deficit,MAX(0,$D154-direct),charge,MIN(surplus,Assumptions!$B$10,direct,deficit),direct+charge))</x:f>
        <x:v>394.8530650165127</x:v>
      </x:c>
      <x:c r="L154" s="31" t="n">
        <x:f>IF($A154=0,"",LET(direct,MIN($I154,$D154),surplus,MAX(0,$I154-direct),deficit,MAX(0,$D154-direct),charge,MIN(surplus,Assumptions!$B$10,direct,deficit),surplus-charge))</x:f>
        <x:v>0</x:v>
      </x:c>
      <x:c r="M154" s="31" t="n">
        <x:f>IF($A154=0,"",LET(direct,MIN($I154,$D154),surplus,MAX(0,$I154-direct),deficit,MAX(0,$D154-direct),charge,MIN(surplus,Assumptions!$B$10,direct,deficit),deficit-charge))</x:f>
        <x:v>96.88417701148387</x:v>
      </x:c>
      <x:c r="N154" s="30" t="n">
        <x:f>IF($A154=0,"",$M154*Assumptions!$B$11*IF($A154=0,1,(1+Assumptions!$B$14)^($A154-1)))</x:f>
        <x:v>42.16215380511359</x:v>
      </x:c>
      <x:c r="O154" s="30" t="n">
        <x:f>IF($A154=0,"",$B154*Assumptions!$B$13)</x:f>
        <x:v>21</x:v>
      </x:c>
      <x:c r="P154" s="30" t="n">
        <x:f>IF($A154=0,"",$L154*Assumptions!$B$12)</x:f>
        <x:v>0</x:v>
      </x:c>
      <x:c r="Q154" s="30" t="n">
        <x:f>IF($A154=0,"",$N154+$O154-$P154)</x:f>
        <x:v>63.16215380511359</x:v>
      </x:c>
      <x:c r="R154" s="30" t="n">
        <x:f>IF($A154=0,"",$G154-$Q154)</x:f>
        <x:v>171.8325548213453</x:v>
      </x:c>
      <x:c r="S154" s="30" t="n">
        <x:f>IF($A154=0,"",SUM($R$17:R154))</x:f>
        <x:v>13724.918999716825</x:v>
      </x:c>
      <x:c r="T154" s="30" t="n">
        <x:f>IF($A154=0,"",$S154-$H154)</x:f>
        <x:v>8265.418999716825</x:v>
      </x:c>
    </x:row>
    <x:row r="155">
      <x:c r="A155" s="40" t="n">
        <x:v>12</x:v>
      </x:c>
      <x:c r="B155" s="40" t="n">
        <x:v>31</x:v>
      </x:c>
      <x:c r="C155" s="40" t="n">
        <x:v>7</x:v>
      </x:c>
      <x:c r="D155" s="31" t="n">
        <x:f>INDEX(Assumptions!$D$24:$D$35,$C155)</x:f>
        <x:v>504.2215193375261</x:v>
      </x:c>
      <x:c r="E155" s="30" t="n">
        <x:f>$D155*Assumptions!$B$11*IF($A155=0,1,(1+Assumptions!$B$14)^($A155-1))</x:f>
        <x:v>219.42762900939908</x:v>
      </x:c>
      <x:c r="F155" s="30" t="n">
        <x:f>$B155*Assumptions!$B$13</x:f>
        <x:v>21.7</x:v>
      </x:c>
      <x:c r="G155" s="30" t="n">
        <x:f>$E155+$F155</x:f>
        <x:v>241.12762900939907</x:v>
      </x:c>
      <x:c r="H155" s="30" t="n">
        <x:f>IF($A155=0,"",Assumptions!$B$21)</x:f>
        <x:v>5459.5</x:v>
      </x:c>
      <x:c r="I155" s="31" t="n">
        <x:f>IF($A155=0,"",INDEX(Assumptions!$C$24:$C$35,$C155)*IF($A155=0,"",IF($A155=1,1-Assumptions!$B$16,(1-Assumptions!$B$16)*(1-Assumptions!$B$17)^($A155-1))))</x:f>
        <x:v>407.99654381210536</x:v>
      </x:c>
      <x:c r="J155" s="32" t="n">
        <x:f>IF($A155=0,"",IF($I155&gt;0,$K155/$I155,0))</x:f>
        <x:v>1</x:v>
      </x:c>
      <x:c r="K155" s="31" t="n">
        <x:f>IF($A155=0,"",LET(direct,MIN($I155,$D155),surplus,MAX(0,$I155-direct),deficit,MAX(0,$D155-direct),charge,MIN(surplus,Assumptions!$B$10,direct,deficit),direct+charge))</x:f>
        <x:v>407.99654381210536</x:v>
      </x:c>
      <x:c r="L155" s="31" t="n">
        <x:f>IF($A155=0,"",LET(direct,MIN($I155,$D155),surplus,MAX(0,$I155-direct),deficit,MAX(0,$D155-direct),charge,MIN(surplus,Assumptions!$B$10,direct,deficit),surplus-charge))</x:f>
        <x:v>0</x:v>
      </x:c>
      <x:c r="M155" s="31" t="n">
        <x:f>IF($A155=0,"",LET(direct,MIN($I155,$D155),surplus,MAX(0,$I155-direct),deficit,MAX(0,$D155-direct),charge,MIN(surplus,Assumptions!$B$10,direct,deficit),deficit-charge))</x:f>
        <x:v>96.22497552542075</x:v>
      </x:c>
      <x:c r="N155" s="30" t="n">
        <x:f>IF($A155=0,"",$M155*Assumptions!$B$11*IF($A155=0,1,(1+Assumptions!$B$14)^($A155-1)))</x:f>
        <x:v>41.87528183797433</x:v>
      </x:c>
      <x:c r="O155" s="30" t="n">
        <x:f>IF($A155=0,"",$B155*Assumptions!$B$13)</x:f>
        <x:v>21.7</x:v>
      </x:c>
      <x:c r="P155" s="30" t="n">
        <x:f>IF($A155=0,"",$L155*Assumptions!$B$12)</x:f>
        <x:v>0</x:v>
      </x:c>
      <x:c r="Q155" s="30" t="n">
        <x:f>IF($A155=0,"",$N155+$O155-$P155)</x:f>
        <x:v>63.57528183797433</x:v>
      </x:c>
      <x:c r="R155" s="30" t="n">
        <x:f>IF($A155=0,"",$G155-$Q155)</x:f>
        <x:v>177.55234717142474</x:v>
      </x:c>
      <x:c r="S155" s="30" t="n">
        <x:f>IF($A155=0,"",SUM($R$17:R155))</x:f>
        <x:v>13902.47134688825</x:v>
      </x:c>
      <x:c r="T155" s="30" t="n">
        <x:f>IF($A155=0,"",$S155-$H155)</x:f>
        <x:v>8442.97134688825</x:v>
      </x:c>
    </x:row>
    <x:row r="156">
      <x:c r="A156" s="40" t="n">
        <x:v>12</x:v>
      </x:c>
      <x:c r="B156" s="40" t="n">
        <x:v>31</x:v>
      </x:c>
      <x:c r="C156" s="40" t="n">
        <x:v>8</x:v>
      </x:c>
      <x:c r="D156" s="31" t="n">
        <x:f>INDEX(Assumptions!$D$24:$D$35,$C156)</x:f>
        <x:v>495.0866822817727</x:v>
      </x:c>
      <x:c r="E156" s="30" t="n">
        <x:f>$D156*Assumptions!$B$11*IF($A156=0,1,(1+Assumptions!$B$14)^($A156-1))</x:f>
        <x:v>215.45232141212577</x:v>
      </x:c>
      <x:c r="F156" s="30" t="n">
        <x:f>$B156*Assumptions!$B$13</x:f>
        <x:v>21.7</x:v>
      </x:c>
      <x:c r="G156" s="30" t="n">
        <x:f>$E156+$F156</x:f>
        <x:v>237.15232141212576</x:v>
      </x:c>
      <x:c r="H156" s="30" t="n">
        <x:f>IF($A156=0,"",Assumptions!$B$21)</x:f>
        <x:v>5459.5</x:v>
      </x:c>
      <x:c r="I156" s="31" t="n">
        <x:f>IF($A156=0,"",INDEX(Assumptions!$C$24:$C$35,$C156)*IF($A156=0,"",IF($A156=1,1-Assumptions!$B$16,(1-Assumptions!$B$16)*(1-Assumptions!$B$17)^($A156-1))))</x:f>
        <x:v>340.4331155348516</x:v>
      </x:c>
      <x:c r="J156" s="32" t="n">
        <x:f>IF($A156=0,"",IF($I156&gt;0,$K156/$I156,0))</x:f>
        <x:v>1</x:v>
      </x:c>
      <x:c r="K156" s="31" t="n">
        <x:f>IF($A156=0,"",LET(direct,MIN($I156,$D156),surplus,MAX(0,$I156-direct),deficit,MAX(0,$D156-direct),charge,MIN(surplus,Assumptions!$B$10,direct,deficit),direct+charge))</x:f>
        <x:v>340.4331155348516</x:v>
      </x:c>
      <x:c r="L156" s="31" t="n">
        <x:f>IF($A156=0,"",LET(direct,MIN($I156,$D156),surplus,MAX(0,$I156-direct),deficit,MAX(0,$D156-direct),charge,MIN(surplus,Assumptions!$B$10,direct,deficit),surplus-charge))</x:f>
        <x:v>0</x:v>
      </x:c>
      <x:c r="M156" s="31" t="n">
        <x:f>IF($A156=0,"",LET(direct,MIN($I156,$D156),surplus,MAX(0,$I156-direct),deficit,MAX(0,$D156-direct),charge,MIN(surplus,Assumptions!$B$10,direct,deficit),deficit-charge))</x:f>
        <x:v>154.65356674692111</x:v>
      </x:c>
      <x:c r="N156" s="30" t="n">
        <x:f>IF($A156=0,"",$M156*Assumptions!$B$11*IF($A156=0,1,(1+Assumptions!$B$14)^($A156-1)))</x:f>
        <x:v>67.30229505815174</x:v>
      </x:c>
      <x:c r="O156" s="30" t="n">
        <x:f>IF($A156=0,"",$B156*Assumptions!$B$13)</x:f>
        <x:v>21.7</x:v>
      </x:c>
      <x:c r="P156" s="30" t="n">
        <x:f>IF($A156=0,"",$L156*Assumptions!$B$12)</x:f>
        <x:v>0</x:v>
      </x:c>
      <x:c r="Q156" s="30" t="n">
        <x:f>IF($A156=0,"",$N156+$O156-$P156)</x:f>
        <x:v>89.00229505815174</x:v>
      </x:c>
      <x:c r="R156" s="30" t="n">
        <x:f>IF($A156=0,"",$G156-$Q156)</x:f>
        <x:v>148.150026353974</x:v>
      </x:c>
      <x:c r="S156" s="30" t="n">
        <x:f>IF($A156=0,"",SUM($R$17:R156))</x:f>
        <x:v>14050.621373242224</x:v>
      </x:c>
      <x:c r="T156" s="30" t="n">
        <x:f>IF($A156=0,"",$S156-$H156)</x:f>
        <x:v>8591.121373242224</x:v>
      </x:c>
    </x:row>
    <x:row r="157">
      <x:c r="A157" s="40" t="n">
        <x:v>12</x:v>
      </x:c>
      <x:c r="B157" s="40" t="n">
        <x:v>30</x:v>
      </x:c>
      <x:c r="C157" s="40" t="n">
        <x:v>9</x:v>
      </x:c>
      <x:c r="D157" s="31" t="n">
        <x:f>INDEX(Assumptions!$D$24:$D$35,$C157)</x:f>
        <x:v>484.7338669519189</x:v>
      </x:c>
      <x:c r="E157" s="30" t="n">
        <x:f>$D157*Assumptions!$B$11*IF($A157=0,1,(1+Assumptions!$B$14)^($A157-1))</x:f>
        <x:v>210.94697280188268</x:v>
      </x:c>
      <x:c r="F157" s="30" t="n">
        <x:f>$B157*Assumptions!$B$13</x:f>
        <x:v>21</x:v>
      </x:c>
      <x:c r="G157" s="30" t="n">
        <x:f>$E157+$F157</x:f>
        <x:v>231.94697280188268</x:v>
      </x:c>
      <x:c r="H157" s="30" t="n">
        <x:f>IF($A157=0,"",Assumptions!$B$21)</x:f>
        <x:v>5459.5</x:v>
      </x:c>
      <x:c r="I157" s="31" t="n">
        <x:f>IF($A157=0,"",INDEX(Assumptions!$C$24:$C$35,$C157)*IF($A157=0,"",IF($A157=1,1-Assumptions!$B$16,(1-Assumptions!$B$16)*(1-Assumptions!$B$17)^($A157-1))))</x:f>
        <x:v>250.6659049575632</x:v>
      </x:c>
      <x:c r="J157" s="32" t="n">
        <x:f>IF($A157=0,"",IF($I157&gt;0,$K157/$I157,0))</x:f>
        <x:v>1</x:v>
      </x:c>
      <x:c r="K157" s="31" t="n">
        <x:f>IF($A157=0,"",LET(direct,MIN($I157,$D157),surplus,MAX(0,$I157-direct),deficit,MAX(0,$D157-direct),charge,MIN(surplus,Assumptions!$B$10,direct,deficit),direct+charge))</x:f>
        <x:v>250.6659049575632</x:v>
      </x:c>
      <x:c r="L157" s="31" t="n">
        <x:f>IF($A157=0,"",LET(direct,MIN($I157,$D157),surplus,MAX(0,$I157-direct),deficit,MAX(0,$D157-direct),charge,MIN(surplus,Assumptions!$B$10,direct,deficit),surplus-charge))</x:f>
        <x:v>0</x:v>
      </x:c>
      <x:c r="M157" s="31" t="n">
        <x:f>IF($A157=0,"",LET(direct,MIN($I157,$D157),surplus,MAX(0,$I157-direct),deficit,MAX(0,$D157-direct),charge,MIN(surplus,Assumptions!$B$10,direct,deficit),deficit-charge))</x:f>
        <x:v>234.0679619943557</x:v>
      </x:c>
      <x:c r="N157" s="30" t="n">
        <x:f>IF($A157=0,"",$M157*Assumptions!$B$11*IF($A157=0,1,(1+Assumptions!$B$14)^($A157-1)))</x:f>
        <x:v>101.86193162672723</x:v>
      </x:c>
      <x:c r="O157" s="30" t="n">
        <x:f>IF($A157=0,"",$B157*Assumptions!$B$13)</x:f>
        <x:v>21</x:v>
      </x:c>
      <x:c r="P157" s="30" t="n">
        <x:f>IF($A157=0,"",$L157*Assumptions!$B$12)</x:f>
        <x:v>0</x:v>
      </x:c>
      <x:c r="Q157" s="30" t="n">
        <x:f>IF($A157=0,"",$N157+$O157-$P157)</x:f>
        <x:v>122.86193162672723</x:v>
      </x:c>
      <x:c r="R157" s="30" t="n">
        <x:f>IF($A157=0,"",$G157-$Q157)</x:f>
        <x:v>109.08504117515545</x:v>
      </x:c>
      <x:c r="S157" s="30" t="n">
        <x:f>IF($A157=0,"",SUM($R$17:R157))</x:f>
        <x:v>14159.70641441738</x:v>
      </x:c>
      <x:c r="T157" s="30" t="n">
        <x:f>IF($A157=0,"",$S157-$H157)</x:f>
        <x:v>8700.20641441738</x:v>
      </x:c>
    </x:row>
    <x:row r="158">
      <x:c r="A158" s="40" t="n">
        <x:v>12</x:v>
      </x:c>
      <x:c r="B158" s="40" t="n">
        <x:v>31</x:v>
      </x:c>
      <x:c r="C158" s="40" t="n">
        <x:v>10</x:v>
      </x:c>
      <x:c r="D158" s="31" t="n">
        <x:f>INDEX(Assumptions!$D$24:$D$35,$C158)</x:f>
        <x:v>965.136511636476</x:v>
      </x:c>
      <x:c r="E158" s="30" t="n">
        <x:f>$D158*Assumptions!$B$11*IF($A158=0,1,(1+Assumptions!$B$14)^($A158-1))</x:f>
        <x:v>420.0090799318508</x:v>
      </x:c>
      <x:c r="F158" s="30" t="n">
        <x:f>$B158*Assumptions!$B$13</x:f>
        <x:v>21.7</x:v>
      </x:c>
      <x:c r="G158" s="30" t="n">
        <x:f>$E158+$F158</x:f>
        <x:v>441.7090799318508</x:v>
      </x:c>
      <x:c r="H158" s="30" t="n">
        <x:f>IF($A158=0,"",Assumptions!$B$21)</x:f>
        <x:v>5459.5</x:v>
      </x:c>
      <x:c r="I158" s="31" t="n">
        <x:f>IF($A158=0,"",INDEX(Assumptions!$C$24:$C$35,$C158)*IF($A158=0,"",IF($A158=1,1-Assumptions!$B$16,(1-Assumptions!$B$16)*(1-Assumptions!$B$17)^($A158-1))))</x:f>
        <x:v>175.50625063629948</x:v>
      </x:c>
      <x:c r="J158" s="32" t="n">
        <x:f>IF($A158=0,"",IF($I158&gt;0,$K158/$I158,0))</x:f>
        <x:v>1</x:v>
      </x:c>
      <x:c r="K158" s="31" t="n">
        <x:f>IF($A158=0,"",LET(direct,MIN($I158,$D158),surplus,MAX(0,$I158-direct),deficit,MAX(0,$D158-direct),charge,MIN(surplus,Assumptions!$B$10,direct,deficit),direct+charge))</x:f>
        <x:v>175.50625063629948</x:v>
      </x:c>
      <x:c r="L158" s="31" t="n">
        <x:f>IF($A158=0,"",LET(direct,MIN($I158,$D158),surplus,MAX(0,$I158-direct),deficit,MAX(0,$D158-direct),charge,MIN(surplus,Assumptions!$B$10,direct,deficit),surplus-charge))</x:f>
        <x:v>0</x:v>
      </x:c>
      <x:c r="M158" s="31" t="n">
        <x:f>IF($A158=0,"",LET(direct,MIN($I158,$D158),surplus,MAX(0,$I158-direct),deficit,MAX(0,$D158-direct),charge,MIN(surplus,Assumptions!$B$10,direct,deficit),deficit-charge))</x:f>
        <x:v>789.6302610001766</x:v>
      </x:c>
      <x:c r="N158" s="30" t="n">
        <x:f>IF($A158=0,"",$M158*Assumptions!$B$11*IF($A158=0,1,(1+Assumptions!$B$14)^($A158-1)))</x:f>
        <x:v>343.63209288050416</x:v>
      </x:c>
      <x:c r="O158" s="30" t="n">
        <x:f>IF($A158=0,"",$B158*Assumptions!$B$13)</x:f>
        <x:v>21.7</x:v>
      </x:c>
      <x:c r="P158" s="30" t="n">
        <x:f>IF($A158=0,"",$L158*Assumptions!$B$12)</x:f>
        <x:v>0</x:v>
      </x:c>
      <x:c r="Q158" s="30" t="n">
        <x:f>IF($A158=0,"",$N158+$O158-$P158)</x:f>
        <x:v>365.33209288050415</x:v>
      </x:c>
      <x:c r="R158" s="30" t="n">
        <x:f>IF($A158=0,"",$G158-$Q158)</x:f>
        <x:v>76.37698705134665</x:v>
      </x:c>
      <x:c r="S158" s="30" t="n">
        <x:f>IF($A158=0,"",SUM($R$17:R158))</x:f>
        <x:v>14236.083401468726</x:v>
      </x:c>
      <x:c r="T158" s="30" t="n">
        <x:f>IF($A158=0,"",$S158-$H158)</x:f>
        <x:v>8776.583401468726</x:v>
      </x:c>
    </x:row>
    <x:row r="159">
      <x:c r="A159" s="40" t="n">
        <x:v>12</x:v>
      </x:c>
      <x:c r="B159" s="40" t="n">
        <x:v>30</x:v>
      </x:c>
      <x:c r="C159" s="40" t="n">
        <x:v>11</x:v>
      </x:c>
      <x:c r="D159" s="31" t="n">
        <x:f>INDEX(Assumptions!$D$24:$D$35,$C159)</x:f>
        <x:v>948.3553735444794</x:v>
      </x:c>
      <x:c r="E159" s="30" t="n">
        <x:f>$D159*Assumptions!$B$11*IF($A159=0,1,(1+Assumptions!$B$14)^($A159-1))</x:f>
        <x:v>412.7062473426268</x:v>
      </x:c>
      <x:c r="F159" s="30" t="n">
        <x:f>$B159*Assumptions!$B$13</x:f>
        <x:v>21</x:v>
      </x:c>
      <x:c r="G159" s="30" t="n">
        <x:f>$E159+$F159</x:f>
        <x:v>433.7062473426268</x:v>
      </x:c>
      <x:c r="H159" s="30" t="n">
        <x:f>IF($A159=0,"",Assumptions!$B$21)</x:f>
        <x:v>5459.5</x:v>
      </x:c>
      <x:c r="I159" s="31" t="n">
        <x:f>IF($A159=0,"",INDEX(Assumptions!$C$24:$C$35,$C159)*IF($A159=0,"",IF($A159=1,1-Assumptions!$B$16,(1-Assumptions!$B$16)*(1-Assumptions!$B$17)^($A159-1))))</x:f>
        <x:v>104.20534584983326</x:v>
      </x:c>
      <x:c r="J159" s="32" t="n">
        <x:f>IF($A159=0,"",IF($I159&gt;0,$K159/$I159,0))</x:f>
        <x:v>1</x:v>
      </x:c>
      <x:c r="K159" s="31" t="n">
        <x:f>IF($A159=0,"",LET(direct,MIN($I159,$D159),surplus,MAX(0,$I159-direct),deficit,MAX(0,$D159-direct),charge,MIN(surplus,Assumptions!$B$10,direct,deficit),direct+charge))</x:f>
        <x:v>104.20534584983326</x:v>
      </x:c>
      <x:c r="L159" s="31" t="n">
        <x:f>IF($A159=0,"",LET(direct,MIN($I159,$D159),surplus,MAX(0,$I159-direct),deficit,MAX(0,$D159-direct),charge,MIN(surplus,Assumptions!$B$10,direct,deficit),surplus-charge))</x:f>
        <x:v>0</x:v>
      </x:c>
      <x:c r="M159" s="31" t="n">
        <x:f>IF($A159=0,"",LET(direct,MIN($I159,$D159),surplus,MAX(0,$I159-direct),deficit,MAX(0,$D159-direct),charge,MIN(surplus,Assumptions!$B$10,direct,deficit),deficit-charge))</x:f>
        <x:v>844.1500276946462</x:v>
      </x:c>
      <x:c r="N159" s="30" t="n">
        <x:f>IF($A159=0,"",$M159*Assumptions!$B$11*IF($A159=0,1,(1+Assumptions!$B$14)^($A159-1)))</x:f>
        <x:v>367.3580599031551</x:v>
      </x:c>
      <x:c r="O159" s="30" t="n">
        <x:f>IF($A159=0,"",$B159*Assumptions!$B$13)</x:f>
        <x:v>21</x:v>
      </x:c>
      <x:c r="P159" s="30" t="n">
        <x:f>IF($A159=0,"",$L159*Assumptions!$B$12)</x:f>
        <x:v>0</x:v>
      </x:c>
      <x:c r="Q159" s="30" t="n">
        <x:f>IF($A159=0,"",$N159+$O159-$P159)</x:f>
        <x:v>388.3580599031551</x:v>
      </x:c>
      <x:c r="R159" s="30" t="n">
        <x:f>IF($A159=0,"",$G159-$Q159)</x:f>
        <x:v>45.3481874394717</x:v>
      </x:c>
      <x:c r="S159" s="30" t="n">
        <x:f>IF($A159=0,"",SUM($R$17:R159))</x:f>
        <x:v>14281.431588908197</x:v>
      </x:c>
      <x:c r="T159" s="30" t="n">
        <x:f>IF($A159=0,"",$S159-$H159)</x:f>
        <x:v>8821.931588908197</x:v>
      </x:c>
    </x:row>
    <x:row r="160">
      <x:c r="A160" s="40" t="n">
        <x:v>12</x:v>
      </x:c>
      <x:c r="B160" s="40" t="n">
        <x:v>31</x:v>
      </x:c>
      <x:c r="C160" s="40" t="n">
        <x:v>12</x:v>
      </x:c>
      <x:c r="D160" s="31" t="n">
        <x:f>INDEX(Assumptions!$D$24:$D$35,$C160)</x:f>
        <x:v>928.0413642752205</x:v>
      </x:c>
      <x:c r="E160" s="30" t="n">
        <x:f>$D160*Assumptions!$B$11*IF($A160=0,1,(1+Assumptions!$B$14)^($A160-1))</x:f>
        <x:v>403.8659763135662</x:v>
      </x:c>
      <x:c r="F160" s="30" t="n">
        <x:f>$B160*Assumptions!$B$13</x:f>
        <x:v>21.7</x:v>
      </x:c>
      <x:c r="G160" s="30" t="n">
        <x:f>$E160+$F160</x:f>
        <x:v>425.5659763135662</x:v>
      </x:c>
      <x:c r="H160" s="30" t="n">
        <x:f>IF($A160=0,"",Assumptions!$B$21)</x:f>
        <x:v>5459.5</x:v>
      </x:c>
      <x:c r="I160" s="31" t="n">
        <x:f>IF($A160=0,"",INDEX(Assumptions!$C$24:$C$35,$C160)*IF($A160=0,"",IF($A160=1,1-Assumptions!$B$16,(1-Assumptions!$B$16)*(1-Assumptions!$B$17)^($A160-1))))</x:f>
        <x:v>76.83259767337066</x:v>
      </x:c>
      <x:c r="J160" s="32" t="n">
        <x:f>IF($A160=0,"",IF($I160&gt;0,$K160/$I160,0))</x:f>
        <x:v>1</x:v>
      </x:c>
      <x:c r="K160" s="31" t="n">
        <x:f>IF($A160=0,"",LET(direct,MIN($I160,$D160),surplus,MAX(0,$I160-direct),deficit,MAX(0,$D160-direct),charge,MIN(surplus,Assumptions!$B$10,direct,deficit),direct+charge))</x:f>
        <x:v>76.83259767337066</x:v>
      </x:c>
      <x:c r="L160" s="31" t="n">
        <x:f>IF($A160=0,"",LET(direct,MIN($I160,$D160),surplus,MAX(0,$I160-direct),deficit,MAX(0,$D160-direct),charge,MIN(surplus,Assumptions!$B$10,direct,deficit),surplus-charge))</x:f>
        <x:v>0</x:v>
      </x:c>
      <x:c r="M160" s="31" t="n">
        <x:f>IF($A160=0,"",LET(direct,MIN($I160,$D160),surplus,MAX(0,$I160-direct),deficit,MAX(0,$D160-direct),charge,MIN(surplus,Assumptions!$B$10,direct,deficit),deficit-charge))</x:f>
        <x:v>851.2087666018499</x:v>
      </x:c>
      <x:c r="N160" s="30" t="n">
        <x:f>IF($A160=0,"",$M160*Assumptions!$B$11*IF($A160=0,1,(1+Assumptions!$B$14)^($A160-1)))</x:f>
        <x:v>370.4298890155641</x:v>
      </x:c>
      <x:c r="O160" s="30" t="n">
        <x:f>IF($A160=0,"",$B160*Assumptions!$B$13)</x:f>
        <x:v>21.7</x:v>
      </x:c>
      <x:c r="P160" s="30" t="n">
        <x:f>IF($A160=0,"",$L160*Assumptions!$B$12)</x:f>
        <x:v>0</x:v>
      </x:c>
      <x:c r="Q160" s="30" t="n">
        <x:f>IF($A160=0,"",$N160+$O160-$P160)</x:f>
        <x:v>392.12988901556406</x:v>
      </x:c>
      <x:c r="R160" s="30" t="n">
        <x:f>IF($A160=0,"",$G160-$Q160)</x:f>
        <x:v>33.43608729800212</x:v>
      </x:c>
      <x:c r="S160" s="30" t="n">
        <x:f>IF($A160=0,"",SUM($R$17:R160))</x:f>
        <x:v>14314.867676206199</x:v>
      </x:c>
      <x:c r="T160" s="30" t="n">
        <x:f>IF($A160=0,"",$S160-$H160)</x:f>
        <x:v>8855.367676206199</x:v>
      </x:c>
    </x:row>
    <x:row r="161">
      <x:c r="A161" s="40" t="n">
        <x:v>13</x:v>
      </x:c>
      <x:c r="B161" s="40" t="n">
        <x:v>31</x:v>
      </x:c>
      <x:c r="C161" s="40" t="n">
        <x:v>1</x:v>
      </x:c>
      <x:c r="D161" s="31" t="n">
        <x:f>INDEX(Assumptions!$D$24:$D$35,$C161)</x:f>
        <x:v>921.8588397150115</x:v>
      </x:c>
      <x:c r="E161" s="30" t="n">
        <x:f>$D161*Assumptions!$B$11*IF($A161=0,1,(1+Assumptions!$B$14)^($A161-1))</x:f>
        <x:v>409.19896822472924</x:v>
      </x:c>
      <x:c r="F161" s="30" t="n">
        <x:f>$B161*Assumptions!$B$13</x:f>
        <x:v>21.7</x:v>
      </x:c>
      <x:c r="G161" s="30" t="n">
        <x:f>$E161+$F161</x:f>
        <x:v>430.89896822472923</x:v>
      </x:c>
      <x:c r="H161" s="30" t="n">
        <x:f>IF($A161=0,"",Assumptions!$B$21)</x:f>
        <x:v>5459.5</x:v>
      </x:c>
      <x:c r="I161" s="31" t="n">
        <x:f>IF($A161=0,"",INDEX(Assumptions!$C$24:$C$35,$C161)*IF($A161=0,"",IF($A161=1,1-Assumptions!$B$16,(1-Assumptions!$B$16)*(1-Assumptions!$B$17)^($A161-1))))</x:f>
        <x:v>93.15098029314736</x:v>
      </x:c>
      <x:c r="J161" s="32" t="n">
        <x:f>IF($A161=0,"",IF($I161&gt;0,$K161/$I161,0))</x:f>
        <x:v>1</x:v>
      </x:c>
      <x:c r="K161" s="31" t="n">
        <x:f>IF($A161=0,"",LET(direct,MIN($I161,$D161),surplus,MAX(0,$I161-direct),deficit,MAX(0,$D161-direct),charge,MIN(surplus,Assumptions!$B$10,direct,deficit),direct+charge))</x:f>
        <x:v>93.15098029314736</x:v>
      </x:c>
      <x:c r="L161" s="31" t="n">
        <x:f>IF($A161=0,"",LET(direct,MIN($I161,$D161),surplus,MAX(0,$I161-direct),deficit,MAX(0,$D161-direct),charge,MIN(surplus,Assumptions!$B$10,direct,deficit),surplus-charge))</x:f>
        <x:v>0</x:v>
      </x:c>
      <x:c r="M161" s="31" t="n">
        <x:f>IF($A161=0,"",LET(direct,MIN($I161,$D161),surplus,MAX(0,$I161-direct),deficit,MAX(0,$D161-direct),charge,MIN(surplus,Assumptions!$B$10,direct,deficit),deficit-charge))</x:f>
        <x:v>828.7078594218642</x:v>
      </x:c>
      <x:c r="N161" s="30" t="n">
        <x:f>IF($A161=0,"",$M161*Assumptions!$B$11*IF($A161=0,1,(1+Assumptions!$B$14)^($A161-1)))</x:f>
        <x:v>367.85067998044474</x:v>
      </x:c>
      <x:c r="O161" s="30" t="n">
        <x:f>IF($A161=0,"",$B161*Assumptions!$B$13)</x:f>
        <x:v>21.7</x:v>
      </x:c>
      <x:c r="P161" s="30" t="n">
        <x:f>IF($A161=0,"",$L161*Assumptions!$B$12)</x:f>
        <x:v>0</x:v>
      </x:c>
      <x:c r="Q161" s="30" t="n">
        <x:f>IF($A161=0,"",$N161+$O161-$P161)</x:f>
        <x:v>389.5506799804447</x:v>
      </x:c>
      <x:c r="R161" s="30" t="n">
        <x:f>IF($A161=0,"",$G161-$Q161)</x:f>
        <x:v>41.348288244284504</x:v>
      </x:c>
      <x:c r="S161" s="30" t="n">
        <x:f>IF($A161=0,"",SUM($R$17:R161))</x:f>
        <x:v>14356.215964450483</x:v>
      </x:c>
      <x:c r="T161" s="30" t="n">
        <x:f>IF($A161=0,"",$S161-$H161)</x:f>
        <x:v>8896.715964450483</x:v>
      </x:c>
    </x:row>
    <x:row r="162">
      <x:c r="A162" s="40" t="n">
        <x:v>13</x:v>
      </x:c>
      <x:c r="B162" s="40" t="n">
        <x:v>28</x:v>
      </x:c>
      <x:c r="C162" s="40" t="n">
        <x:v>2</x:v>
      </x:c>
      <x:c r="D162" s="31" t="n">
        <x:f>INDEX(Assumptions!$D$24:$D$35,$C162)</x:f>
        <x:v>923.6252753036425</x:v>
      </x:c>
      <x:c r="E162" s="30" t="n">
        <x:f>$D162*Assumptions!$B$11*IF($A162=0,1,(1+Assumptions!$B$14)^($A162-1))</x:f>
        <x:v>409.9830618290458</x:v>
      </x:c>
      <x:c r="F162" s="30" t="n">
        <x:f>$B162*Assumptions!$B$13</x:f>
        <x:v>19.599999999999998</x:v>
      </x:c>
      <x:c r="G162" s="30" t="n">
        <x:f>$E162+$F162</x:f>
        <x:v>429.58306182904585</x:v>
      </x:c>
      <x:c r="H162" s="30" t="n">
        <x:f>IF($A162=0,"",Assumptions!$B$21)</x:f>
        <x:v>5459.5</x:v>
      </x:c>
      <x:c r="I162" s="31" t="n">
        <x:f>IF($A162=0,"",INDEX(Assumptions!$C$24:$C$35,$C162)*IF($A162=0,"",IF($A162=1,1-Assumptions!$B$16,(1-Assumptions!$B$16)*(1-Assumptions!$B$17)^($A162-1))))</x:f>
        <x:v>147.26382520216333</x:v>
      </x:c>
      <x:c r="J162" s="32" t="n">
        <x:f>IF($A162=0,"",IF($I162&gt;0,$K162/$I162,0))</x:f>
        <x:v>1</x:v>
      </x:c>
      <x:c r="K162" s="31" t="n">
        <x:f>IF($A162=0,"",LET(direct,MIN($I162,$D162),surplus,MAX(0,$I162-direct),deficit,MAX(0,$D162-direct),charge,MIN(surplus,Assumptions!$B$10,direct,deficit),direct+charge))</x:f>
        <x:v>147.26382520216333</x:v>
      </x:c>
      <x:c r="L162" s="31" t="n">
        <x:f>IF($A162=0,"",LET(direct,MIN($I162,$D162),surplus,MAX(0,$I162-direct),deficit,MAX(0,$D162-direct),charge,MIN(surplus,Assumptions!$B$10,direct,deficit),surplus-charge))</x:f>
        <x:v>0</x:v>
      </x:c>
      <x:c r="M162" s="31" t="n">
        <x:f>IF($A162=0,"",LET(direct,MIN($I162,$D162),surplus,MAX(0,$I162-direct),deficit,MAX(0,$D162-direct),charge,MIN(surplus,Assumptions!$B$10,direct,deficit),deficit-charge))</x:f>
        <x:v>776.3614501014792</x:v>
      </x:c>
      <x:c r="N162" s="30" t="n">
        <x:f>IF($A162=0,"",$M162*Assumptions!$B$11*IF($A162=0,1,(1+Assumptions!$B$14)^($A162-1)))</x:f>
        <x:v>344.61491354705805</x:v>
      </x:c>
      <x:c r="O162" s="30" t="n">
        <x:f>IF($A162=0,"",$B162*Assumptions!$B$13)</x:f>
        <x:v>19.599999999999998</x:v>
      </x:c>
      <x:c r="P162" s="30" t="n">
        <x:f>IF($A162=0,"",$L162*Assumptions!$B$12)</x:f>
        <x:v>0</x:v>
      </x:c>
      <x:c r="Q162" s="30" t="n">
        <x:f>IF($A162=0,"",$N162+$O162-$P162)</x:f>
        <x:v>364.2149135470581</x:v>
      </x:c>
      <x:c r="R162" s="30" t="n">
        <x:f>IF($A162=0,"",$G162-$Q162)</x:f>
        <x:v>65.36814828198777</x:v>
      </x:c>
      <x:c r="S162" s="30" t="n">
        <x:f>IF($A162=0,"",SUM($R$17:R162))</x:f>
        <x:v>14421.584112732471</x:v>
      </x:c>
      <x:c r="T162" s="30" t="n">
        <x:f>IF($A162=0,"",$S162-$H162)</x:f>
        <x:v>8962.084112732471</x:v>
      </x:c>
    </x:row>
    <x:row r="163">
      <x:c r="A163" s="40" t="n">
        <x:v>13</x:v>
      </x:c>
      <x:c r="B163" s="40" t="n">
        <x:v>31</x:v>
      </x:c>
      <x:c r="C163" s="40" t="n">
        <x:v>3</x:v>
      </x:c>
      <x:c r="D163" s="31" t="n">
        <x:f>INDEX(Assumptions!$D$24:$D$35,$C163)</x:f>
        <x:v>907.7273550059616</x:v>
      </x:c>
      <x:c r="E163" s="30" t="n">
        <x:f>$D163*Assumptions!$B$11*IF($A163=0,1,(1+Assumptions!$B$14)^($A163-1))</x:f>
        <x:v>402.92621939019574</x:v>
      </x:c>
      <x:c r="F163" s="30" t="n">
        <x:f>$B163*Assumptions!$B$13</x:f>
        <x:v>21.7</x:v>
      </x:c>
      <x:c r="G163" s="30" t="n">
        <x:f>$E163+$F163</x:f>
        <x:v>424.62621939019573</x:v>
      </x:c>
      <x:c r="H163" s="30" t="n">
        <x:f>IF($A163=0,"",Assumptions!$B$21)</x:f>
        <x:v>5459.5</x:v>
      </x:c>
      <x:c r="I163" s="31" t="n">
        <x:f>IF($A163=0,"",INDEX(Assumptions!$C$24:$C$35,$C163)*IF($A163=0,"",IF($A163=1,1-Assumptions!$B$16,(1-Assumptions!$B$16)*(1-Assumptions!$B$17)^($A163-1))))</x:f>
        <x:v>259.95193778010184</x:v>
      </x:c>
      <x:c r="J163" s="32" t="n">
        <x:f>IF($A163=0,"",IF($I163&gt;0,$K163/$I163,0))</x:f>
        <x:v>1</x:v>
      </x:c>
      <x:c r="K163" s="31" t="n">
        <x:f>IF($A163=0,"",LET(direct,MIN($I163,$D163),surplus,MAX(0,$I163-direct),deficit,MAX(0,$D163-direct),charge,MIN(surplus,Assumptions!$B$10,direct,deficit),direct+charge))</x:f>
        <x:v>259.95193778010184</x:v>
      </x:c>
      <x:c r="L163" s="31" t="n">
        <x:f>IF($A163=0,"",LET(direct,MIN($I163,$D163),surplus,MAX(0,$I163-direct),deficit,MAX(0,$D163-direct),charge,MIN(surplus,Assumptions!$B$10,direct,deficit),surplus-charge))</x:f>
        <x:v>0</x:v>
      </x:c>
      <x:c r="M163" s="31" t="n">
        <x:f>IF($A163=0,"",LET(direct,MIN($I163,$D163),surplus,MAX(0,$I163-direct),deficit,MAX(0,$D163-direct),charge,MIN(surplus,Assumptions!$B$10,direct,deficit),deficit-charge))</x:f>
        <x:v>647.7754172258598</x:v>
      </x:c>
      <x:c r="N163" s="30" t="n">
        <x:f>IF($A163=0,"",$M163*Assumptions!$B$11*IF($A163=0,1,(1+Assumptions!$B$14)^($A163-1)))</x:f>
        <x:v>287.5375501656091</x:v>
      </x:c>
      <x:c r="O163" s="30" t="n">
        <x:f>IF($A163=0,"",$B163*Assumptions!$B$13)</x:f>
        <x:v>21.7</x:v>
      </x:c>
      <x:c r="P163" s="30" t="n">
        <x:f>IF($A163=0,"",$L163*Assumptions!$B$12)</x:f>
        <x:v>0</x:v>
      </x:c>
      <x:c r="Q163" s="30" t="n">
        <x:f>IF($A163=0,"",$N163+$O163-$P163)</x:f>
        <x:v>309.2375501656091</x:v>
      </x:c>
      <x:c r="R163" s="30" t="n">
        <x:f>IF($A163=0,"",$G163-$Q163)</x:f>
        <x:v>115.38866922458664</x:v>
      </x:c>
      <x:c r="S163" s="30" t="n">
        <x:f>IF($A163=0,"",SUM($R$17:R163))</x:f>
        <x:v>14536.972781957058</x:v>
      </x:c>
      <x:c r="T163" s="30" t="n">
        <x:f>IF($A163=0,"",$S163-$H163)</x:f>
        <x:v>9077.472781957058</x:v>
      </x:c>
    </x:row>
    <x:row r="164">
      <x:c r="A164" s="40" t="n">
        <x:v>13</x:v>
      </x:c>
      <x:c r="B164" s="40" t="n">
        <x:v>30</x:v>
      </x:c>
      <x:c r="C164" s="40" t="n">
        <x:v>4</x:v>
      </x:c>
      <x:c r="D164" s="31" t="n">
        <x:f>INDEX(Assumptions!$D$24:$D$35,$C164)</x:f>
        <x:v>951.0050269274262</x:v>
      </x:c>
      <x:c r="E164" s="30" t="n">
        <x:f>$D164*Assumptions!$B$11*IF($A164=0,1,(1+Assumptions!$B$14)^($A164-1))</x:f>
        <x:v>422.1365126959543</x:v>
      </x:c>
      <x:c r="F164" s="30" t="n">
        <x:f>$B164*Assumptions!$B$13</x:f>
        <x:v>21</x:v>
      </x:c>
      <x:c r="G164" s="30" t="n">
        <x:f>$E164+$F164</x:f>
        <x:v>443.1365126959543</x:v>
      </x:c>
      <x:c r="H164" s="30" t="n">
        <x:f>IF($A164=0,"",Assumptions!$B$21)</x:f>
        <x:v>5459.5</x:v>
      </x:c>
      <x:c r="I164" s="31" t="n">
        <x:f>IF($A164=0,"",INDEX(Assumptions!$C$24:$C$35,$C164)*IF($A164=0,"",IF($A164=1,1-Assumptions!$B$16,(1-Assumptions!$B$16)*(1-Assumptions!$B$17)^($A164-1))))</x:f>
        <x:v>346.1775441801414</x:v>
      </x:c>
      <x:c r="J164" s="32" t="n">
        <x:f>IF($A164=0,"",IF($I164&gt;0,$K164/$I164,0))</x:f>
        <x:v>1</x:v>
      </x:c>
      <x:c r="K164" s="31" t="n">
        <x:f>IF($A164=0,"",LET(direct,MIN($I164,$D164),surplus,MAX(0,$I164-direct),deficit,MAX(0,$D164-direct),charge,MIN(surplus,Assumptions!$B$10,direct,deficit),direct+charge))</x:f>
        <x:v>346.1775441801414</x:v>
      </x:c>
      <x:c r="L164" s="31" t="n">
        <x:f>IF($A164=0,"",LET(direct,MIN($I164,$D164),surplus,MAX(0,$I164-direct),deficit,MAX(0,$D164-direct),charge,MIN(surplus,Assumptions!$B$10,direct,deficit),surplus-charge))</x:f>
        <x:v>0</x:v>
      </x:c>
      <x:c r="M164" s="31" t="n">
        <x:f>IF($A164=0,"",LET(direct,MIN($I164,$D164),surplus,MAX(0,$I164-direct),deficit,MAX(0,$D164-direct),charge,MIN(surplus,Assumptions!$B$10,direct,deficit),deficit-charge))</x:f>
        <x:v>604.8274827472849</x:v>
      </x:c>
      <x:c r="N164" s="30" t="n">
        <x:f>IF($A164=0,"",$M164*Assumptions!$B$11*IF($A164=0,1,(1+Assumptions!$B$14)^($A164-1)))</x:f>
        <x:v>268.4736222420572</x:v>
      </x:c>
      <x:c r="O164" s="30" t="n">
        <x:f>IF($A164=0,"",$B164*Assumptions!$B$13)</x:f>
        <x:v>21</x:v>
      </x:c>
      <x:c r="P164" s="30" t="n">
        <x:f>IF($A164=0,"",$L164*Assumptions!$B$12)</x:f>
        <x:v>0</x:v>
      </x:c>
      <x:c r="Q164" s="30" t="n">
        <x:f>IF($A164=0,"",$N164+$O164-$P164)</x:f>
        <x:v>289.4736222420572</x:v>
      </x:c>
      <x:c r="R164" s="30" t="n">
        <x:f>IF($A164=0,"",$G164-$Q164)</x:f>
        <x:v>153.6628904538971</x:v>
      </x:c>
      <x:c r="S164" s="30" t="n">
        <x:f>IF($A164=0,"",SUM($R$17:R164))</x:f>
        <x:v>14690.635672410956</x:v>
      </x:c>
      <x:c r="T164" s="30" t="n">
        <x:f>IF($A164=0,"",$S164-$H164)</x:f>
        <x:v>9231.135672410956</x:v>
      </x:c>
    </x:row>
    <x:row r="165">
      <x:c r="A165" s="40" t="n">
        <x:v>13</x:v>
      </x:c>
      <x:c r="B165" s="40" t="n">
        <x:v>31</x:v>
      </x:c>
      <x:c r="C165" s="40" t="n">
        <x:v>5</x:v>
      </x:c>
      <x:c r="D165" s="31" t="n">
        <x:f>INDEX(Assumptions!$D$24:$D$35,$C165)</x:f>
        <x:v>480.47094299256736</x:v>
      </x:c>
      <x:c r="E165" s="30" t="n">
        <x:f>$D165*Assumptions!$B$11*IF($A165=0,1,(1+Assumptions!$B$14)^($A165-1))</x:f>
        <x:v>213.27366584161823</x:v>
      </x:c>
      <x:c r="F165" s="30" t="n">
        <x:f>$B165*Assumptions!$B$13</x:f>
        <x:v>21.7</x:v>
      </x:c>
      <x:c r="G165" s="30" t="n">
        <x:f>$E165+$F165</x:f>
        <x:v>234.9736658416182</x:v>
      </x:c>
      <x:c r="H165" s="30" t="n">
        <x:f>IF($A165=0,"",Assumptions!$B$21)</x:f>
        <x:v>5459.5</x:v>
      </x:c>
      <x:c r="I165" s="31" t="n">
        <x:f>IF($A165=0,"",INDEX(Assumptions!$C$24:$C$35,$C165)*IF($A165=0,"",IF($A165=1,1-Assumptions!$B$16,(1-Assumptions!$B$16)*(1-Assumptions!$B$17)^($A165-1))))</x:f>
        <x:v>383.5299660101276</x:v>
      </x:c>
      <x:c r="J165" s="32" t="n">
        <x:f>IF($A165=0,"",IF($I165&gt;0,$K165/$I165,0))</x:f>
        <x:v>1</x:v>
      </x:c>
      <x:c r="K165" s="31" t="n">
        <x:f>IF($A165=0,"",LET(direct,MIN($I165,$D165),surplus,MAX(0,$I165-direct),deficit,MAX(0,$D165-direct),charge,MIN(surplus,Assumptions!$B$10,direct,deficit),direct+charge))</x:f>
        <x:v>383.5299660101276</x:v>
      </x:c>
      <x:c r="L165" s="31" t="n">
        <x:f>IF($A165=0,"",LET(direct,MIN($I165,$D165),surplus,MAX(0,$I165-direct),deficit,MAX(0,$D165-direct),charge,MIN(surplus,Assumptions!$B$10,direct,deficit),surplus-charge))</x:f>
        <x:v>0</x:v>
      </x:c>
      <x:c r="M165" s="31" t="n">
        <x:f>IF($A165=0,"",LET(direct,MIN($I165,$D165),surplus,MAX(0,$I165-direct),deficit,MAX(0,$D165-direct),charge,MIN(surplus,Assumptions!$B$10,direct,deficit),deficit-charge))</x:f>
        <x:v>96.94097698243974</x:v>
      </x:c>
      <x:c r="N165" s="30" t="n">
        <x:f>IF($A165=0,"",$M165*Assumptions!$B$11*IF($A165=0,1,(1+Assumptions!$B$14)^($A165-1)))</x:f>
        <x:v>43.03060951519952</x:v>
      </x:c>
      <x:c r="O165" s="30" t="n">
        <x:f>IF($A165=0,"",$B165*Assumptions!$B$13)</x:f>
        <x:v>21.7</x:v>
      </x:c>
      <x:c r="P165" s="30" t="n">
        <x:f>IF($A165=0,"",$L165*Assumptions!$B$12)</x:f>
        <x:v>0</x:v>
      </x:c>
      <x:c r="Q165" s="30" t="n">
        <x:f>IF($A165=0,"",$N165+$O165-$P165)</x:f>
        <x:v>64.73060951519952</x:v>
      </x:c>
      <x:c r="R165" s="30" t="n">
        <x:f>IF($A165=0,"",$G165-$Q165)</x:f>
        <x:v>170.2430563264187</x:v>
      </x:c>
      <x:c r="S165" s="30" t="n">
        <x:f>IF($A165=0,"",SUM($R$17:R165))</x:f>
        <x:v>14860.878728737374</x:v>
      </x:c>
      <x:c r="T165" s="30" t="n">
        <x:f>IF($A165=0,"",$S165-$H165)</x:f>
        <x:v>9401.378728737374</x:v>
      </x:c>
    </x:row>
    <x:row r="166">
      <x:c r="A166" s="40" t="n">
        <x:v>13</x:v>
      </x:c>
      <x:c r="B166" s="40" t="n">
        <x:v>30</x:v>
      </x:c>
      <x:c r="C166" s="40" t="n">
        <x:v>6</x:v>
      </x:c>
      <x:c r="D166" s="31" t="n">
        <x:f>INDEX(Assumptions!$D$24:$D$35,$C166)</x:f>
        <x:v>491.73724202799656</x:v>
      </x:c>
      <x:c r="E166" s="30" t="n">
        <x:f>$D166*Assumptions!$B$11*IF($A166=0,1,(1+Assumptions!$B$14)^($A166-1))</x:f>
        <x:v>218.27460279898807</x:v>
      </x:c>
      <x:c r="F166" s="30" t="n">
        <x:f>$B166*Assumptions!$B$13</x:f>
        <x:v>21</x:v>
      </x:c>
      <x:c r="G166" s="30" t="n">
        <x:f>$E166+$F166</x:f>
        <x:v>239.27460279898807</x:v>
      </x:c>
      <x:c r="H166" s="30" t="n">
        <x:f>IF($A166=0,"",Assumptions!$B$21)</x:f>
        <x:v>5459.5</x:v>
      </x:c>
      <x:c r="I166" s="31" t="n">
        <x:f>IF($A166=0,"",INDEX(Assumptions!$C$24:$C$35,$C166)*IF($A166=0,"",IF($A166=1,1-Assumptions!$B$16,(1-Assumptions!$B$16)*(1-Assumptions!$B$17)^($A166-1))))</x:f>
        <x:v>393.27365275644667</x:v>
      </x:c>
      <x:c r="J166" s="32" t="n">
        <x:f>IF($A166=0,"",IF($I166&gt;0,$K166/$I166,0))</x:f>
        <x:v>1</x:v>
      </x:c>
      <x:c r="K166" s="31" t="n">
        <x:f>IF($A166=0,"",LET(direct,MIN($I166,$D166),surplus,MAX(0,$I166-direct),deficit,MAX(0,$D166-direct),charge,MIN(surplus,Assumptions!$B$10,direct,deficit),direct+charge))</x:f>
        <x:v>393.27365275644667</x:v>
      </x:c>
      <x:c r="L166" s="31" t="n">
        <x:f>IF($A166=0,"",LET(direct,MIN($I166,$D166),surplus,MAX(0,$I166-direct),deficit,MAX(0,$D166-direct),charge,MIN(surplus,Assumptions!$B$10,direct,deficit),surplus-charge))</x:f>
        <x:v>0</x:v>
      </x:c>
      <x:c r="M166" s="31" t="n">
        <x:f>IF($A166=0,"",LET(direct,MIN($I166,$D166),surplus,MAX(0,$I166-direct),deficit,MAX(0,$D166-direct),charge,MIN(surplus,Assumptions!$B$10,direct,deficit),deficit-charge))</x:f>
        <x:v>98.46358927154989</x:v>
      </x:c>
      <x:c r="N166" s="30" t="n">
        <x:f>IF($A166=0,"",$M166*Assumptions!$B$11*IF($A166=0,1,(1+Assumptions!$B$14)^($A166-1)))</x:f>
        <x:v>43.70647370488694</x:v>
      </x:c>
      <x:c r="O166" s="30" t="n">
        <x:f>IF($A166=0,"",$B166*Assumptions!$B$13)</x:f>
        <x:v>21</x:v>
      </x:c>
      <x:c r="P166" s="30" t="n">
        <x:f>IF($A166=0,"",$L166*Assumptions!$B$12)</x:f>
        <x:v>0</x:v>
      </x:c>
      <x:c r="Q166" s="30" t="n">
        <x:f>IF($A166=0,"",$N166+$O166-$P166)</x:f>
        <x:v>64.70647370488695</x:v>
      </x:c>
      <x:c r="R166" s="30" t="n">
        <x:f>IF($A166=0,"",$G166-$Q166)</x:f>
        <x:v>174.56812909410112</x:v>
      </x:c>
      <x:c r="S166" s="30" t="n">
        <x:f>IF($A166=0,"",SUM($R$17:R166))</x:f>
        <x:v>15035.446857831475</x:v>
      </x:c>
      <x:c r="T166" s="30" t="n">
        <x:f>IF($A166=0,"",$S166-$H166)</x:f>
        <x:v>9575.946857831475</x:v>
      </x:c>
    </x:row>
    <x:row r="167">
      <x:c r="A167" s="40" t="n">
        <x:v>13</x:v>
      </x:c>
      <x:c r="B167" s="40" t="n">
        <x:v>31</x:v>
      </x:c>
      <x:c r="C167" s="40" t="n">
        <x:v>7</x:v>
      </x:c>
      <x:c r="D167" s="31" t="n">
        <x:f>INDEX(Assumptions!$D$24:$D$35,$C167)</x:f>
        <x:v>504.2215193375261</x:v>
      </x:c>
      <x:c r="E167" s="30" t="n">
        <x:f>$D167*Assumptions!$B$11*IF($A167=0,1,(1+Assumptions!$B$14)^($A167-1))</x:f>
        <x:v>223.81618158958705</x:v>
      </x:c>
      <x:c r="F167" s="30" t="n">
        <x:f>$B167*Assumptions!$B$13</x:f>
        <x:v>21.7</x:v>
      </x:c>
      <x:c r="G167" s="30" t="n">
        <x:f>$E167+$F167</x:f>
        <x:v>245.51618158958703</x:v>
      </x:c>
      <x:c r="H167" s="30" t="n">
        <x:f>IF($A167=0,"",Assumptions!$B$21)</x:f>
        <x:v>5459.5</x:v>
      </x:c>
      <x:c r="I167" s="31" t="n">
        <x:f>IF($A167=0,"",INDEX(Assumptions!$C$24:$C$35,$C167)*IF($A167=0,"",IF($A167=1,1-Assumptions!$B$16,(1-Assumptions!$B$16)*(1-Assumptions!$B$17)^($A167-1))))</x:f>
        <x:v>406.36455763685694</x:v>
      </x:c>
      <x:c r="J167" s="32" t="n">
        <x:f>IF($A167=0,"",IF($I167&gt;0,$K167/$I167,0))</x:f>
        <x:v>1</x:v>
      </x:c>
      <x:c r="K167" s="31" t="n">
        <x:f>IF($A167=0,"",LET(direct,MIN($I167,$D167),surplus,MAX(0,$I167-direct),deficit,MAX(0,$D167-direct),charge,MIN(surplus,Assumptions!$B$10,direct,deficit),direct+charge))</x:f>
        <x:v>406.36455763685694</x:v>
      </x:c>
      <x:c r="L167" s="31" t="n">
        <x:f>IF($A167=0,"",LET(direct,MIN($I167,$D167),surplus,MAX(0,$I167-direct),deficit,MAX(0,$D167-direct),charge,MIN(surplus,Assumptions!$B$10,direct,deficit),surplus-charge))</x:f>
        <x:v>0</x:v>
      </x:c>
      <x:c r="M167" s="31" t="n">
        <x:f>IF($A167=0,"",LET(direct,MIN($I167,$D167),surplus,MAX(0,$I167-direct),deficit,MAX(0,$D167-direct),charge,MIN(surplus,Assumptions!$B$10,direct,deficit),deficit-charge))</x:f>
        <x:v>97.85696170066916</x:v>
      </x:c>
      <x:c r="N167" s="30" t="n">
        <x:f>IF($A167=0,"",$M167*Assumptions!$B$11*IF($A167=0,1,(1+Assumptions!$B$14)^($A167-1)))</x:f>
        <x:v>43.43720105119323</x:v>
      </x:c>
      <x:c r="O167" s="30" t="n">
        <x:f>IF($A167=0,"",$B167*Assumptions!$B$13)</x:f>
        <x:v>21.7</x:v>
      </x:c>
      <x:c r="P167" s="30" t="n">
        <x:f>IF($A167=0,"",$L167*Assumptions!$B$12)</x:f>
        <x:v>0</x:v>
      </x:c>
      <x:c r="Q167" s="30" t="n">
        <x:f>IF($A167=0,"",$N167+$O167-$P167)</x:f>
        <x:v>65.13720105119323</x:v>
      </x:c>
      <x:c r="R167" s="30" t="n">
        <x:f>IF($A167=0,"",$G167-$Q167)</x:f>
        <x:v>180.37898053839382</x:v>
      </x:c>
      <x:c r="S167" s="30" t="n">
        <x:f>IF($A167=0,"",SUM($R$17:R167))</x:f>
        <x:v>15215.825838369869</x:v>
      </x:c>
      <x:c r="T167" s="30" t="n">
        <x:f>IF($A167=0,"",$S167-$H167)</x:f>
        <x:v>9756.325838369869</x:v>
      </x:c>
    </x:row>
    <x:row r="168">
      <x:c r="A168" s="40" t="n">
        <x:v>13</x:v>
      </x:c>
      <x:c r="B168" s="40" t="n">
        <x:v>31</x:v>
      </x:c>
      <x:c r="C168" s="40" t="n">
        <x:v>8</x:v>
      </x:c>
      <x:c r="D168" s="31" t="n">
        <x:f>INDEX(Assumptions!$D$24:$D$35,$C168)</x:f>
        <x:v>495.0866822817727</x:v>
      </x:c>
      <x:c r="E168" s="30" t="n">
        <x:f>$D168*Assumptions!$B$11*IF($A168=0,1,(1+Assumptions!$B$14)^($A168-1))</x:f>
        <x:v>219.76136784036828</x:v>
      </x:c>
      <x:c r="F168" s="30" t="n">
        <x:f>$B168*Assumptions!$B$13</x:f>
        <x:v>21.7</x:v>
      </x:c>
      <x:c r="G168" s="30" t="n">
        <x:f>$E168+$F168</x:f>
        <x:v>241.46136784036827</x:v>
      </x:c>
      <x:c r="H168" s="30" t="n">
        <x:f>IF($A168=0,"",Assumptions!$B$21)</x:f>
        <x:v>5459.5</x:v>
      </x:c>
      <x:c r="I168" s="31" t="n">
        <x:f>IF($A168=0,"",INDEX(Assumptions!$C$24:$C$35,$C168)*IF($A168=0,"",IF($A168=1,1-Assumptions!$B$16,(1-Assumptions!$B$16)*(1-Assumptions!$B$17)^($A168-1))))</x:f>
        <x:v>339.0713830727122</x:v>
      </x:c>
      <x:c r="J168" s="32" t="n">
        <x:f>IF($A168=0,"",IF($I168&gt;0,$K168/$I168,0))</x:f>
        <x:v>1</x:v>
      </x:c>
      <x:c r="K168" s="31" t="n">
        <x:f>IF($A168=0,"",LET(direct,MIN($I168,$D168),surplus,MAX(0,$I168-direct),deficit,MAX(0,$D168-direct),charge,MIN(surplus,Assumptions!$B$10,direct,deficit),direct+charge))</x:f>
        <x:v>339.0713830727122</x:v>
      </x:c>
      <x:c r="L168" s="31" t="n">
        <x:f>IF($A168=0,"",LET(direct,MIN($I168,$D168),surplus,MAX(0,$I168-direct),deficit,MAX(0,$D168-direct),charge,MIN(surplus,Assumptions!$B$10,direct,deficit),surplus-charge))</x:f>
        <x:v>0</x:v>
      </x:c>
      <x:c r="M168" s="31" t="n">
        <x:f>IF($A168=0,"",LET(direct,MIN($I168,$D168),surplus,MAX(0,$I168-direct),deficit,MAX(0,$D168-direct),charge,MIN(surplus,Assumptions!$B$10,direct,deficit),deficit-charge))</x:f>
        <x:v>156.01529920906052</x:v>
      </x:c>
      <x:c r="N168" s="30" t="n">
        <x:f>IF($A168=0,"",$M168*Assumptions!$B$11*IF($A168=0,1,(1+Assumptions!$B$14)^($A168-1)))</x:f>
        <x:v>69.25279306683898</x:v>
      </x:c>
      <x:c r="O168" s="30" t="n">
        <x:f>IF($A168=0,"",$B168*Assumptions!$B$13)</x:f>
        <x:v>21.7</x:v>
      </x:c>
      <x:c r="P168" s="30" t="n">
        <x:f>IF($A168=0,"",$L168*Assumptions!$B$12)</x:f>
        <x:v>0</x:v>
      </x:c>
      <x:c r="Q168" s="30" t="n">
        <x:f>IF($A168=0,"",$N168+$O168-$P168)</x:f>
        <x:v>90.95279306683898</x:v>
      </x:c>
      <x:c r="R168" s="30" t="n">
        <x:f>IF($A168=0,"",$G168-$Q168)</x:f>
        <x:v>150.5085747735293</x:v>
      </x:c>
      <x:c r="S168" s="30" t="n">
        <x:f>IF($A168=0,"",SUM($R$17:R168))</x:f>
        <x:v>15366.334413143399</x:v>
      </x:c>
      <x:c r="T168" s="30" t="n">
        <x:f>IF($A168=0,"",$S168-$H168)</x:f>
        <x:v>9906.834413143399</x:v>
      </x:c>
    </x:row>
    <x:row r="169">
      <x:c r="A169" s="40" t="n">
        <x:v>13</x:v>
      </x:c>
      <x:c r="B169" s="40" t="n">
        <x:v>30</x:v>
      </x:c>
      <x:c r="C169" s="40" t="n">
        <x:v>9</x:v>
      </x:c>
      <x:c r="D169" s="31" t="n">
        <x:f>INDEX(Assumptions!$D$24:$D$35,$C169)</x:f>
        <x:v>484.7338669519189</x:v>
      </x:c>
      <x:c r="E169" s="30" t="n">
        <x:f>$D169*Assumptions!$B$11*IF($A169=0,1,(1+Assumptions!$B$14)^($A169-1))</x:f>
        <x:v>215.16591225792033</x:v>
      </x:c>
      <x:c r="F169" s="30" t="n">
        <x:f>$B169*Assumptions!$B$13</x:f>
        <x:v>21</x:v>
      </x:c>
      <x:c r="G169" s="30" t="n">
        <x:f>$E169+$F169</x:f>
        <x:v>236.16591225792033</x:v>
      </x:c>
      <x:c r="H169" s="30" t="n">
        <x:f>IF($A169=0,"",Assumptions!$B$21)</x:f>
        <x:v>5459.5</x:v>
      </x:c>
      <x:c r="I169" s="31" t="n">
        <x:f>IF($A169=0,"",INDEX(Assumptions!$C$24:$C$35,$C169)*IF($A169=0,"",IF($A169=1,1-Assumptions!$B$16,(1-Assumptions!$B$16)*(1-Assumptions!$B$17)^($A169-1))))</x:f>
        <x:v>249.66324133773298</x:v>
      </x:c>
      <x:c r="J169" s="32" t="n">
        <x:f>IF($A169=0,"",IF($I169&gt;0,$K169/$I169,0))</x:f>
        <x:v>1</x:v>
      </x:c>
      <x:c r="K169" s="31" t="n">
        <x:f>IF($A169=0,"",LET(direct,MIN($I169,$D169),surplus,MAX(0,$I169-direct),deficit,MAX(0,$D169-direct),charge,MIN(surplus,Assumptions!$B$10,direct,deficit),direct+charge))</x:f>
        <x:v>249.66324133773298</x:v>
      </x:c>
      <x:c r="L169" s="31" t="n">
        <x:f>IF($A169=0,"",LET(direct,MIN($I169,$D169),surplus,MAX(0,$I169-direct),deficit,MAX(0,$D169-direct),charge,MIN(surplus,Assumptions!$B$10,direct,deficit),surplus-charge))</x:f>
        <x:v>0</x:v>
      </x:c>
      <x:c r="M169" s="31" t="n">
        <x:f>IF($A169=0,"",LET(direct,MIN($I169,$D169),surplus,MAX(0,$I169-direct),deficit,MAX(0,$D169-direct),charge,MIN(surplus,Assumptions!$B$10,direct,deficit),deficit-charge))</x:f>
        <x:v>235.07062561418593</x:v>
      </x:c>
      <x:c r="N169" s="30" t="n">
        <x:f>IF($A169=0,"",$M169*Assumptions!$B$11*IF($A169=0,1,(1+Assumptions!$B$14)^($A169-1)))</x:f>
        <x:v>104.3442372272564</x:v>
      </x:c>
      <x:c r="O169" s="30" t="n">
        <x:f>IF($A169=0,"",$B169*Assumptions!$B$13)</x:f>
        <x:v>21</x:v>
      </x:c>
      <x:c r="P169" s="30" t="n">
        <x:f>IF($A169=0,"",$L169*Assumptions!$B$12)</x:f>
        <x:v>0</x:v>
      </x:c>
      <x:c r="Q169" s="30" t="n">
        <x:f>IF($A169=0,"",$N169+$O169-$P169)</x:f>
        <x:v>125.3442372272564</x:v>
      </x:c>
      <x:c r="R169" s="30" t="n">
        <x:f>IF($A169=0,"",$G169-$Q169)</x:f>
        <x:v>110.82167503066393</x:v>
      </x:c>
      <x:c r="S169" s="30" t="n">
        <x:f>IF($A169=0,"",SUM($R$17:R169))</x:f>
        <x:v>15477.156088174062</x:v>
      </x:c>
      <x:c r="T169" s="30" t="n">
        <x:f>IF($A169=0,"",$S169-$H169)</x:f>
        <x:v>10017.656088174062</x:v>
      </x:c>
    </x:row>
    <x:row r="170">
      <x:c r="A170" s="40" t="n">
        <x:v>13</x:v>
      </x:c>
      <x:c r="B170" s="40" t="n">
        <x:v>31</x:v>
      </x:c>
      <x:c r="C170" s="40" t="n">
        <x:v>10</x:v>
      </x:c>
      <x:c r="D170" s="31" t="n">
        <x:f>INDEX(Assumptions!$D$24:$D$35,$C170)</x:f>
        <x:v>965.136511636476</x:v>
      </x:c>
      <x:c r="E170" s="30" t="n">
        <x:f>$D170*Assumptions!$B$11*IF($A170=0,1,(1+Assumptions!$B$14)^($A170-1))</x:f>
        <x:v>428.4092615304878</x:v>
      </x:c>
      <x:c r="F170" s="30" t="n">
        <x:f>$B170*Assumptions!$B$13</x:f>
        <x:v>21.7</x:v>
      </x:c>
      <x:c r="G170" s="30" t="n">
        <x:f>$E170+$F170</x:f>
        <x:v>450.1092615304878</x:v>
      </x:c>
      <x:c r="H170" s="30" t="n">
        <x:f>IF($A170=0,"",Assumptions!$B$21)</x:f>
        <x:v>5459.5</x:v>
      </x:c>
      <x:c r="I170" s="31" t="n">
        <x:f>IF($A170=0,"",INDEX(Assumptions!$C$24:$C$35,$C170)*IF($A170=0,"",IF($A170=1,1-Assumptions!$B$16,(1-Assumptions!$B$16)*(1-Assumptions!$B$17)^($A170-1))))</x:f>
        <x:v>174.8042256337543</x:v>
      </x:c>
      <x:c r="J170" s="32" t="n">
        <x:f>IF($A170=0,"",IF($I170&gt;0,$K170/$I170,0))</x:f>
        <x:v>1</x:v>
      </x:c>
      <x:c r="K170" s="31" t="n">
        <x:f>IF($A170=0,"",LET(direct,MIN($I170,$D170),surplus,MAX(0,$I170-direct),deficit,MAX(0,$D170-direct),charge,MIN(surplus,Assumptions!$B$10,direct,deficit),direct+charge))</x:f>
        <x:v>174.8042256337543</x:v>
      </x:c>
      <x:c r="L170" s="31" t="n">
        <x:f>IF($A170=0,"",LET(direct,MIN($I170,$D170),surplus,MAX(0,$I170-direct),deficit,MAX(0,$D170-direct),charge,MIN(surplus,Assumptions!$B$10,direct,deficit),surplus-charge))</x:f>
        <x:v>0</x:v>
      </x:c>
      <x:c r="M170" s="31" t="n">
        <x:f>IF($A170=0,"",LET(direct,MIN($I170,$D170),surplus,MAX(0,$I170-direct),deficit,MAX(0,$D170-direct),charge,MIN(surplus,Assumptions!$B$10,direct,deficit),deficit-charge))</x:f>
        <x:v>790.3322860027217</x:v>
      </x:c>
      <x:c r="N170" s="30" t="n">
        <x:f>IF($A170=0,"",$M170*Assumptions!$B$11*IF($A170=0,1,(1+Assumptions!$B$14)^($A170-1)))</x:f>
        <x:v>350.81635284528375</x:v>
      </x:c>
      <x:c r="O170" s="30" t="n">
        <x:f>IF($A170=0,"",$B170*Assumptions!$B$13)</x:f>
        <x:v>21.7</x:v>
      </x:c>
      <x:c r="P170" s="30" t="n">
        <x:f>IF($A170=0,"",$L170*Assumptions!$B$12)</x:f>
        <x:v>0</x:v>
      </x:c>
      <x:c r="Q170" s="30" t="n">
        <x:f>IF($A170=0,"",$N170+$O170-$P170)</x:f>
        <x:v>372.51635284528373</x:v>
      </x:c>
      <x:c r="R170" s="30" t="n">
        <x:f>IF($A170=0,"",$G170-$Q170)</x:f>
        <x:v>77.59290868520407</x:v>
      </x:c>
      <x:c r="S170" s="30" t="n">
        <x:f>IF($A170=0,"",SUM($R$17:R170))</x:f>
        <x:v>15554.748996859267</x:v>
      </x:c>
      <x:c r="T170" s="30" t="n">
        <x:f>IF($A170=0,"",$S170-$H170)</x:f>
        <x:v>10095.248996859267</x:v>
      </x:c>
    </x:row>
    <x:row r="171">
      <x:c r="A171" s="40" t="n">
        <x:v>13</x:v>
      </x:c>
      <x:c r="B171" s="40" t="n">
        <x:v>30</x:v>
      </x:c>
      <x:c r="C171" s="40" t="n">
        <x:v>11</x:v>
      </x:c>
      <x:c r="D171" s="31" t="n">
        <x:f>INDEX(Assumptions!$D$24:$D$35,$C171)</x:f>
        <x:v>948.3553735444794</x:v>
      </x:c>
      <x:c r="E171" s="30" t="n">
        <x:f>$D171*Assumptions!$B$11*IF($A171=0,1,(1+Assumptions!$B$14)^($A171-1))</x:f>
        <x:v>420.9603722894793</x:v>
      </x:c>
      <x:c r="F171" s="30" t="n">
        <x:f>$B171*Assumptions!$B$13</x:f>
        <x:v>21</x:v>
      </x:c>
      <x:c r="G171" s="30" t="n">
        <x:f>$E171+$F171</x:f>
        <x:v>441.9603722894793</x:v>
      </x:c>
      <x:c r="H171" s="30" t="n">
        <x:f>IF($A171=0,"",Assumptions!$B$21)</x:f>
        <x:v>5459.5</x:v>
      </x:c>
      <x:c r="I171" s="31" t="n">
        <x:f>IF($A171=0,"",INDEX(Assumptions!$C$24:$C$35,$C171)*IF($A171=0,"",IF($A171=1,1-Assumptions!$B$16,(1-Assumptions!$B$16)*(1-Assumptions!$B$17)^($A171-1))))</x:f>
        <x:v>103.78852446643394</x:v>
      </x:c>
      <x:c r="J171" s="32" t="n">
        <x:f>IF($A171=0,"",IF($I171&gt;0,$K171/$I171,0))</x:f>
        <x:v>1</x:v>
      </x:c>
      <x:c r="K171" s="31" t="n">
        <x:f>IF($A171=0,"",LET(direct,MIN($I171,$D171),surplus,MAX(0,$I171-direct),deficit,MAX(0,$D171-direct),charge,MIN(surplus,Assumptions!$B$10,direct,deficit),direct+charge))</x:f>
        <x:v>103.78852446643394</x:v>
      </x:c>
      <x:c r="L171" s="31" t="n">
        <x:f>IF($A171=0,"",LET(direct,MIN($I171,$D171),surplus,MAX(0,$I171-direct),deficit,MAX(0,$D171-direct),charge,MIN(surplus,Assumptions!$B$10,direct,deficit),surplus-charge))</x:f>
        <x:v>0</x:v>
      </x:c>
      <x:c r="M171" s="31" t="n">
        <x:f>IF($A171=0,"",LET(direct,MIN($I171,$D171),surplus,MAX(0,$I171-direct),deficit,MAX(0,$D171-direct),charge,MIN(surplus,Assumptions!$B$10,direct,deficit),deficit-charge))</x:f>
        <x:v>844.5668490780455</x:v>
      </x:c>
      <x:c r="N171" s="30" t="n">
        <x:f>IF($A171=0,"",$M171*Assumptions!$B$11*IF($A171=0,1,(1+Assumptions!$B$14)^($A171-1)))</x:f>
        <x:v>374.8902417059712</x:v>
      </x:c>
      <x:c r="O171" s="30" t="n">
        <x:f>IF($A171=0,"",$B171*Assumptions!$B$13)</x:f>
        <x:v>21</x:v>
      </x:c>
      <x:c r="P171" s="30" t="n">
        <x:f>IF($A171=0,"",$L171*Assumptions!$B$12)</x:f>
        <x:v>0</x:v>
      </x:c>
      <x:c r="Q171" s="30" t="n">
        <x:f>IF($A171=0,"",$N171+$O171-$P171)</x:f>
        <x:v>395.8902417059712</x:v>
      </x:c>
      <x:c r="R171" s="30" t="n">
        <x:f>IF($A171=0,"",$G171-$Q171)</x:f>
        <x:v>46.0701305835081</x:v>
      </x:c>
      <x:c r="S171" s="30" t="n">
        <x:f>IF($A171=0,"",SUM($R$17:R171))</x:f>
        <x:v>15600.819127442775</x:v>
      </x:c>
      <x:c r="T171" s="30" t="n">
        <x:f>IF($A171=0,"",$S171-$H171)</x:f>
        <x:v>10141.319127442775</x:v>
      </x:c>
    </x:row>
    <x:row r="172">
      <x:c r="A172" s="40" t="n">
        <x:v>13</x:v>
      </x:c>
      <x:c r="B172" s="40" t="n">
        <x:v>31</x:v>
      </x:c>
      <x:c r="C172" s="40" t="n">
        <x:v>12</x:v>
      </x:c>
      <x:c r="D172" s="31" t="n">
        <x:f>INDEX(Assumptions!$D$24:$D$35,$C172)</x:f>
        <x:v>928.0413642752205</x:v>
      </x:c>
      <x:c r="E172" s="30" t="n">
        <x:f>$D172*Assumptions!$B$11*IF($A172=0,1,(1+Assumptions!$B$14)^($A172-1))</x:f>
        <x:v>411.94329583983756</x:v>
      </x:c>
      <x:c r="F172" s="30" t="n">
        <x:f>$B172*Assumptions!$B$13</x:f>
        <x:v>21.7</x:v>
      </x:c>
      <x:c r="G172" s="30" t="n">
        <x:f>$E172+$F172</x:f>
        <x:v>433.64329583983755</x:v>
      </x:c>
      <x:c r="H172" s="30" t="n">
        <x:f>IF($A172=0,"",Assumptions!$B$21)</x:f>
        <x:v>5459.5</x:v>
      </x:c>
      <x:c r="I172" s="31" t="n">
        <x:f>IF($A172=0,"",INDEX(Assumptions!$C$24:$C$35,$C172)*IF($A172=0,"",IF($A172=1,1-Assumptions!$B$16,(1-Assumptions!$B$16)*(1-Assumptions!$B$17)^($A172-1))))</x:f>
        <x:v>76.52526728267718</x:v>
      </x:c>
      <x:c r="J172" s="32" t="n">
        <x:f>IF($A172=0,"",IF($I172&gt;0,$K172/$I172,0))</x:f>
        <x:v>1</x:v>
      </x:c>
      <x:c r="K172" s="31" t="n">
        <x:f>IF($A172=0,"",LET(direct,MIN($I172,$D172),surplus,MAX(0,$I172-direct),deficit,MAX(0,$D172-direct),charge,MIN(surplus,Assumptions!$B$10,direct,deficit),direct+charge))</x:f>
        <x:v>76.52526728267718</x:v>
      </x:c>
      <x:c r="L172" s="31" t="n">
        <x:f>IF($A172=0,"",LET(direct,MIN($I172,$D172),surplus,MAX(0,$I172-direct),deficit,MAX(0,$D172-direct),charge,MIN(surplus,Assumptions!$B$10,direct,deficit),surplus-charge))</x:f>
        <x:v>0</x:v>
      </x:c>
      <x:c r="M172" s="31" t="n">
        <x:f>IF($A172=0,"",LET(direct,MIN($I172,$D172),surplus,MAX(0,$I172-direct),deficit,MAX(0,$D172-direct),charge,MIN(surplus,Assumptions!$B$10,direct,deficit),deficit-charge))</x:f>
        <x:v>851.5160969925433</x:v>
      </x:c>
      <x:c r="N172" s="30" t="n">
        <x:f>IF($A172=0,"",$M172*Assumptions!$B$11*IF($A172=0,1,(1+Assumptions!$B$14)^($A172-1)))</x:f>
        <x:v>377.97490603205114</x:v>
      </x:c>
      <x:c r="O172" s="30" t="n">
        <x:f>IF($A172=0,"",$B172*Assumptions!$B$13)</x:f>
        <x:v>21.7</x:v>
      </x:c>
      <x:c r="P172" s="30" t="n">
        <x:f>IF($A172=0,"",$L172*Assumptions!$B$12)</x:f>
        <x:v>0</x:v>
      </x:c>
      <x:c r="Q172" s="30" t="n">
        <x:f>IF($A172=0,"",$N172+$O172-$P172)</x:f>
        <x:v>399.6749060320511</x:v>
      </x:c>
      <x:c r="R172" s="30" t="n">
        <x:f>IF($A172=0,"",$G172-$Q172)</x:f>
        <x:v>33.96838980778642</x:v>
      </x:c>
      <x:c r="S172" s="30" t="n">
        <x:f>IF($A172=0,"",SUM($R$17:R172))</x:f>
        <x:v>15634.787517250561</x:v>
      </x:c>
      <x:c r="T172" s="30" t="n">
        <x:f>IF($A172=0,"",$S172-$H172)</x:f>
        <x:v>10175.287517250561</x:v>
      </x:c>
    </x:row>
    <x:row r="173">
      <x:c r="A173" s="40" t="n">
        <x:v>14</x:v>
      </x:c>
      <x:c r="B173" s="40" t="n">
        <x:v>31</x:v>
      </x:c>
      <x:c r="C173" s="40" t="n">
        <x:v>1</x:v>
      </x:c>
      <x:c r="D173" s="31" t="n">
        <x:f>INDEX(Assumptions!$D$24:$D$35,$C173)</x:f>
        <x:v>921.8588397150115</x:v>
      </x:c>
      <x:c r="E173" s="30" t="n">
        <x:f>$D173*Assumptions!$B$11*IF($A173=0,1,(1+Assumptions!$B$14)^($A173-1))</x:f>
        <x:v>417.3829475892239</x:v>
      </x:c>
      <x:c r="F173" s="30" t="n">
        <x:f>$B173*Assumptions!$B$13</x:f>
        <x:v>21.7</x:v>
      </x:c>
      <x:c r="G173" s="30" t="n">
        <x:f>$E173+$F173</x:f>
        <x:v>439.08294758922386</x:v>
      </x:c>
      <x:c r="H173" s="30" t="n">
        <x:f>IF($A173=0,"",Assumptions!$B$21)</x:f>
        <x:v>5459.5</x:v>
      </x:c>
      <x:c r="I173" s="31" t="n">
        <x:f>IF($A173=0,"",INDEX(Assumptions!$C$24:$C$35,$C173)*IF($A173=0,"",IF($A173=1,1-Assumptions!$B$16,(1-Assumptions!$B$16)*(1-Assumptions!$B$17)^($A173-1))))</x:f>
        <x:v>92.77837637197477</x:v>
      </x:c>
      <x:c r="J173" s="32" t="n">
        <x:f>IF($A173=0,"",IF($I173&gt;0,$K173/$I173,0))</x:f>
        <x:v>1</x:v>
      </x:c>
      <x:c r="K173" s="31" t="n">
        <x:f>IF($A173=0,"",LET(direct,MIN($I173,$D173),surplus,MAX(0,$I173-direct),deficit,MAX(0,$D173-direct),charge,MIN(surplus,Assumptions!$B$10,direct,deficit),direct+charge))</x:f>
        <x:v>92.77837637197477</x:v>
      </x:c>
      <x:c r="L173" s="31" t="n">
        <x:f>IF($A173=0,"",LET(direct,MIN($I173,$D173),surplus,MAX(0,$I173-direct),deficit,MAX(0,$D173-direct),charge,MIN(surplus,Assumptions!$B$10,direct,deficit),surplus-charge))</x:f>
        <x:v>0</x:v>
      </x:c>
      <x:c r="M173" s="31" t="n">
        <x:f>IF($A173=0,"",LET(direct,MIN($I173,$D173),surplus,MAX(0,$I173-direct),deficit,MAX(0,$D173-direct),charge,MIN(surplus,Assumptions!$B$10,direct,deficit),deficit-charge))</x:f>
        <x:v>829.0804633430367</x:v>
      </x:c>
      <x:c r="N173" s="30" t="n">
        <x:f>IF($A173=0,"",$M173*Assumptions!$B$11*IF($A173=0,1,(1+Assumptions!$B$14)^($A173-1)))</x:f>
        <x:v>375.3763945960903</x:v>
      </x:c>
      <x:c r="O173" s="30" t="n">
        <x:f>IF($A173=0,"",$B173*Assumptions!$B$13)</x:f>
        <x:v>21.7</x:v>
      </x:c>
      <x:c r="P173" s="30" t="n">
        <x:f>IF($A173=0,"",$L173*Assumptions!$B$12)</x:f>
        <x:v>0</x:v>
      </x:c>
      <x:c r="Q173" s="30" t="n">
        <x:f>IF($A173=0,"",$N173+$O173-$P173)</x:f>
        <x:v>397.07639459609027</x:v>
      </x:c>
      <x:c r="R173" s="30" t="n">
        <x:f>IF($A173=0,"",$G173-$Q173)</x:f>
        <x:v>42.006552993133596</x:v>
      </x:c>
      <x:c r="S173" s="30" t="n">
        <x:f>IF($A173=0,"",SUM($R$17:R173))</x:f>
        <x:v>15676.794070243695</x:v>
      </x:c>
      <x:c r="T173" s="30" t="n">
        <x:f>IF($A173=0,"",$S173-$H173)</x:f>
        <x:v>10217.294070243695</x:v>
      </x:c>
    </x:row>
    <x:row r="174">
      <x:c r="A174" s="40" t="n">
        <x:v>14</x:v>
      </x:c>
      <x:c r="B174" s="40" t="n">
        <x:v>28</x:v>
      </x:c>
      <x:c r="C174" s="40" t="n">
        <x:v>2</x:v>
      </x:c>
      <x:c r="D174" s="31" t="n">
        <x:f>INDEX(Assumptions!$D$24:$D$35,$C174)</x:f>
        <x:v>923.6252753036425</x:v>
      </x:c>
      <x:c r="E174" s="30" t="n">
        <x:f>$D174*Assumptions!$B$11*IF($A174=0,1,(1+Assumptions!$B$14)^($A174-1))</x:f>
        <x:v>418.1827230656268</x:v>
      </x:c>
      <x:c r="F174" s="30" t="n">
        <x:f>$B174*Assumptions!$B$13</x:f>
        <x:v>19.599999999999998</x:v>
      </x:c>
      <x:c r="G174" s="30" t="n">
        <x:f>$E174+$F174</x:f>
        <x:v>437.78272306562684</x:v>
      </x:c>
      <x:c r="H174" s="30" t="n">
        <x:f>IF($A174=0,"",Assumptions!$B$21)</x:f>
        <x:v>5459.5</x:v>
      </x:c>
      <x:c r="I174" s="31" t="n">
        <x:f>IF($A174=0,"",INDEX(Assumptions!$C$24:$C$35,$C174)*IF($A174=0,"",IF($A174=1,1-Assumptions!$B$16,(1-Assumptions!$B$16)*(1-Assumptions!$B$17)^($A174-1))))</x:f>
        <x:v>146.6747699013547</x:v>
      </x:c>
      <x:c r="J174" s="32" t="n">
        <x:f>IF($A174=0,"",IF($I174&gt;0,$K174/$I174,0))</x:f>
        <x:v>1</x:v>
      </x:c>
      <x:c r="K174" s="31" t="n">
        <x:f>IF($A174=0,"",LET(direct,MIN($I174,$D174),surplus,MAX(0,$I174-direct),deficit,MAX(0,$D174-direct),charge,MIN(surplus,Assumptions!$B$10,direct,deficit),direct+charge))</x:f>
        <x:v>146.6747699013547</x:v>
      </x:c>
      <x:c r="L174" s="31" t="n">
        <x:f>IF($A174=0,"",LET(direct,MIN($I174,$D174),surplus,MAX(0,$I174-direct),deficit,MAX(0,$D174-direct),charge,MIN(surplus,Assumptions!$B$10,direct,deficit),surplus-charge))</x:f>
        <x:v>0</x:v>
      </x:c>
      <x:c r="M174" s="31" t="n">
        <x:f>IF($A174=0,"",LET(direct,MIN($I174,$D174),surplus,MAX(0,$I174-direct),deficit,MAX(0,$D174-direct),charge,MIN(surplus,Assumptions!$B$10,direct,deficit),deficit-charge))</x:f>
        <x:v>776.9505054022878</x:v>
      </x:c>
      <x:c r="N174" s="30" t="n">
        <x:f>IF($A174=0,"",$M174*Assumptions!$B$11*IF($A174=0,1,(1+Assumptions!$B$14)^($A174-1)))</x:f>
        <x:v>351.77391386298973</x:v>
      </x:c>
      <x:c r="O174" s="30" t="n">
        <x:f>IF($A174=0,"",$B174*Assumptions!$B$13)</x:f>
        <x:v>19.599999999999998</x:v>
      </x:c>
      <x:c r="P174" s="30" t="n">
        <x:f>IF($A174=0,"",$L174*Assumptions!$B$12)</x:f>
        <x:v>0</x:v>
      </x:c>
      <x:c r="Q174" s="30" t="n">
        <x:f>IF($A174=0,"",$N174+$O174-$P174)</x:f>
        <x:v>371.37391386298975</x:v>
      </x:c>
      <x:c r="R174" s="30" t="n">
        <x:f>IF($A174=0,"",$G174-$Q174)</x:f>
        <x:v>66.40880920263709</x:v>
      </x:c>
      <x:c r="S174" s="30" t="n">
        <x:f>IF($A174=0,"",SUM($R$17:R174))</x:f>
        <x:v>15743.202879446333</x:v>
      </x:c>
      <x:c r="T174" s="30" t="n">
        <x:f>IF($A174=0,"",$S174-$H174)</x:f>
        <x:v>10283.702879446333</x:v>
      </x:c>
    </x:row>
    <x:row r="175">
      <x:c r="A175" s="40" t="n">
        <x:v>14</x:v>
      </x:c>
      <x:c r="B175" s="40" t="n">
        <x:v>31</x:v>
      </x:c>
      <x:c r="C175" s="40" t="n">
        <x:v>3</x:v>
      </x:c>
      <x:c r="D175" s="31" t="n">
        <x:f>INDEX(Assumptions!$D$24:$D$35,$C175)</x:f>
        <x:v>907.7273550059616</x:v>
      </x:c>
      <x:c r="E175" s="30" t="n">
        <x:f>$D175*Assumptions!$B$11*IF($A175=0,1,(1+Assumptions!$B$14)^($A175-1))</x:f>
        <x:v>410.9847437779997</x:v>
      </x:c>
      <x:c r="F175" s="30" t="n">
        <x:f>$B175*Assumptions!$B$13</x:f>
        <x:v>21.7</x:v>
      </x:c>
      <x:c r="G175" s="30" t="n">
        <x:f>$E175+$F175</x:f>
        <x:v>432.6847437779997</x:v>
      </x:c>
      <x:c r="H175" s="30" t="n">
        <x:f>IF($A175=0,"",Assumptions!$B$21)</x:f>
        <x:v>5459.5</x:v>
      </x:c>
      <x:c r="I175" s="31" t="n">
        <x:f>IF($A175=0,"",INDEX(Assumptions!$C$24:$C$35,$C175)*IF($A175=0,"",IF($A175=1,1-Assumptions!$B$16,(1-Assumptions!$B$16)*(1-Assumptions!$B$17)^($A175-1))))</x:f>
        <x:v>258.91213002898144</x:v>
      </x:c>
      <x:c r="J175" s="32" t="n">
        <x:f>IF($A175=0,"",IF($I175&gt;0,$K175/$I175,0))</x:f>
        <x:v>1</x:v>
      </x:c>
      <x:c r="K175" s="31" t="n">
        <x:f>IF($A175=0,"",LET(direct,MIN($I175,$D175),surplus,MAX(0,$I175-direct),deficit,MAX(0,$D175-direct),charge,MIN(surplus,Assumptions!$B$10,direct,deficit),direct+charge))</x:f>
        <x:v>258.91213002898144</x:v>
      </x:c>
      <x:c r="L175" s="31" t="n">
        <x:f>IF($A175=0,"",LET(direct,MIN($I175,$D175),surplus,MAX(0,$I175-direct),deficit,MAX(0,$D175-direct),charge,MIN(surplus,Assumptions!$B$10,direct,deficit),surplus-charge))</x:f>
        <x:v>0</x:v>
      </x:c>
      <x:c r="M175" s="31" t="n">
        <x:f>IF($A175=0,"",LET(direct,MIN($I175,$D175),surplus,MAX(0,$I175-direct),deficit,MAX(0,$D175-direct),charge,MIN(surplus,Assumptions!$B$10,direct,deficit),deficit-charge))</x:f>
        <x:v>648.8152249769802</x:v>
      </x:c>
      <x:c r="N175" s="30" t="n">
        <x:f>IF($A175=0,"",$M175*Assumptions!$B$11*IF($A175=0,1,(1+Assumptions!$B$14)^($A175-1)))</x:f>
        <x:v>293.75908693935764</x:v>
      </x:c>
      <x:c r="O175" s="30" t="n">
        <x:f>IF($A175=0,"",$B175*Assumptions!$B$13)</x:f>
        <x:v>21.7</x:v>
      </x:c>
      <x:c r="P175" s="30" t="n">
        <x:f>IF($A175=0,"",$L175*Assumptions!$B$12)</x:f>
        <x:v>0</x:v>
      </x:c>
      <x:c r="Q175" s="30" t="n">
        <x:f>IF($A175=0,"",$N175+$O175-$P175)</x:f>
        <x:v>315.45908693935763</x:v>
      </x:c>
      <x:c r="R175" s="30" t="n">
        <x:f>IF($A175=0,"",$G175-$Q175)</x:f>
        <x:v>117.22565683864207</x:v>
      </x:c>
      <x:c r="S175" s="30" t="n">
        <x:f>IF($A175=0,"",SUM($R$17:R175))</x:f>
        <x:v>15860.428536284975</x:v>
      </x:c>
      <x:c r="T175" s="30" t="n">
        <x:f>IF($A175=0,"",$S175-$H175)</x:f>
        <x:v>10400.928536284975</x:v>
      </x:c>
    </x:row>
    <x:row r="176">
      <x:c r="A176" s="40" t="n">
        <x:v>14</x:v>
      </x:c>
      <x:c r="B176" s="40" t="n">
        <x:v>30</x:v>
      </x:c>
      <x:c r="C176" s="40" t="n">
        <x:v>4</x:v>
      </x:c>
      <x:c r="D176" s="31" t="n">
        <x:f>INDEX(Assumptions!$D$24:$D$35,$C176)</x:f>
        <x:v>951.0050269274262</x:v>
      </x:c>
      <x:c r="E176" s="30" t="n">
        <x:f>$D176*Assumptions!$B$11*IF($A176=0,1,(1+Assumptions!$B$14)^($A176-1))</x:f>
        <x:v>430.57924294987345</x:v>
      </x:c>
      <x:c r="F176" s="30" t="n">
        <x:f>$B176*Assumptions!$B$13</x:f>
        <x:v>21</x:v>
      </x:c>
      <x:c r="G176" s="30" t="n">
        <x:f>$E176+$F176</x:f>
        <x:v>451.57924294987345</x:v>
      </x:c>
      <x:c r="H176" s="30" t="n">
        <x:f>IF($A176=0,"",Assumptions!$B$21)</x:f>
        <x:v>5459.5</x:v>
      </x:c>
      <x:c r="I176" s="31" t="n">
        <x:f>IF($A176=0,"",INDEX(Assumptions!$C$24:$C$35,$C176)*IF($A176=0,"",IF($A176=1,1-Assumptions!$B$16,(1-Assumptions!$B$16)*(1-Assumptions!$B$17)^($A176-1))))</x:f>
        <x:v>344.79283400342086</x:v>
      </x:c>
      <x:c r="J176" s="32" t="n">
        <x:f>IF($A176=0,"",IF($I176&gt;0,$K176/$I176,0))</x:f>
        <x:v>1</x:v>
      </x:c>
      <x:c r="K176" s="31" t="n">
        <x:f>IF($A176=0,"",LET(direct,MIN($I176,$D176),surplus,MAX(0,$I176-direct),deficit,MAX(0,$D176-direct),charge,MIN(surplus,Assumptions!$B$10,direct,deficit),direct+charge))</x:f>
        <x:v>344.79283400342086</x:v>
      </x:c>
      <x:c r="L176" s="31" t="n">
        <x:f>IF($A176=0,"",LET(direct,MIN($I176,$D176),surplus,MAX(0,$I176-direct),deficit,MAX(0,$D176-direct),charge,MIN(surplus,Assumptions!$B$10,direct,deficit),surplus-charge))</x:f>
        <x:v>0</x:v>
      </x:c>
      <x:c r="M176" s="31" t="n">
        <x:f>IF($A176=0,"",LET(direct,MIN($I176,$D176),surplus,MAX(0,$I176-direct),deficit,MAX(0,$D176-direct),charge,MIN(surplus,Assumptions!$B$10,direct,deficit),deficit-charge))</x:f>
        <x:v>606.2121929240054</x:v>
      </x:c>
      <x:c r="N176" s="30" t="n">
        <x:f>IF($A176=0,"",$M176*Assumptions!$B$11*IF($A176=0,1,(1+Assumptions!$B$14)^($A176-1)))</x:f>
        <x:v>274.4700392799503</x:v>
      </x:c>
      <x:c r="O176" s="30" t="n">
        <x:f>IF($A176=0,"",$B176*Assumptions!$B$13)</x:f>
        <x:v>21</x:v>
      </x:c>
      <x:c r="P176" s="30" t="n">
        <x:f>IF($A176=0,"",$L176*Assumptions!$B$12)</x:f>
        <x:v>0</x:v>
      </x:c>
      <x:c r="Q176" s="30" t="n">
        <x:f>IF($A176=0,"",$N176+$O176-$P176)</x:f>
        <x:v>295.4700392799503</x:v>
      </x:c>
      <x:c r="R176" s="30" t="n">
        <x:f>IF($A176=0,"",$G176-$Q176)</x:f>
        <x:v>156.10920366992315</x:v>
      </x:c>
      <x:c r="S176" s="30" t="n">
        <x:f>IF($A176=0,"",SUM($R$17:R176))</x:f>
        <x:v>16016.537739954898</x:v>
      </x:c>
      <x:c r="T176" s="30" t="n">
        <x:f>IF($A176=0,"",$S176-$H176)</x:f>
        <x:v>10557.037739954898</x:v>
      </x:c>
    </x:row>
    <x:row r="177">
      <x:c r="A177" s="40" t="n">
        <x:v>14</x:v>
      </x:c>
      <x:c r="B177" s="40" t="n">
        <x:v>31</x:v>
      </x:c>
      <x:c r="C177" s="40" t="n">
        <x:v>5</x:v>
      </x:c>
      <x:c r="D177" s="31" t="n">
        <x:f>INDEX(Assumptions!$D$24:$D$35,$C177)</x:f>
        <x:v>480.47094299256736</x:v>
      </x:c>
      <x:c r="E177" s="30" t="n">
        <x:f>$D177*Assumptions!$B$11*IF($A177=0,1,(1+Assumptions!$B$14)^($A177-1))</x:f>
        <x:v>217.5391391584506</x:v>
      </x:c>
      <x:c r="F177" s="30" t="n">
        <x:f>$B177*Assumptions!$B$13</x:f>
        <x:v>21.7</x:v>
      </x:c>
      <x:c r="G177" s="30" t="n">
        <x:f>$E177+$F177</x:f>
        <x:v>239.2391391584506</x:v>
      </x:c>
      <x:c r="H177" s="30" t="n">
        <x:f>IF($A177=0,"",Assumptions!$B$21)</x:f>
        <x:v>5459.5</x:v>
      </x:c>
      <x:c r="I177" s="31" t="n">
        <x:f>IF($A177=0,"",INDEX(Assumptions!$C$24:$C$35,$C177)*IF($A177=0,"",IF($A177=1,1-Assumptions!$B$16,(1-Assumptions!$B$16)*(1-Assumptions!$B$17)^($A177-1))))</x:f>
        <x:v>381.99584614608716</x:v>
      </x:c>
      <x:c r="J177" s="32" t="n">
        <x:f>IF($A177=0,"",IF($I177&gt;0,$K177/$I177,0))</x:f>
        <x:v>1</x:v>
      </x:c>
      <x:c r="K177" s="31" t="n">
        <x:f>IF($A177=0,"",LET(direct,MIN($I177,$D177),surplus,MAX(0,$I177-direct),deficit,MAX(0,$D177-direct),charge,MIN(surplus,Assumptions!$B$10,direct,deficit),direct+charge))</x:f>
        <x:v>381.99584614608716</x:v>
      </x:c>
      <x:c r="L177" s="31" t="n">
        <x:f>IF($A177=0,"",LET(direct,MIN($I177,$D177),surplus,MAX(0,$I177-direct),deficit,MAX(0,$D177-direct),charge,MIN(surplus,Assumptions!$B$10,direct,deficit),surplus-charge))</x:f>
        <x:v>0</x:v>
      </x:c>
      <x:c r="M177" s="31" t="n">
        <x:f>IF($A177=0,"",LET(direct,MIN($I177,$D177),surplus,MAX(0,$I177-direct),deficit,MAX(0,$D177-direct),charge,MIN(surplus,Assumptions!$B$10,direct,deficit),deficit-charge))</x:f>
        <x:v>98.4750968464802</x:v>
      </x:c>
      <x:c r="N177" s="30" t="n">
        <x:f>IF($A177=0,"",$M177*Assumptions!$B$11*IF($A177=0,1,(1+Assumptions!$B$14)^($A177-1)))</x:f>
        <x:v>44.58581337531528</x:v>
      </x:c>
      <x:c r="O177" s="30" t="n">
        <x:f>IF($A177=0,"",$B177*Assumptions!$B$13)</x:f>
        <x:v>21.7</x:v>
      </x:c>
      <x:c r="P177" s="30" t="n">
        <x:f>IF($A177=0,"",$L177*Assumptions!$B$12)</x:f>
        <x:v>0</x:v>
      </x:c>
      <x:c r="Q177" s="30" t="n">
        <x:f>IF($A177=0,"",$N177+$O177-$P177)</x:f>
        <x:v>66.28581337531529</x:v>
      </x:c>
      <x:c r="R177" s="30" t="n">
        <x:f>IF($A177=0,"",$G177-$Q177)</x:f>
        <x:v>172.9533257831353</x:v>
      </x:c>
      <x:c r="S177" s="30" t="n">
        <x:f>IF($A177=0,"",SUM($R$17:R177))</x:f>
        <x:v>16189.491065738033</x:v>
      </x:c>
      <x:c r="T177" s="30" t="n">
        <x:f>IF($A177=0,"",$S177-$H177)</x:f>
        <x:v>10729.991065738033</x:v>
      </x:c>
    </x:row>
    <x:row r="178">
      <x:c r="A178" s="40" t="n">
        <x:v>14</x:v>
      </x:c>
      <x:c r="B178" s="40" t="n">
        <x:v>30</x:v>
      </x:c>
      <x:c r="C178" s="40" t="n">
        <x:v>6</x:v>
      </x:c>
      <x:c r="D178" s="31" t="n">
        <x:f>INDEX(Assumptions!$D$24:$D$35,$C178)</x:f>
        <x:v>491.73724202799656</x:v>
      </x:c>
      <x:c r="E178" s="30" t="n">
        <x:f>$D178*Assumptions!$B$11*IF($A178=0,1,(1+Assumptions!$B$14)^($A178-1))</x:f>
        <x:v>222.64009485496786</x:v>
      </x:c>
      <x:c r="F178" s="30" t="n">
        <x:f>$B178*Assumptions!$B$13</x:f>
        <x:v>21</x:v>
      </x:c>
      <x:c r="G178" s="30" t="n">
        <x:f>$E178+$F178</x:f>
        <x:v>243.64009485496786</x:v>
      </x:c>
      <x:c r="H178" s="30" t="n">
        <x:f>IF($A178=0,"",Assumptions!$B$21)</x:f>
        <x:v>5459.5</x:v>
      </x:c>
      <x:c r="I178" s="31" t="n">
        <x:f>IF($A178=0,"",INDEX(Assumptions!$C$24:$C$35,$C178)*IF($A178=0,"",IF($A178=1,1-Assumptions!$B$16,(1-Assumptions!$B$16)*(1-Assumptions!$B$17)^($A178-1))))</x:f>
        <x:v>391.70055814542087</x:v>
      </x:c>
      <x:c r="J178" s="32" t="n">
        <x:f>IF($A178=0,"",IF($I178&gt;0,$K178/$I178,0))</x:f>
        <x:v>1</x:v>
      </x:c>
      <x:c r="K178" s="31" t="n">
        <x:f>IF($A178=0,"",LET(direct,MIN($I178,$D178),surplus,MAX(0,$I178-direct),deficit,MAX(0,$D178-direct),charge,MIN(surplus,Assumptions!$B$10,direct,deficit),direct+charge))</x:f>
        <x:v>391.70055814542087</x:v>
      </x:c>
      <x:c r="L178" s="31" t="n">
        <x:f>IF($A178=0,"",LET(direct,MIN($I178,$D178),surplus,MAX(0,$I178-direct),deficit,MAX(0,$D178-direct),charge,MIN(surplus,Assumptions!$B$10,direct,deficit),surplus-charge))</x:f>
        <x:v>0</x:v>
      </x:c>
      <x:c r="M178" s="31" t="n">
        <x:f>IF($A178=0,"",LET(direct,MIN($I178,$D178),surplus,MAX(0,$I178-direct),deficit,MAX(0,$D178-direct),charge,MIN(surplus,Assumptions!$B$10,direct,deficit),deficit-charge))</x:f>
        <x:v>100.03668388257569</x:v>
      </x:c>
      <x:c r="N178" s="30" t="n">
        <x:f>IF($A178=0,"",$M178*Assumptions!$B$11*IF($A178=0,1,(1+Assumptions!$B$14)^($A178-1)))</x:f>
        <x:v>45.29284114568862</x:v>
      </x:c>
      <x:c r="O178" s="30" t="n">
        <x:f>IF($A178=0,"",$B178*Assumptions!$B$13)</x:f>
        <x:v>21</x:v>
      </x:c>
      <x:c r="P178" s="30" t="n">
        <x:f>IF($A178=0,"",$L178*Assumptions!$B$12)</x:f>
        <x:v>0</x:v>
      </x:c>
      <x:c r="Q178" s="30" t="n">
        <x:f>IF($A178=0,"",$N178+$O178-$P178)</x:f>
        <x:v>66.29284114568861</x:v>
      </x:c>
      <x:c r="R178" s="30" t="n">
        <x:f>IF($A178=0,"",$G178-$Q178)</x:f>
        <x:v>177.34725370927924</x:v>
      </x:c>
      <x:c r="S178" s="30" t="n">
        <x:f>IF($A178=0,"",SUM($R$17:R178))</x:f>
        <x:v>16366.838319447312</x:v>
      </x:c>
      <x:c r="T178" s="30" t="n">
        <x:f>IF($A178=0,"",$S178-$H178)</x:f>
        <x:v>10907.338319447312</x:v>
      </x:c>
    </x:row>
    <x:row r="179">
      <x:c r="A179" s="40" t="n">
        <x:v>14</x:v>
      </x:c>
      <x:c r="B179" s="40" t="n">
        <x:v>31</x:v>
      </x:c>
      <x:c r="C179" s="40" t="n">
        <x:v>7</x:v>
      </x:c>
      <x:c r="D179" s="31" t="n">
        <x:f>INDEX(Assumptions!$D$24:$D$35,$C179)</x:f>
        <x:v>504.2215193375261</x:v>
      </x:c>
      <x:c r="E179" s="30" t="n">
        <x:f>$D179*Assumptions!$B$11*IF($A179=0,1,(1+Assumptions!$B$14)^($A179-1))</x:f>
        <x:v>228.29250522137883</x:v>
      </x:c>
      <x:c r="F179" s="30" t="n">
        <x:f>$B179*Assumptions!$B$13</x:f>
        <x:v>21.7</x:v>
      </x:c>
      <x:c r="G179" s="30" t="n">
        <x:f>$E179+$F179</x:f>
        <x:v>249.99250522137882</x:v>
      </x:c>
      <x:c r="H179" s="30" t="n">
        <x:f>IF($A179=0,"",Assumptions!$B$21)</x:f>
        <x:v>5459.5</x:v>
      </x:c>
      <x:c r="I179" s="31" t="n">
        <x:f>IF($A179=0,"",INDEX(Assumptions!$C$24:$C$35,$C179)*IF($A179=0,"",IF($A179=1,1-Assumptions!$B$16,(1-Assumptions!$B$16)*(1-Assumptions!$B$17)^($A179-1))))</x:f>
        <x:v>404.7390994063095</x:v>
      </x:c>
      <x:c r="J179" s="32" t="n">
        <x:f>IF($A179=0,"",IF($I179&gt;0,$K179/$I179,0))</x:f>
        <x:v>1</x:v>
      </x:c>
      <x:c r="K179" s="31" t="n">
        <x:f>IF($A179=0,"",LET(direct,MIN($I179,$D179),surplus,MAX(0,$I179-direct),deficit,MAX(0,$D179-direct),charge,MIN(surplus,Assumptions!$B$10,direct,deficit),direct+charge))</x:f>
        <x:v>404.7390994063095</x:v>
      </x:c>
      <x:c r="L179" s="31" t="n">
        <x:f>IF($A179=0,"",LET(direct,MIN($I179,$D179),surplus,MAX(0,$I179-direct),deficit,MAX(0,$D179-direct),charge,MIN(surplus,Assumptions!$B$10,direct,deficit),surplus-charge))</x:f>
        <x:v>0</x:v>
      </x:c>
      <x:c r="M179" s="31" t="n">
        <x:f>IF($A179=0,"",LET(direct,MIN($I179,$D179),surplus,MAX(0,$I179-direct),deficit,MAX(0,$D179-direct),charge,MIN(surplus,Assumptions!$B$10,direct,deficit),deficit-charge))</x:f>
        <x:v>99.48241993121661</x:v>
      </x:c>
      <x:c r="N179" s="30" t="n">
        <x:f>IF($A179=0,"",$M179*Assumptions!$B$11*IF($A179=0,1,(1+Assumptions!$B$14)^($A179-1)))</x:f>
        <x:v>45.041891312813746</x:v>
      </x:c>
      <x:c r="O179" s="30" t="n">
        <x:f>IF($A179=0,"",$B179*Assumptions!$B$13)</x:f>
        <x:v>21.7</x:v>
      </x:c>
      <x:c r="P179" s="30" t="n">
        <x:f>IF($A179=0,"",$L179*Assumptions!$B$12)</x:f>
        <x:v>0</x:v>
      </x:c>
      <x:c r="Q179" s="30" t="n">
        <x:f>IF($A179=0,"",$N179+$O179-$P179)</x:f>
        <x:v>66.74189131281375</x:v>
      </x:c>
      <x:c r="R179" s="30" t="n">
        <x:f>IF($A179=0,"",$G179-$Q179)</x:f>
        <x:v>183.25061390856507</x:v>
      </x:c>
      <x:c r="S179" s="30" t="n">
        <x:f>IF($A179=0,"",SUM($R$17:R179))</x:f>
        <x:v>16550.088933355877</x:v>
      </x:c>
      <x:c r="T179" s="30" t="n">
        <x:f>IF($A179=0,"",$S179-$H179)</x:f>
        <x:v>11090.588933355877</x:v>
      </x:c>
    </x:row>
    <x:row r="180">
      <x:c r="A180" s="40" t="n">
        <x:v>14</x:v>
      </x:c>
      <x:c r="B180" s="40" t="n">
        <x:v>31</x:v>
      </x:c>
      <x:c r="C180" s="40" t="n">
        <x:v>8</x:v>
      </x:c>
      <x:c r="D180" s="31" t="n">
        <x:f>INDEX(Assumptions!$D$24:$D$35,$C180)</x:f>
        <x:v>495.0866822817727</x:v>
      </x:c>
      <x:c r="E180" s="30" t="n">
        <x:f>$D180*Assumptions!$B$11*IF($A180=0,1,(1+Assumptions!$B$14)^($A180-1))</x:f>
        <x:v>224.15659519717568</x:v>
      </x:c>
      <x:c r="F180" s="30" t="n">
        <x:f>$B180*Assumptions!$B$13</x:f>
        <x:v>21.7</x:v>
      </x:c>
      <x:c r="G180" s="30" t="n">
        <x:f>$E180+$F180</x:f>
        <x:v>245.85659519717566</x:v>
      </x:c>
      <x:c r="H180" s="30" t="n">
        <x:f>IF($A180=0,"",Assumptions!$B$21)</x:f>
        <x:v>5459.5</x:v>
      </x:c>
      <x:c r="I180" s="31" t="n">
        <x:f>IF($A180=0,"",INDEX(Assumptions!$C$24:$C$35,$C180)*IF($A180=0,"",IF($A180=1,1-Assumptions!$B$16,(1-Assumptions!$B$16)*(1-Assumptions!$B$17)^($A180-1))))</x:f>
        <x:v>337.71509754042137</x:v>
      </x:c>
      <x:c r="J180" s="32" t="n">
        <x:f>IF($A180=0,"",IF($I180&gt;0,$K180/$I180,0))</x:f>
        <x:v>1</x:v>
      </x:c>
      <x:c r="K180" s="31" t="n">
        <x:f>IF($A180=0,"",LET(direct,MIN($I180,$D180),surplus,MAX(0,$I180-direct),deficit,MAX(0,$D180-direct),charge,MIN(surplus,Assumptions!$B$10,direct,deficit),direct+charge))</x:f>
        <x:v>337.71509754042137</x:v>
      </x:c>
      <x:c r="L180" s="31" t="n">
        <x:f>IF($A180=0,"",LET(direct,MIN($I180,$D180),surplus,MAX(0,$I180-direct),deficit,MAX(0,$D180-direct),charge,MIN(surplus,Assumptions!$B$10,direct,deficit),surplus-charge))</x:f>
        <x:v>0</x:v>
      </x:c>
      <x:c r="M180" s="31" t="n">
        <x:f>IF($A180=0,"",LET(direct,MIN($I180,$D180),surplus,MAX(0,$I180-direct),deficit,MAX(0,$D180-direct),charge,MIN(surplus,Assumptions!$B$10,direct,deficit),deficit-charge))</x:f>
        <x:v>157.37158474135134</x:v>
      </x:c>
      <x:c r="N180" s="30" t="n">
        <x:f>IF($A180=0,"",$M180*Assumptions!$B$11*IF($A180=0,1,(1+Assumptions!$B$14)^($A180-1)))</x:f>
        <x:v>71.25192391325176</x:v>
      </x:c>
      <x:c r="O180" s="30" t="n">
        <x:f>IF($A180=0,"",$B180*Assumptions!$B$13)</x:f>
        <x:v>21.7</x:v>
      </x:c>
      <x:c r="P180" s="30" t="n">
        <x:f>IF($A180=0,"",$L180*Assumptions!$B$12)</x:f>
        <x:v>0</x:v>
      </x:c>
      <x:c r="Q180" s="30" t="n">
        <x:f>IF($A180=0,"",$N180+$O180-$P180)</x:f>
        <x:v>92.95192391325176</x:v>
      </x:c>
      <x:c r="R180" s="30" t="n">
        <x:f>IF($A180=0,"",$G180-$Q180)</x:f>
        <x:v>152.9046712839239</x:v>
      </x:c>
      <x:c r="S180" s="30" t="n">
        <x:f>IF($A180=0,"",SUM($R$17:R180))</x:f>
        <x:v>16702.9936046398</x:v>
      </x:c>
      <x:c r="T180" s="30" t="n">
        <x:f>IF($A180=0,"",$S180-$H180)</x:f>
        <x:v>11243.4936046398</x:v>
      </x:c>
    </x:row>
    <x:row r="181">
      <x:c r="A181" s="40" t="n">
        <x:v>14</x:v>
      </x:c>
      <x:c r="B181" s="40" t="n">
        <x:v>30</x:v>
      </x:c>
      <x:c r="C181" s="40" t="n">
        <x:v>9</x:v>
      </x:c>
      <x:c r="D181" s="31" t="n">
        <x:f>INDEX(Assumptions!$D$24:$D$35,$C181)</x:f>
        <x:v>484.7338669519189</x:v>
      </x:c>
      <x:c r="E181" s="30" t="n">
        <x:f>$D181*Assumptions!$B$11*IF($A181=0,1,(1+Assumptions!$B$14)^($A181-1))</x:f>
        <x:v>219.46923050307876</x:v>
      </x:c>
      <x:c r="F181" s="30" t="n">
        <x:f>$B181*Assumptions!$B$13</x:f>
        <x:v>21</x:v>
      </x:c>
      <x:c r="G181" s="30" t="n">
        <x:f>$E181+$F181</x:f>
        <x:v>240.46923050307876</x:v>
      </x:c>
      <x:c r="H181" s="30" t="n">
        <x:f>IF($A181=0,"",Assumptions!$B$21)</x:f>
        <x:v>5459.5</x:v>
      </x:c>
      <x:c r="I181" s="31" t="n">
        <x:f>IF($A181=0,"",INDEX(Assumptions!$C$24:$C$35,$C181)*IF($A181=0,"",IF($A181=1,1-Assumptions!$B$16,(1-Assumptions!$B$16)*(1-Assumptions!$B$17)^($A181-1))))</x:f>
        <x:v>248.66458837238207</x:v>
      </x:c>
      <x:c r="J181" s="32" t="n">
        <x:f>IF($A181=0,"",IF($I181&gt;0,$K181/$I181,0))</x:f>
        <x:v>1</x:v>
      </x:c>
      <x:c r="K181" s="31" t="n">
        <x:f>IF($A181=0,"",LET(direct,MIN($I181,$D181),surplus,MAX(0,$I181-direct),deficit,MAX(0,$D181-direct),charge,MIN(surplus,Assumptions!$B$10,direct,deficit),direct+charge))</x:f>
        <x:v>248.66458837238207</x:v>
      </x:c>
      <x:c r="L181" s="31" t="n">
        <x:f>IF($A181=0,"",LET(direct,MIN($I181,$D181),surplus,MAX(0,$I181-direct),deficit,MAX(0,$D181-direct),charge,MIN(surplus,Assumptions!$B$10,direct,deficit),surplus-charge))</x:f>
        <x:v>0</x:v>
      </x:c>
      <x:c r="M181" s="31" t="n">
        <x:f>IF($A181=0,"",LET(direct,MIN($I181,$D181),surplus,MAX(0,$I181-direct),deficit,MAX(0,$D181-direct),charge,MIN(surplus,Assumptions!$B$10,direct,deficit),deficit-charge))</x:f>
        <x:v>236.06927857953684</x:v>
      </x:c>
      <x:c r="N181" s="30" t="n">
        <x:f>IF($A181=0,"",$M181*Assumptions!$B$11*IF($A181=0,1,(1+Assumptions!$B$14)^($A181-1)))</x:f>
        <x:v>106.88327440592663</x:v>
      </x:c>
      <x:c r="O181" s="30" t="n">
        <x:f>IF($A181=0,"",$B181*Assumptions!$B$13)</x:f>
        <x:v>21</x:v>
      </x:c>
      <x:c r="P181" s="30" t="n">
        <x:f>IF($A181=0,"",$L181*Assumptions!$B$12)</x:f>
        <x:v>0</x:v>
      </x:c>
      <x:c r="Q181" s="30" t="n">
        <x:f>IF($A181=0,"",$N181+$O181-$P181)</x:f>
        <x:v>127.88327440592663</x:v>
      </x:c>
      <x:c r="R181" s="30" t="n">
        <x:f>IF($A181=0,"",$G181-$Q181)</x:f>
        <x:v>112.58595609715213</x:v>
      </x:c>
      <x:c r="S181" s="30" t="n">
        <x:f>IF($A181=0,"",SUM($R$17:R181))</x:f>
        <x:v>16815.57956073695</x:v>
      </x:c>
      <x:c r="T181" s="30" t="n">
        <x:f>IF($A181=0,"",$S181-$H181)</x:f>
        <x:v>11356.079560736951</x:v>
      </x:c>
    </x:row>
    <x:row r="182">
      <x:c r="A182" s="40" t="n">
        <x:v>14</x:v>
      </x:c>
      <x:c r="B182" s="40" t="n">
        <x:v>31</x:v>
      </x:c>
      <x:c r="C182" s="40" t="n">
        <x:v>10</x:v>
      </x:c>
      <x:c r="D182" s="31" t="n">
        <x:f>INDEX(Assumptions!$D$24:$D$35,$C182)</x:f>
        <x:v>965.136511636476</x:v>
      </x:c>
      <x:c r="E182" s="30" t="n">
        <x:f>$D182*Assumptions!$B$11*IF($A182=0,1,(1+Assumptions!$B$14)^($A182-1))</x:f>
        <x:v>436.9774467610976</x:v>
      </x:c>
      <x:c r="F182" s="30" t="n">
        <x:f>$B182*Assumptions!$B$13</x:f>
        <x:v>21.7</x:v>
      </x:c>
      <x:c r="G182" s="30" t="n">
        <x:f>$E182+$F182</x:f>
        <x:v>458.6774467610976</x:v>
      </x:c>
      <x:c r="H182" s="30" t="n">
        <x:f>IF($A182=0,"",Assumptions!$B$21)</x:f>
        <x:v>5459.5</x:v>
      </x:c>
      <x:c r="I182" s="31" t="n">
        <x:f>IF($A182=0,"",INDEX(Assumptions!$C$24:$C$35,$C182)*IF($A182=0,"",IF($A182=1,1-Assumptions!$B$16,(1-Assumptions!$B$16)*(1-Assumptions!$B$17)^($A182-1))))</x:f>
        <x:v>174.1050087312193</x:v>
      </x:c>
      <x:c r="J182" s="32" t="n">
        <x:f>IF($A182=0,"",IF($I182&gt;0,$K182/$I182,0))</x:f>
        <x:v>1</x:v>
      </x:c>
      <x:c r="K182" s="31" t="n">
        <x:f>IF($A182=0,"",LET(direct,MIN($I182,$D182),surplus,MAX(0,$I182-direct),deficit,MAX(0,$D182-direct),charge,MIN(surplus,Assumptions!$B$10,direct,deficit),direct+charge))</x:f>
        <x:v>174.1050087312193</x:v>
      </x:c>
      <x:c r="L182" s="31" t="n">
        <x:f>IF($A182=0,"",LET(direct,MIN($I182,$D182),surplus,MAX(0,$I182-direct),deficit,MAX(0,$D182-direct),charge,MIN(surplus,Assumptions!$B$10,direct,deficit),surplus-charge))</x:f>
        <x:v>0</x:v>
      </x:c>
      <x:c r="M182" s="31" t="n">
        <x:f>IF($A182=0,"",LET(direct,MIN($I182,$D182),surplus,MAX(0,$I182-direct),deficit,MAX(0,$D182-direct),charge,MIN(surplus,Assumptions!$B$10,direct,deficit),deficit-charge))</x:f>
        <x:v>791.0315029052567</x:v>
      </x:c>
      <x:c r="N182" s="30" t="n">
        <x:f>IF($A182=0,"",$M182*Assumptions!$B$11*IF($A182=0,1,(1+Assumptions!$B$14)^($A182-1)))</x:f>
        <x:v>358.14925896962507</x:v>
      </x:c>
      <x:c r="O182" s="30" t="n">
        <x:f>IF($A182=0,"",$B182*Assumptions!$B$13)</x:f>
        <x:v>21.7</x:v>
      </x:c>
      <x:c r="P182" s="30" t="n">
        <x:f>IF($A182=0,"",$L182*Assumptions!$B$12)</x:f>
        <x:v>0</x:v>
      </x:c>
      <x:c r="Q182" s="30" t="n">
        <x:f>IF($A182=0,"",$N182+$O182-$P182)</x:f>
        <x:v>379.84925896962505</x:v>
      </x:c>
      <x:c r="R182" s="30" t="n">
        <x:f>IF($A182=0,"",$G182-$Q182)</x:f>
        <x:v>78.82818779147254</x:v>
      </x:c>
      <x:c r="S182" s="30" t="n">
        <x:f>IF($A182=0,"",SUM($R$17:R182))</x:f>
        <x:v>16894.407748528425</x:v>
      </x:c>
      <x:c r="T182" s="30" t="n">
        <x:f>IF($A182=0,"",$S182-$H182)</x:f>
        <x:v>11434.907748528425</x:v>
      </x:c>
    </x:row>
    <x:row r="183">
      <x:c r="A183" s="40" t="n">
        <x:v>14</x:v>
      </x:c>
      <x:c r="B183" s="40" t="n">
        <x:v>30</x:v>
      </x:c>
      <x:c r="C183" s="40" t="n">
        <x:v>11</x:v>
      </x:c>
      <x:c r="D183" s="31" t="n">
        <x:f>INDEX(Assumptions!$D$24:$D$35,$C183)</x:f>
        <x:v>948.3553735444794</x:v>
      </x:c>
      <x:c r="E183" s="30" t="n">
        <x:f>$D183*Assumptions!$B$11*IF($A183=0,1,(1+Assumptions!$B$14)^($A183-1))</x:f>
        <x:v>429.379579735269</x:v>
      </x:c>
      <x:c r="F183" s="30" t="n">
        <x:f>$B183*Assumptions!$B$13</x:f>
        <x:v>21</x:v>
      </x:c>
      <x:c r="G183" s="30" t="n">
        <x:f>$E183+$F183</x:f>
        <x:v>450.379579735269</x:v>
      </x:c>
      <x:c r="H183" s="30" t="n">
        <x:f>IF($A183=0,"",Assumptions!$B$21)</x:f>
        <x:v>5459.5</x:v>
      </x:c>
      <x:c r="I183" s="31" t="n">
        <x:f>IF($A183=0,"",INDEX(Assumptions!$C$24:$C$35,$C183)*IF($A183=0,"",IF($A183=1,1-Assumptions!$B$16,(1-Assumptions!$B$16)*(1-Assumptions!$B$17)^($A183-1))))</x:f>
        <x:v>103.3733703685682</x:v>
      </x:c>
      <x:c r="J183" s="32" t="n">
        <x:f>IF($A183=0,"",IF($I183&gt;0,$K183/$I183,0))</x:f>
        <x:v>1</x:v>
      </x:c>
      <x:c r="K183" s="31" t="n">
        <x:f>IF($A183=0,"",LET(direct,MIN($I183,$D183),surplus,MAX(0,$I183-direct),deficit,MAX(0,$D183-direct),charge,MIN(surplus,Assumptions!$B$10,direct,deficit),direct+charge))</x:f>
        <x:v>103.3733703685682</x:v>
      </x:c>
      <x:c r="L183" s="31" t="n">
        <x:f>IF($A183=0,"",LET(direct,MIN($I183,$D183),surplus,MAX(0,$I183-direct),deficit,MAX(0,$D183-direct),charge,MIN(surplus,Assumptions!$B$10,direct,deficit),surplus-charge))</x:f>
        <x:v>0</x:v>
      </x:c>
      <x:c r="M183" s="31" t="n">
        <x:f>IF($A183=0,"",LET(direct,MIN($I183,$D183),surplus,MAX(0,$I183-direct),deficit,MAX(0,$D183-direct),charge,MIN(surplus,Assumptions!$B$10,direct,deficit),deficit-charge))</x:f>
        <x:v>844.9820031759112</x:v>
      </x:c>
      <x:c r="N183" s="30" t="n">
        <x:f>IF($A183=0,"",$M183*Assumptions!$B$11*IF($A183=0,1,(1+Assumptions!$B$14)^($A183-1)))</x:f>
        <x:v>382.57601267287134</x:v>
      </x:c>
      <x:c r="O183" s="30" t="n">
        <x:f>IF($A183=0,"",$B183*Assumptions!$B$13)</x:f>
        <x:v>21</x:v>
      </x:c>
      <x:c r="P183" s="30" t="n">
        <x:f>IF($A183=0,"",$L183*Assumptions!$B$12)</x:f>
        <x:v>0</x:v>
      </x:c>
      <x:c r="Q183" s="30" t="n">
        <x:f>IF($A183=0,"",$N183+$O183-$P183)</x:f>
        <x:v>403.57601267287134</x:v>
      </x:c>
      <x:c r="R183" s="30" t="n">
        <x:f>IF($A183=0,"",$G183-$Q183)</x:f>
        <x:v>46.80356706239763</x:v>
      </x:c>
      <x:c r="S183" s="30" t="n">
        <x:f>IF($A183=0,"",SUM($R$17:R183))</x:f>
        <x:v>16941.211315590823</x:v>
      </x:c>
      <x:c r="T183" s="30" t="n">
        <x:f>IF($A183=0,"",$S183-$H183)</x:f>
        <x:v>11481.711315590823</x:v>
      </x:c>
    </x:row>
    <x:row r="184">
      <x:c r="A184" s="40" t="n">
        <x:v>14</x:v>
      </x:c>
      <x:c r="B184" s="40" t="n">
        <x:v>31</x:v>
      </x:c>
      <x:c r="C184" s="40" t="n">
        <x:v>12</x:v>
      </x:c>
      <x:c r="D184" s="31" t="n">
        <x:f>INDEX(Assumptions!$D$24:$D$35,$C184)</x:f>
        <x:v>928.0413642752205</x:v>
      </x:c>
      <x:c r="E184" s="30" t="n">
        <x:f>$D184*Assumptions!$B$11*IF($A184=0,1,(1+Assumptions!$B$14)^($A184-1))</x:f>
        <x:v>420.18216175663434</x:v>
      </x:c>
      <x:c r="F184" s="30" t="n">
        <x:f>$B184*Assumptions!$B$13</x:f>
        <x:v>21.7</x:v>
      </x:c>
      <x:c r="G184" s="30" t="n">
        <x:f>$E184+$F184</x:f>
        <x:v>441.88216175663433</x:v>
      </x:c>
      <x:c r="H184" s="30" t="n">
        <x:f>IF($A184=0,"",Assumptions!$B$21)</x:f>
        <x:v>5459.5</x:v>
      </x:c>
      <x:c r="I184" s="31" t="n">
        <x:f>IF($A184=0,"",INDEX(Assumptions!$C$24:$C$35,$C184)*IF($A184=0,"",IF($A184=1,1-Assumptions!$B$16,(1-Assumptions!$B$16)*(1-Assumptions!$B$17)^($A184-1))))</x:f>
        <x:v>76.21916621354647</x:v>
      </x:c>
      <x:c r="J184" s="32" t="n">
        <x:f>IF($A184=0,"",IF($I184&gt;0,$K184/$I184,0))</x:f>
        <x:v>1</x:v>
      </x:c>
      <x:c r="K184" s="31" t="n">
        <x:f>IF($A184=0,"",LET(direct,MIN($I184,$D184),surplus,MAX(0,$I184-direct),deficit,MAX(0,$D184-direct),charge,MIN(surplus,Assumptions!$B$10,direct,deficit),direct+charge))</x:f>
        <x:v>76.21916621354647</x:v>
      </x:c>
      <x:c r="L184" s="31" t="n">
        <x:f>IF($A184=0,"",LET(direct,MIN($I184,$D184),surplus,MAX(0,$I184-direct),deficit,MAX(0,$D184-direct),charge,MIN(surplus,Assumptions!$B$10,direct,deficit),surplus-charge))</x:f>
        <x:v>0</x:v>
      </x:c>
      <x:c r="M184" s="31" t="n">
        <x:f>IF($A184=0,"",LET(direct,MIN($I184,$D184),surplus,MAX(0,$I184-direct),deficit,MAX(0,$D184-direct),charge,MIN(surplus,Assumptions!$B$10,direct,deficit),deficit-charge))</x:f>
        <x:v>851.822198061674</x:v>
      </x:c>
      <x:c r="N184" s="30" t="n">
        <x:f>IF($A184=0,"",$M184*Assumptions!$B$11*IF($A184=0,1,(1+Assumptions!$B$14)^($A184-1)))</x:f>
        <x:v>385.672995183108</x:v>
      </x:c>
      <x:c r="O184" s="30" t="n">
        <x:f>IF($A184=0,"",$B184*Assumptions!$B$13)</x:f>
        <x:v>21.7</x:v>
      </x:c>
      <x:c r="P184" s="30" t="n">
        <x:f>IF($A184=0,"",$L184*Assumptions!$B$12)</x:f>
        <x:v>0</x:v>
      </x:c>
      <x:c r="Q184" s="30" t="n">
        <x:f>IF($A184=0,"",$N184+$O184-$P184)</x:f>
        <x:v>407.372995183108</x:v>
      </x:c>
      <x:c r="R184" s="30" t="n">
        <x:f>IF($A184=0,"",$G184-$Q184)</x:f>
        <x:v>34.50916657352633</x:v>
      </x:c>
      <x:c r="S184" s="30" t="n">
        <x:f>IF($A184=0,"",SUM($R$17:R184))</x:f>
        <x:v>16975.72048216435</x:v>
      </x:c>
      <x:c r="T184" s="30" t="n">
        <x:f>IF($A184=0,"",$S184-$H184)</x:f>
        <x:v>11516.22048216435</x:v>
      </x:c>
    </x:row>
    <x:row r="185">
      <x:c r="A185" s="40" t="n">
        <x:v>15</x:v>
      </x:c>
      <x:c r="B185" s="40" t="n">
        <x:v>31</x:v>
      </x:c>
      <x:c r="C185" s="40" t="n">
        <x:v>1</x:v>
      </x:c>
      <x:c r="D185" s="31" t="n">
        <x:f>INDEX(Assumptions!$D$24:$D$35,$C185)</x:f>
        <x:v>921.8588397150115</x:v>
      </x:c>
      <x:c r="E185" s="30" t="n">
        <x:f>$D185*Assumptions!$B$11*IF($A185=0,1,(1+Assumptions!$B$14)^($A185-1))</x:f>
        <x:v>425.73060654100834</x:v>
      </x:c>
      <x:c r="F185" s="30" t="n">
        <x:f>$B185*Assumptions!$B$13</x:f>
        <x:v>21.7</x:v>
      </x:c>
      <x:c r="G185" s="30" t="n">
        <x:f>$E185+$F185</x:f>
        <x:v>447.43060654100833</x:v>
      </x:c>
      <x:c r="H185" s="30" t="n">
        <x:f>IF($A185=0,"",Assumptions!$B$21)</x:f>
        <x:v>5459.5</x:v>
      </x:c>
      <x:c r="I185" s="31" t="n">
        <x:f>IF($A185=0,"",INDEX(Assumptions!$C$24:$C$35,$C185)*IF($A185=0,"",IF($A185=1,1-Assumptions!$B$16,(1-Assumptions!$B$16)*(1-Assumptions!$B$17)^($A185-1))))</x:f>
        <x:v>92.40726286648686</x:v>
      </x:c>
      <x:c r="J185" s="32" t="n">
        <x:f>IF($A185=0,"",IF($I185&gt;0,$K185/$I185,0))</x:f>
        <x:v>1</x:v>
      </x:c>
      <x:c r="K185" s="31" t="n">
        <x:f>IF($A185=0,"",LET(direct,MIN($I185,$D185),surplus,MAX(0,$I185-direct),deficit,MAX(0,$D185-direct),charge,MIN(surplus,Assumptions!$B$10,direct,deficit),direct+charge))</x:f>
        <x:v>92.40726286648686</x:v>
      </x:c>
      <x:c r="L185" s="31" t="n">
        <x:f>IF($A185=0,"",LET(direct,MIN($I185,$D185),surplus,MAX(0,$I185-direct),deficit,MAX(0,$D185-direct),charge,MIN(surplus,Assumptions!$B$10,direct,deficit),surplus-charge))</x:f>
        <x:v>0</x:v>
      </x:c>
      <x:c r="M185" s="31" t="n">
        <x:f>IF($A185=0,"",LET(direct,MIN($I185,$D185),surplus,MAX(0,$I185-direct),deficit,MAX(0,$D185-direct),charge,MIN(surplus,Assumptions!$B$10,direct,deficit),deficit-charge))</x:f>
        <x:v>829.4515768485246</x:v>
      </x:c>
      <x:c r="N185" s="30" t="n">
        <x:f>IF($A185=0,"",$M185*Assumptions!$B$11*IF($A185=0,1,(1+Assumptions!$B$14)^($A185-1)))</x:f>
        <x:v>383.0553092242241</x:v>
      </x:c>
      <x:c r="O185" s="30" t="n">
        <x:f>IF($A185=0,"",$B185*Assumptions!$B$13)</x:f>
        <x:v>21.7</x:v>
      </x:c>
      <x:c r="P185" s="30" t="n">
        <x:f>IF($A185=0,"",$L185*Assumptions!$B$12)</x:f>
        <x:v>0</x:v>
      </x:c>
      <x:c r="Q185" s="30" t="n">
        <x:f>IF($A185=0,"",$N185+$O185-$P185)</x:f>
        <x:v>404.7553092242241</x:v>
      </x:c>
      <x:c r="R185" s="30" t="n">
        <x:f>IF($A185=0,"",$G185-$Q185)</x:f>
        <x:v>42.675297316784224</x:v>
      </x:c>
      <x:c r="S185" s="30" t="n">
        <x:f>IF($A185=0,"",SUM($R$17:R185))</x:f>
        <x:v>17018.395779481136</x:v>
      </x:c>
      <x:c r="T185" s="30" t="n">
        <x:f>IF($A185=0,"",$S185-$H185)</x:f>
        <x:v>11558.895779481136</x:v>
      </x:c>
    </x:row>
    <x:row r="186">
      <x:c r="A186" s="40" t="n">
        <x:v>15</x:v>
      </x:c>
      <x:c r="B186" s="40" t="n">
        <x:v>28</x:v>
      </x:c>
      <x:c r="C186" s="40" t="n">
        <x:v>2</x:v>
      </x:c>
      <x:c r="D186" s="31" t="n">
        <x:f>INDEX(Assumptions!$D$24:$D$35,$C186)</x:f>
        <x:v>923.6252753036425</x:v>
      </x:c>
      <x:c r="E186" s="30" t="n">
        <x:f>$D186*Assumptions!$B$11*IF($A186=0,1,(1+Assumptions!$B$14)^($A186-1))</x:f>
        <x:v>426.5463775269393</x:v>
      </x:c>
      <x:c r="F186" s="30" t="n">
        <x:f>$B186*Assumptions!$B$13</x:f>
        <x:v>19.599999999999998</x:v>
      </x:c>
      <x:c r="G186" s="30" t="n">
        <x:f>$E186+$F186</x:f>
        <x:v>446.1463775269393</x:v>
      </x:c>
      <x:c r="H186" s="30" t="n">
        <x:f>IF($A186=0,"",Assumptions!$B$21)</x:f>
        <x:v>5459.5</x:v>
      </x:c>
      <x:c r="I186" s="31" t="n">
        <x:f>IF($A186=0,"",INDEX(Assumptions!$C$24:$C$35,$C186)*IF($A186=0,"",IF($A186=1,1-Assumptions!$B$16,(1-Assumptions!$B$16)*(1-Assumptions!$B$17)^($A186-1))))</x:f>
        <x:v>146.08807082174926</x:v>
      </x:c>
      <x:c r="J186" s="32" t="n">
        <x:f>IF($A186=0,"",IF($I186&gt;0,$K186/$I186,0))</x:f>
        <x:v>1</x:v>
      </x:c>
      <x:c r="K186" s="31" t="n">
        <x:f>IF($A186=0,"",LET(direct,MIN($I186,$D186),surplus,MAX(0,$I186-direct),deficit,MAX(0,$D186-direct),charge,MIN(surplus,Assumptions!$B$10,direct,deficit),direct+charge))</x:f>
        <x:v>146.08807082174926</x:v>
      </x:c>
      <x:c r="L186" s="31" t="n">
        <x:f>IF($A186=0,"",LET(direct,MIN($I186,$D186),surplus,MAX(0,$I186-direct),deficit,MAX(0,$D186-direct),charge,MIN(surplus,Assumptions!$B$10,direct,deficit),surplus-charge))</x:f>
        <x:v>0</x:v>
      </x:c>
      <x:c r="M186" s="31" t="n">
        <x:f>IF($A186=0,"",LET(direct,MIN($I186,$D186),surplus,MAX(0,$I186-direct),deficit,MAX(0,$D186-direct),charge,MIN(surplus,Assumptions!$B$10,direct,deficit),deficit-charge))</x:f>
        <x:v>777.5372044818932</x:v>
      </x:c>
      <x:c r="N186" s="30" t="n">
        <x:f>IF($A186=0,"",$M186*Assumptions!$B$11*IF($A186=0,1,(1+Assumptions!$B$14)^($A186-1)))</x:f>
        <x:v>359.08034008179624</x:v>
      </x:c>
      <x:c r="O186" s="30" t="n">
        <x:f>IF($A186=0,"",$B186*Assumptions!$B$13)</x:f>
        <x:v>19.599999999999998</x:v>
      </x:c>
      <x:c r="P186" s="30" t="n">
        <x:f>IF($A186=0,"",$L186*Assumptions!$B$12)</x:f>
        <x:v>0</x:v>
      </x:c>
      <x:c r="Q186" s="30" t="n">
        <x:f>IF($A186=0,"",$N186+$O186-$P186)</x:f>
        <x:v>378.68034008179626</x:v>
      </x:c>
      <x:c r="R186" s="30" t="n">
        <x:f>IF($A186=0,"",$G186-$Q186)</x:f>
        <x:v>67.46603744514306</x:v>
      </x:c>
      <x:c r="S186" s="30" t="n">
        <x:f>IF($A186=0,"",SUM($R$17:R186))</x:f>
        <x:v>17085.861816926277</x:v>
      </x:c>
      <x:c r="T186" s="30" t="n">
        <x:f>IF($A186=0,"",$S186-$H186)</x:f>
        <x:v>11626.361816926277</x:v>
      </x:c>
    </x:row>
    <x:row r="187">
      <x:c r="A187" s="40" t="n">
        <x:v>15</x:v>
      </x:c>
      <x:c r="B187" s="40" t="n">
        <x:v>31</x:v>
      </x:c>
      <x:c r="C187" s="40" t="n">
        <x:v>3</x:v>
      </x:c>
      <x:c r="D187" s="31" t="n">
        <x:f>INDEX(Assumptions!$D$24:$D$35,$C187)</x:f>
        <x:v>907.7273550059616</x:v>
      </x:c>
      <x:c r="E187" s="30" t="n">
        <x:f>$D187*Assumptions!$B$11*IF($A187=0,1,(1+Assumptions!$B$14)^($A187-1))</x:f>
        <x:v>419.2044386535597</x:v>
      </x:c>
      <x:c r="F187" s="30" t="n">
        <x:f>$B187*Assumptions!$B$13</x:f>
        <x:v>21.7</x:v>
      </x:c>
      <x:c r="G187" s="30" t="n">
        <x:f>$E187+$F187</x:f>
        <x:v>440.9044386535597</x:v>
      </x:c>
      <x:c r="H187" s="30" t="n">
        <x:f>IF($A187=0,"",Assumptions!$B$21)</x:f>
        <x:v>5459.5</x:v>
      </x:c>
      <x:c r="I187" s="31" t="n">
        <x:f>IF($A187=0,"",INDEX(Assumptions!$C$24:$C$35,$C187)*IF($A187=0,"",IF($A187=1,1-Assumptions!$B$16,(1-Assumptions!$B$16)*(1-Assumptions!$B$17)^($A187-1))))</x:f>
        <x:v>257.8764815088655</x:v>
      </x:c>
      <x:c r="J187" s="32" t="n">
        <x:f>IF($A187=0,"",IF($I187&gt;0,$K187/$I187,0))</x:f>
        <x:v>1</x:v>
      </x:c>
      <x:c r="K187" s="31" t="n">
        <x:f>IF($A187=0,"",LET(direct,MIN($I187,$D187),surplus,MAX(0,$I187-direct),deficit,MAX(0,$D187-direct),charge,MIN(surplus,Assumptions!$B$10,direct,deficit),direct+charge))</x:f>
        <x:v>257.8764815088655</x:v>
      </x:c>
      <x:c r="L187" s="31" t="n">
        <x:f>IF($A187=0,"",LET(direct,MIN($I187,$D187),surplus,MAX(0,$I187-direct),deficit,MAX(0,$D187-direct),charge,MIN(surplus,Assumptions!$B$10,direct,deficit),surplus-charge))</x:f>
        <x:v>0</x:v>
      </x:c>
      <x:c r="M187" s="31" t="n">
        <x:f>IF($A187=0,"",LET(direct,MIN($I187,$D187),surplus,MAX(0,$I187-direct),deficit,MAX(0,$D187-direct),charge,MIN(surplus,Assumptions!$B$10,direct,deficit),deficit-charge))</x:f>
        <x:v>649.8508734970961</x:v>
      </x:c>
      <x:c r="N187" s="30" t="n">
        <x:f>IF($A187=0,"",$M187*Assumptions!$B$11*IF($A187=0,1,(1+Assumptions!$B$14)^($A187-1)))</x:f>
        <x:v>300.1125493580464</x:v>
      </x:c>
      <x:c r="O187" s="30" t="n">
        <x:f>IF($A187=0,"",$B187*Assumptions!$B$13)</x:f>
        <x:v>21.7</x:v>
      </x:c>
      <x:c r="P187" s="30" t="n">
        <x:f>IF($A187=0,"",$L187*Assumptions!$B$12)</x:f>
        <x:v>0</x:v>
      </x:c>
      <x:c r="Q187" s="30" t="n">
        <x:f>IF($A187=0,"",$N187+$O187-$P187)</x:f>
        <x:v>321.8125493580464</x:v>
      </x:c>
      <x:c r="R187" s="30" t="n">
        <x:f>IF($A187=0,"",$G187-$Q187)</x:f>
        <x:v>119.09188929551328</x:v>
      </x:c>
      <x:c r="S187" s="30" t="n">
        <x:f>IF($A187=0,"",SUM($R$17:R187))</x:f>
        <x:v>17204.95370622179</x:v>
      </x:c>
      <x:c r="T187" s="30" t="n">
        <x:f>IF($A187=0,"",$S187-$H187)</x:f>
        <x:v>11745.45370622179</x:v>
      </x:c>
    </x:row>
    <x:row r="188">
      <x:c r="A188" s="40" t="n">
        <x:v>15</x:v>
      </x:c>
      <x:c r="B188" s="40" t="n">
        <x:v>30</x:v>
      </x:c>
      <x:c r="C188" s="40" t="n">
        <x:v>4</x:v>
      </x:c>
      <x:c r="D188" s="31" t="n">
        <x:f>INDEX(Assumptions!$D$24:$D$35,$C188)</x:f>
        <x:v>951.0050269274262</x:v>
      </x:c>
      <x:c r="E188" s="30" t="n">
        <x:f>$D188*Assumptions!$B$11*IF($A188=0,1,(1+Assumptions!$B$14)^($A188-1))</x:f>
        <x:v>439.19082780887084</x:v>
      </x:c>
      <x:c r="F188" s="30" t="n">
        <x:f>$B188*Assumptions!$B$13</x:f>
        <x:v>21</x:v>
      </x:c>
      <x:c r="G188" s="30" t="n">
        <x:f>$E188+$F188</x:f>
        <x:v>460.19082780887084</x:v>
      </x:c>
      <x:c r="H188" s="30" t="n">
        <x:f>IF($A188=0,"",Assumptions!$B$21)</x:f>
        <x:v>5459.5</x:v>
      </x:c>
      <x:c r="I188" s="31" t="n">
        <x:f>IF($A188=0,"",INDEX(Assumptions!$C$24:$C$35,$C188)*IF($A188=0,"",IF($A188=1,1-Assumptions!$B$16,(1-Assumptions!$B$16)*(1-Assumptions!$B$17)^($A188-1))))</x:f>
        <x:v>343.41366266740715</x:v>
      </x:c>
      <x:c r="J188" s="32" t="n">
        <x:f>IF($A188=0,"",IF($I188&gt;0,$K188/$I188,0))</x:f>
        <x:v>1</x:v>
      </x:c>
      <x:c r="K188" s="31" t="n">
        <x:f>IF($A188=0,"",LET(direct,MIN($I188,$D188),surplus,MAX(0,$I188-direct),deficit,MAX(0,$D188-direct),charge,MIN(surplus,Assumptions!$B$10,direct,deficit),direct+charge))</x:f>
        <x:v>343.41366266740715</x:v>
      </x:c>
      <x:c r="L188" s="31" t="n">
        <x:f>IF($A188=0,"",LET(direct,MIN($I188,$D188),surplus,MAX(0,$I188-direct),deficit,MAX(0,$D188-direct),charge,MIN(surplus,Assumptions!$B$10,direct,deficit),surplus-charge))</x:f>
        <x:v>0</x:v>
      </x:c>
      <x:c r="M188" s="31" t="n">
        <x:f>IF($A188=0,"",LET(direct,MIN($I188,$D188),surplus,MAX(0,$I188-direct),deficit,MAX(0,$D188-direct),charge,MIN(surplus,Assumptions!$B$10,direct,deficit),deficit-charge))</x:f>
        <x:v>607.5913642600191</x:v>
      </x:c>
      <x:c r="N188" s="30" t="n">
        <x:f>IF($A188=0,"",$M188*Assumptions!$B$11*IF($A188=0,1,(1+Assumptions!$B$14)^($A188-1)))</x:f>
        <x:v>280.5963656165226</x:v>
      </x:c>
      <x:c r="O188" s="30" t="n">
        <x:f>IF($A188=0,"",$B188*Assumptions!$B$13)</x:f>
        <x:v>21</x:v>
      </x:c>
      <x:c r="P188" s="30" t="n">
        <x:f>IF($A188=0,"",$L188*Assumptions!$B$12)</x:f>
        <x:v>0</x:v>
      </x:c>
      <x:c r="Q188" s="30" t="n">
        <x:f>IF($A188=0,"",$N188+$O188-$P188)</x:f>
        <x:v>301.5963656165226</x:v>
      </x:c>
      <x:c r="R188" s="30" t="n">
        <x:f>IF($A188=0,"",$G188-$Q188)</x:f>
        <x:v>158.59446219234826</x:v>
      </x:c>
      <x:c r="S188" s="30" t="n">
        <x:f>IF($A188=0,"",SUM($R$17:R188))</x:f>
        <x:v>17363.548168414138</x:v>
      </x:c>
      <x:c r="T188" s="30" t="n">
        <x:f>IF($A188=0,"",$S188-$H188)</x:f>
        <x:v>11904.048168414138</x:v>
      </x:c>
    </x:row>
    <x:row r="189">
      <x:c r="A189" s="40" t="n">
        <x:v>15</x:v>
      </x:c>
      <x:c r="B189" s="40" t="n">
        <x:v>31</x:v>
      </x:c>
      <x:c r="C189" s="40" t="n">
        <x:v>5</x:v>
      </x:c>
      <x:c r="D189" s="31" t="n">
        <x:f>INDEX(Assumptions!$D$24:$D$35,$C189)</x:f>
        <x:v>480.47094299256736</x:v>
      </x:c>
      <x:c r="E189" s="30" t="n">
        <x:f>$D189*Assumptions!$B$11*IF($A189=0,1,(1+Assumptions!$B$14)^($A189-1))</x:f>
        <x:v>221.8899219416196</x:v>
      </x:c>
      <x:c r="F189" s="30" t="n">
        <x:f>$B189*Assumptions!$B$13</x:f>
        <x:v>21.7</x:v>
      </x:c>
      <x:c r="G189" s="30" t="n">
        <x:f>$E189+$F189</x:f>
        <x:v>243.5899219416196</x:v>
      </x:c>
      <x:c r="H189" s="30" t="n">
        <x:f>IF($A189=0,"",Assumptions!$B$21)</x:f>
        <x:v>5459.5</x:v>
      </x:c>
      <x:c r="I189" s="31" t="n">
        <x:f>IF($A189=0,"",INDEX(Assumptions!$C$24:$C$35,$C189)*IF($A189=0,"",IF($A189=1,1-Assumptions!$B$16,(1-Assumptions!$B$16)*(1-Assumptions!$B$17)^($A189-1))))</x:f>
        <x:v>380.4678627615028</x:v>
      </x:c>
      <x:c r="J189" s="32" t="n">
        <x:f>IF($A189=0,"",IF($I189&gt;0,$K189/$I189,0))</x:f>
        <x:v>1</x:v>
      </x:c>
      <x:c r="K189" s="31" t="n">
        <x:f>IF($A189=0,"",LET(direct,MIN($I189,$D189),surplus,MAX(0,$I189-direct),deficit,MAX(0,$D189-direct),charge,MIN(surplus,Assumptions!$B$10,direct,deficit),direct+charge))</x:f>
        <x:v>380.4678627615028</x:v>
      </x:c>
      <x:c r="L189" s="31" t="n">
        <x:f>IF($A189=0,"",LET(direct,MIN($I189,$D189),surplus,MAX(0,$I189-direct),deficit,MAX(0,$D189-direct),charge,MIN(surplus,Assumptions!$B$10,direct,deficit),surplus-charge))</x:f>
        <x:v>0</x:v>
      </x:c>
      <x:c r="M189" s="31" t="n">
        <x:f>IF($A189=0,"",LET(direct,MIN($I189,$D189),surplus,MAX(0,$I189-direct),deficit,MAX(0,$D189-direct),charge,MIN(surplus,Assumptions!$B$10,direct,deficit),deficit-charge))</x:f>
        <x:v>100.00308023106459</x:v>
      </x:c>
      <x:c r="N189" s="30" t="n">
        <x:f>IF($A189=0,"",$M189*Assumptions!$B$11*IF($A189=0,1,(1+Assumptions!$B$14)^($A189-1)))</x:f>
        <x:v>46.183179212016796</x:v>
      </x:c>
      <x:c r="O189" s="30" t="n">
        <x:f>IF($A189=0,"",$B189*Assumptions!$B$13)</x:f>
        <x:v>21.7</x:v>
      </x:c>
      <x:c r="P189" s="30" t="n">
        <x:f>IF($A189=0,"",$L189*Assumptions!$B$12)</x:f>
        <x:v>0</x:v>
      </x:c>
      <x:c r="Q189" s="30" t="n">
        <x:f>IF($A189=0,"",$N189+$O189-$P189)</x:f>
        <x:v>67.8831792120168</x:v>
      </x:c>
      <x:c r="R189" s="30" t="n">
        <x:f>IF($A189=0,"",$G189-$Q189)</x:f>
        <x:v>175.7067427296028</x:v>
      </x:c>
      <x:c r="S189" s="30" t="n">
        <x:f>IF($A189=0,"",SUM($R$17:R189))</x:f>
        <x:v>17539.25491114374</x:v>
      </x:c>
      <x:c r="T189" s="30" t="n">
        <x:f>IF($A189=0,"",$S189-$H189)</x:f>
        <x:v>12079.75491114374</x:v>
      </x:c>
    </x:row>
    <x:row r="190">
      <x:c r="A190" s="40" t="n">
        <x:v>15</x:v>
      </x:c>
      <x:c r="B190" s="40" t="n">
        <x:v>30</x:v>
      </x:c>
      <x:c r="C190" s="40" t="n">
        <x:v>6</x:v>
      </x:c>
      <x:c r="D190" s="31" t="n">
        <x:f>INDEX(Assumptions!$D$24:$D$35,$C190)</x:f>
        <x:v>491.73724202799656</x:v>
      </x:c>
      <x:c r="E190" s="30" t="n">
        <x:f>$D190*Assumptions!$B$11*IF($A190=0,1,(1+Assumptions!$B$14)^($A190-1))</x:f>
        <x:v>227.0928967520672</x:v>
      </x:c>
      <x:c r="F190" s="30" t="n">
        <x:f>$B190*Assumptions!$B$13</x:f>
        <x:v>21</x:v>
      </x:c>
      <x:c r="G190" s="30" t="n">
        <x:f>$E190+$F190</x:f>
        <x:v>248.0928967520672</x:v>
      </x:c>
      <x:c r="H190" s="30" t="n">
        <x:f>IF($A190=0,"",Assumptions!$B$21)</x:f>
        <x:v>5459.5</x:v>
      </x:c>
      <x:c r="I190" s="31" t="n">
        <x:f>IF($A190=0,"",INDEX(Assumptions!$C$24:$C$35,$C190)*IF($A190=0,"",IF($A190=1,1-Assumptions!$B$16,(1-Assumptions!$B$16)*(1-Assumptions!$B$17)^($A190-1))))</x:f>
        <x:v>390.13375591283915</x:v>
      </x:c>
      <x:c r="J190" s="32" t="n">
        <x:f>IF($A190=0,"",IF($I190&gt;0,$K190/$I190,0))</x:f>
        <x:v>1</x:v>
      </x:c>
      <x:c r="K190" s="31" t="n">
        <x:f>IF($A190=0,"",LET(direct,MIN($I190,$D190),surplus,MAX(0,$I190-direct),deficit,MAX(0,$D190-direct),charge,MIN(surplus,Assumptions!$B$10,direct,deficit),direct+charge))</x:f>
        <x:v>390.13375591283915</x:v>
      </x:c>
      <x:c r="L190" s="31" t="n">
        <x:f>IF($A190=0,"",LET(direct,MIN($I190,$D190),surplus,MAX(0,$I190-direct),deficit,MAX(0,$D190-direct),charge,MIN(surplus,Assumptions!$B$10,direct,deficit),surplus-charge))</x:f>
        <x:v>0</x:v>
      </x:c>
      <x:c r="M190" s="31" t="n">
        <x:f>IF($A190=0,"",LET(direct,MIN($I190,$D190),surplus,MAX(0,$I190-direct),deficit,MAX(0,$D190-direct),charge,MIN(surplus,Assumptions!$B$10,direct,deficit),deficit-charge))</x:f>
        <x:v>101.60348611515741</x:v>
      </x:c>
      <x:c r="N190" s="30" t="n">
        <x:f>IF($A190=0,"",$M190*Assumptions!$B$11*IF($A190=0,1,(1+Assumptions!$B$14)^($A190-1)))</x:f>
        <x:v>46.92227476373626</x:v>
      </x:c>
      <x:c r="O190" s="30" t="n">
        <x:f>IF($A190=0,"",$B190*Assumptions!$B$13)</x:f>
        <x:v>21</x:v>
      </x:c>
      <x:c r="P190" s="30" t="n">
        <x:f>IF($A190=0,"",$L190*Assumptions!$B$12)</x:f>
        <x:v>0</x:v>
      </x:c>
      <x:c r="Q190" s="30" t="n">
        <x:f>IF($A190=0,"",$N190+$O190-$P190)</x:f>
        <x:v>67.92227476373625</x:v>
      </x:c>
      <x:c r="R190" s="30" t="n">
        <x:f>IF($A190=0,"",$G190-$Q190)</x:f>
        <x:v>180.17062198833094</x:v>
      </x:c>
      <x:c r="S190" s="30" t="n">
        <x:f>IF($A190=0,"",SUM($R$17:R190))</x:f>
        <x:v>17719.42553313207</x:v>
      </x:c>
      <x:c r="T190" s="30" t="n">
        <x:f>IF($A190=0,"",$S190-$H190)</x:f>
        <x:v>12259.925533132071</x:v>
      </x:c>
    </x:row>
    <x:row r="191">
      <x:c r="A191" s="40" t="n">
        <x:v>15</x:v>
      </x:c>
      <x:c r="B191" s="40" t="n">
        <x:v>31</x:v>
      </x:c>
      <x:c r="C191" s="40" t="n">
        <x:v>7</x:v>
      </x:c>
      <x:c r="D191" s="31" t="n">
        <x:f>INDEX(Assumptions!$D$24:$D$35,$C191)</x:f>
        <x:v>504.2215193375261</x:v>
      </x:c>
      <x:c r="E191" s="30" t="n">
        <x:f>$D191*Assumptions!$B$11*IF($A191=0,1,(1+Assumptions!$B$14)^($A191-1))</x:f>
        <x:v>232.85835532580637</x:v>
      </x:c>
      <x:c r="F191" s="30" t="n">
        <x:f>$B191*Assumptions!$B$13</x:f>
        <x:v>21.7</x:v>
      </x:c>
      <x:c r="G191" s="30" t="n">
        <x:f>$E191+$F191</x:f>
        <x:v>254.55835532580636</x:v>
      </x:c>
      <x:c r="H191" s="30" t="n">
        <x:f>IF($A191=0,"",Assumptions!$B$21)</x:f>
        <x:v>5459.5</x:v>
      </x:c>
      <x:c r="I191" s="31" t="n">
        <x:f>IF($A191=0,"",INDEX(Assumptions!$C$24:$C$35,$C191)*IF($A191=0,"",IF($A191=1,1-Assumptions!$B$16,(1-Assumptions!$B$16)*(1-Assumptions!$B$17)^($A191-1))))</x:f>
        <x:v>403.12014300868424</x:v>
      </x:c>
      <x:c r="J191" s="32" t="n">
        <x:f>IF($A191=0,"",IF($I191&gt;0,$K191/$I191,0))</x:f>
        <x:v>1</x:v>
      </x:c>
      <x:c r="K191" s="31" t="n">
        <x:f>IF($A191=0,"",LET(direct,MIN($I191,$D191),surplus,MAX(0,$I191-direct),deficit,MAX(0,$D191-direct),charge,MIN(surplus,Assumptions!$B$10,direct,deficit),direct+charge))</x:f>
        <x:v>403.12014300868424</x:v>
      </x:c>
      <x:c r="L191" s="31" t="n">
        <x:f>IF($A191=0,"",LET(direct,MIN($I191,$D191),surplus,MAX(0,$I191-direct),deficit,MAX(0,$D191-direct),charge,MIN(surplus,Assumptions!$B$10,direct,deficit),surplus-charge))</x:f>
        <x:v>0</x:v>
      </x:c>
      <x:c r="M191" s="31" t="n">
        <x:f>IF($A191=0,"",LET(direct,MIN($I191,$D191),surplus,MAX(0,$I191-direct),deficit,MAX(0,$D191-direct),charge,MIN(surplus,Assumptions!$B$10,direct,deficit),deficit-charge))</x:f>
        <x:v>101.10137632884187</x:v>
      </x:c>
      <x:c r="N191" s="30" t="n">
        <x:f>IF($A191=0,"",$M191*Assumptions!$B$11*IF($A191=0,1,(1+Assumptions!$B$14)^($A191-1)))</x:f>
        <x:v>46.69039164381697</x:v>
      </x:c>
      <x:c r="O191" s="30" t="n">
        <x:f>IF($A191=0,"",$B191*Assumptions!$B$13)</x:f>
        <x:v>21.7</x:v>
      </x:c>
      <x:c r="P191" s="30" t="n">
        <x:f>IF($A191=0,"",$L191*Assumptions!$B$12)</x:f>
        <x:v>0</x:v>
      </x:c>
      <x:c r="Q191" s="30" t="n">
        <x:f>IF($A191=0,"",$N191+$O191-$P191)</x:f>
        <x:v>68.39039164381697</x:v>
      </x:c>
      <x:c r="R191" s="30" t="n">
        <x:f>IF($A191=0,"",$G191-$Q191)</x:f>
        <x:v>186.1679636819894</x:v>
      </x:c>
      <x:c r="S191" s="30" t="n">
        <x:f>IF($A191=0,"",SUM($R$17:R191))</x:f>
        <x:v>17905.59349681406</x:v>
      </x:c>
      <x:c r="T191" s="30" t="n">
        <x:f>IF($A191=0,"",$S191-$H191)</x:f>
        <x:v>12446.093496814061</x:v>
      </x:c>
    </x:row>
    <x:row r="192">
      <x:c r="A192" s="40" t="n">
        <x:v>15</x:v>
      </x:c>
      <x:c r="B192" s="40" t="n">
        <x:v>31</x:v>
      </x:c>
      <x:c r="C192" s="40" t="n">
        <x:v>8</x:v>
      </x:c>
      <x:c r="D192" s="31" t="n">
        <x:f>INDEX(Assumptions!$D$24:$D$35,$C192)</x:f>
        <x:v>495.0866822817727</x:v>
      </x:c>
      <x:c r="E192" s="30" t="n">
        <x:f>$D192*Assumptions!$B$11*IF($A192=0,1,(1+Assumptions!$B$14)^($A192-1))</x:f>
        <x:v>228.63972710111915</x:v>
      </x:c>
      <x:c r="F192" s="30" t="n">
        <x:f>$B192*Assumptions!$B$13</x:f>
        <x:v>21.7</x:v>
      </x:c>
      <x:c r="G192" s="30" t="n">
        <x:f>$E192+$F192</x:f>
        <x:v>250.33972710111914</x:v>
      </x:c>
      <x:c r="H192" s="30" t="n">
        <x:f>IF($A192=0,"",Assumptions!$B$21)</x:f>
        <x:v>5459.5</x:v>
      </x:c>
      <x:c r="I192" s="31" t="n">
        <x:f>IF($A192=0,"",INDEX(Assumptions!$C$24:$C$35,$C192)*IF($A192=0,"",IF($A192=1,1-Assumptions!$B$16,(1-Assumptions!$B$16)*(1-Assumptions!$B$17)^($A192-1))))</x:f>
        <x:v>336.36423715025967</x:v>
      </x:c>
      <x:c r="J192" s="32" t="n">
        <x:f>IF($A192=0,"",IF($I192&gt;0,$K192/$I192,0))</x:f>
        <x:v>1</x:v>
      </x:c>
      <x:c r="K192" s="31" t="n">
        <x:f>IF($A192=0,"",LET(direct,MIN($I192,$D192),surplus,MAX(0,$I192-direct),deficit,MAX(0,$D192-direct),charge,MIN(surplus,Assumptions!$B$10,direct,deficit),direct+charge))</x:f>
        <x:v>336.36423715025967</x:v>
      </x:c>
      <x:c r="L192" s="31" t="n">
        <x:f>IF($A192=0,"",LET(direct,MIN($I192,$D192),surplus,MAX(0,$I192-direct),deficit,MAX(0,$D192-direct),charge,MIN(surplus,Assumptions!$B$10,direct,deficit),surplus-charge))</x:f>
        <x:v>0</x:v>
      </x:c>
      <x:c r="M192" s="31" t="n">
        <x:f>IF($A192=0,"",LET(direct,MIN($I192,$D192),surplus,MAX(0,$I192-direct),deficit,MAX(0,$D192-direct),charge,MIN(surplus,Assumptions!$B$10,direct,deficit),deficit-charge))</x:f>
        <x:v>158.72244513151304</x:v>
      </x:c>
      <x:c r="N192" s="30" t="n">
        <x:f>IF($A192=0,"",$M192*Assumptions!$B$11*IF($A192=0,1,(1+Assumptions!$B$14)^($A192-1)))</x:f>
        <x:v>73.30081345035521</x:v>
      </x:c>
      <x:c r="O192" s="30" t="n">
        <x:f>IF($A192=0,"",$B192*Assumptions!$B$13)</x:f>
        <x:v>21.7</x:v>
      </x:c>
      <x:c r="P192" s="30" t="n">
        <x:f>IF($A192=0,"",$L192*Assumptions!$B$12)</x:f>
        <x:v>0</x:v>
      </x:c>
      <x:c r="Q192" s="30" t="n">
        <x:f>IF($A192=0,"",$N192+$O192-$P192)</x:f>
        <x:v>95.00081345035521</x:v>
      </x:c>
      <x:c r="R192" s="30" t="n">
        <x:f>IF($A192=0,"",$G192-$Q192)</x:f>
        <x:v>155.3389136507639</x:v>
      </x:c>
      <x:c r="S192" s="30" t="n">
        <x:f>IF($A192=0,"",SUM($R$17:R192))</x:f>
        <x:v>18060.932410464826</x:v>
      </x:c>
      <x:c r="T192" s="30" t="n">
        <x:f>IF($A192=0,"",$S192-$H192)</x:f>
        <x:v>12601.432410464826</x:v>
      </x:c>
    </x:row>
    <x:row r="193">
      <x:c r="A193" s="40" t="n">
        <x:v>15</x:v>
      </x:c>
      <x:c r="B193" s="40" t="n">
        <x:v>30</x:v>
      </x:c>
      <x:c r="C193" s="40" t="n">
        <x:v>9</x:v>
      </x:c>
      <x:c r="D193" s="31" t="n">
        <x:f>INDEX(Assumptions!$D$24:$D$35,$C193)</x:f>
        <x:v>484.7338669519189</x:v>
      </x:c>
      <x:c r="E193" s="30" t="n">
        <x:f>$D193*Assumptions!$B$11*IF($A193=0,1,(1+Assumptions!$B$14)^($A193-1))</x:f>
        <x:v>223.85861511314033</x:v>
      </x:c>
      <x:c r="F193" s="30" t="n">
        <x:f>$B193*Assumptions!$B$13</x:f>
        <x:v>21</x:v>
      </x:c>
      <x:c r="G193" s="30" t="n">
        <x:f>$E193+$F193</x:f>
        <x:v>244.85861511314033</x:v>
      </x:c>
      <x:c r="H193" s="30" t="n">
        <x:f>IF($A193=0,"",Assumptions!$B$21)</x:f>
        <x:v>5459.5</x:v>
      </x:c>
      <x:c r="I193" s="31" t="n">
        <x:f>IF($A193=0,"",INDEX(Assumptions!$C$24:$C$35,$C193)*IF($A193=0,"",IF($A193=1,1-Assumptions!$B$16,(1-Assumptions!$B$16)*(1-Assumptions!$B$17)^($A193-1))))</x:f>
        <x:v>247.6699300188925</x:v>
      </x:c>
      <x:c r="J193" s="32" t="n">
        <x:f>IF($A193=0,"",IF($I193&gt;0,$K193/$I193,0))</x:f>
        <x:v>1</x:v>
      </x:c>
      <x:c r="K193" s="31" t="n">
        <x:f>IF($A193=0,"",LET(direct,MIN($I193,$D193),surplus,MAX(0,$I193-direct),deficit,MAX(0,$D193-direct),charge,MIN(surplus,Assumptions!$B$10,direct,deficit),direct+charge))</x:f>
        <x:v>247.6699300188925</x:v>
      </x:c>
      <x:c r="L193" s="31" t="n">
        <x:f>IF($A193=0,"",LET(direct,MIN($I193,$D193),surplus,MAX(0,$I193-direct),deficit,MAX(0,$D193-direct),charge,MIN(surplus,Assumptions!$B$10,direct,deficit),surplus-charge))</x:f>
        <x:v>0</x:v>
      </x:c>
      <x:c r="M193" s="31" t="n">
        <x:f>IF($A193=0,"",LET(direct,MIN($I193,$D193),surplus,MAX(0,$I193-direct),deficit,MAX(0,$D193-direct),charge,MIN(surplus,Assumptions!$B$10,direct,deficit),deficit-charge))</x:f>
        <x:v>237.0639369330264</x:v>
      </x:c>
      <x:c r="N193" s="30" t="n">
        <x:f>IF($A193=0,"",$M193*Assumptions!$B$11*IF($A193=0,1,(1+Assumptions!$B$14)^($A193-1)))</x:f>
        <x:v>109.48029059492156</x:v>
      </x:c>
      <x:c r="O193" s="30" t="n">
        <x:f>IF($A193=0,"",$B193*Assumptions!$B$13)</x:f>
        <x:v>21</x:v>
      </x:c>
      <x:c r="P193" s="30" t="n">
        <x:f>IF($A193=0,"",$L193*Assumptions!$B$12)</x:f>
        <x:v>0</x:v>
      </x:c>
      <x:c r="Q193" s="30" t="n">
        <x:f>IF($A193=0,"",$N193+$O193-$P193)</x:f>
        <x:v>130.48029059492154</x:v>
      </x:c>
      <x:c r="R193" s="30" t="n">
        <x:f>IF($A193=0,"",$G193-$Q193)</x:f>
        <x:v>114.37832451821879</x:v>
      </x:c>
      <x:c r="S193" s="30" t="n">
        <x:f>IF($A193=0,"",SUM($R$17:R193))</x:f>
        <x:v>18175.310734983046</x:v>
      </x:c>
      <x:c r="T193" s="30" t="n">
        <x:f>IF($A193=0,"",$S193-$H193)</x:f>
        <x:v>12715.810734983046</x:v>
      </x:c>
    </x:row>
    <x:row r="194">
      <x:c r="A194" s="40" t="n">
        <x:v>15</x:v>
      </x:c>
      <x:c r="B194" s="40" t="n">
        <x:v>31</x:v>
      </x:c>
      <x:c r="C194" s="40" t="n">
        <x:v>10</x:v>
      </x:c>
      <x:c r="D194" s="31" t="n">
        <x:f>INDEX(Assumptions!$D$24:$D$35,$C194)</x:f>
        <x:v>965.136511636476</x:v>
      </x:c>
      <x:c r="E194" s="30" t="n">
        <x:f>$D194*Assumptions!$B$11*IF($A194=0,1,(1+Assumptions!$B$14)^($A194-1))</x:f>
        <x:v>445.71699569631954</x:v>
      </x:c>
      <x:c r="F194" s="30" t="n">
        <x:f>$B194*Assumptions!$B$13</x:f>
        <x:v>21.7</x:v>
      </x:c>
      <x:c r="G194" s="30" t="n">
        <x:f>$E194+$F194</x:f>
        <x:v>467.41699569631953</x:v>
      </x:c>
      <x:c r="H194" s="30" t="n">
        <x:f>IF($A194=0,"",Assumptions!$B$21)</x:f>
        <x:v>5459.5</x:v>
      </x:c>
      <x:c r="I194" s="31" t="n">
        <x:f>IF($A194=0,"",INDEX(Assumptions!$C$24:$C$35,$C194)*IF($A194=0,"",IF($A194=1,1-Assumptions!$B$16,(1-Assumptions!$B$16)*(1-Assumptions!$B$17)^($A194-1))))</x:f>
        <x:v>173.4085886962944</x:v>
      </x:c>
      <x:c r="J194" s="32" t="n">
        <x:f>IF($A194=0,"",IF($I194&gt;0,$K194/$I194,0))</x:f>
        <x:v>1</x:v>
      </x:c>
      <x:c r="K194" s="31" t="n">
        <x:f>IF($A194=0,"",LET(direct,MIN($I194,$D194),surplus,MAX(0,$I194-direct),deficit,MAX(0,$D194-direct),charge,MIN(surplus,Assumptions!$B$10,direct,deficit),direct+charge))</x:f>
        <x:v>173.4085886962944</x:v>
      </x:c>
      <x:c r="L194" s="31" t="n">
        <x:f>IF($A194=0,"",LET(direct,MIN($I194,$D194),surplus,MAX(0,$I194-direct),deficit,MAX(0,$D194-direct),charge,MIN(surplus,Assumptions!$B$10,direct,deficit),surplus-charge))</x:f>
        <x:v>0</x:v>
      </x:c>
      <x:c r="M194" s="31" t="n">
        <x:f>IF($A194=0,"",LET(direct,MIN($I194,$D194),surplus,MAX(0,$I194-direct),deficit,MAX(0,$D194-direct),charge,MIN(surplus,Assumptions!$B$10,direct,deficit),deficit-charge))</x:f>
        <x:v>791.7279229401817</x:v>
      </x:c>
      <x:c r="N194" s="30" t="n">
        <x:f>IF($A194=0,"",$M194*Assumptions!$B$11*IF($A194=0,1,(1+Assumptions!$B$14)^($A194-1)))</x:f>
        <x:v>365.63386315520677</x:v>
      </x:c>
      <x:c r="O194" s="30" t="n">
        <x:f>IF($A194=0,"",$B194*Assumptions!$B$13)</x:f>
        <x:v>21.7</x:v>
      </x:c>
      <x:c r="P194" s="30" t="n">
        <x:f>IF($A194=0,"",$L194*Assumptions!$B$12)</x:f>
        <x:v>0</x:v>
      </x:c>
      <x:c r="Q194" s="30" t="n">
        <x:f>IF($A194=0,"",$N194+$O194-$P194)</x:f>
        <x:v>387.33386315520676</x:v>
      </x:c>
      <x:c r="R194" s="30" t="n">
        <x:f>IF($A194=0,"",$G194-$Q194)</x:f>
        <x:v>80.08313254111278</x:v>
      </x:c>
      <x:c r="S194" s="30" t="n">
        <x:f>IF($A194=0,"",SUM($R$17:R194))</x:f>
        <x:v>18255.39386752416</x:v>
      </x:c>
      <x:c r="T194" s="30" t="n">
        <x:f>IF($A194=0,"",$S194-$H194)</x:f>
        <x:v>12795.893867524159</x:v>
      </x:c>
    </x:row>
    <x:row r="195">
      <x:c r="A195" s="40" t="n">
        <x:v>15</x:v>
      </x:c>
      <x:c r="B195" s="40" t="n">
        <x:v>30</x:v>
      </x:c>
      <x:c r="C195" s="40" t="n">
        <x:v>11</x:v>
      </x:c>
      <x:c r="D195" s="31" t="n">
        <x:f>INDEX(Assumptions!$D$24:$D$35,$C195)</x:f>
        <x:v>948.3553735444794</x:v>
      </x:c>
      <x:c r="E195" s="30" t="n">
        <x:f>$D195*Assumptions!$B$11*IF($A195=0,1,(1+Assumptions!$B$14)^($A195-1))</x:f>
        <x:v>437.9671713299743</x:v>
      </x:c>
      <x:c r="F195" s="30" t="n">
        <x:f>$B195*Assumptions!$B$13</x:f>
        <x:v>21</x:v>
      </x:c>
      <x:c r="G195" s="30" t="n">
        <x:f>$E195+$F195</x:f>
        <x:v>458.9671713299743</x:v>
      </x:c>
      <x:c r="H195" s="30" t="n">
        <x:f>IF($A195=0,"",Assumptions!$B$21)</x:f>
        <x:v>5459.5</x:v>
      </x:c>
      <x:c r="I195" s="31" t="n">
        <x:f>IF($A195=0,"",INDEX(Assumptions!$C$24:$C$35,$C195)*IF($A195=0,"",IF($A195=1,1-Assumptions!$B$16,(1-Assumptions!$B$16)*(1-Assumptions!$B$17)^($A195-1))))</x:f>
        <x:v>102.95987688709393</x:v>
      </x:c>
      <x:c r="J195" s="32" t="n">
        <x:f>IF($A195=0,"",IF($I195&gt;0,$K195/$I195,0))</x:f>
        <x:v>1</x:v>
      </x:c>
      <x:c r="K195" s="31" t="n">
        <x:f>IF($A195=0,"",LET(direct,MIN($I195,$D195),surplus,MAX(0,$I195-direct),deficit,MAX(0,$D195-direct),charge,MIN(surplus,Assumptions!$B$10,direct,deficit),direct+charge))</x:f>
        <x:v>102.95987688709393</x:v>
      </x:c>
      <x:c r="L195" s="31" t="n">
        <x:f>IF($A195=0,"",LET(direct,MIN($I195,$D195),surplus,MAX(0,$I195-direct),deficit,MAX(0,$D195-direct),charge,MIN(surplus,Assumptions!$B$10,direct,deficit),surplus-charge))</x:f>
        <x:v>0</x:v>
      </x:c>
      <x:c r="M195" s="31" t="n">
        <x:f>IF($A195=0,"",LET(direct,MIN($I195,$D195),surplus,MAX(0,$I195-direct),deficit,MAX(0,$D195-direct),charge,MIN(surplus,Assumptions!$B$10,direct,deficit),deficit-charge))</x:f>
        <x:v>845.3954966573855</x:v>
      </x:c>
      <x:c r="N195" s="30" t="n">
        <x:f>IF($A195=0,"",$M195*Assumptions!$B$11*IF($A195=0,1,(1+Assumptions!$B$14)^($A195-1)))</x:f>
        <x:v>390.4184914799433</x:v>
      </x:c>
      <x:c r="O195" s="30" t="n">
        <x:f>IF($A195=0,"",$B195*Assumptions!$B$13)</x:f>
        <x:v>21</x:v>
      </x:c>
      <x:c r="P195" s="30" t="n">
        <x:f>IF($A195=0,"",$L195*Assumptions!$B$12)</x:f>
        <x:v>0</x:v>
      </x:c>
      <x:c r="Q195" s="30" t="n">
        <x:f>IF($A195=0,"",$N195+$O195-$P195)</x:f>
        <x:v>411.4184914799433</x:v>
      </x:c>
      <x:c r="R195" s="30" t="n">
        <x:f>IF($A195=0,"",$G195-$Q195)</x:f>
        <x:v>47.548679850030965</x:v>
      </x:c>
      <x:c r="S195" s="30" t="n">
        <x:f>IF($A195=0,"",SUM($R$17:R195))</x:f>
        <x:v>18302.94254737419</x:v>
      </x:c>
      <x:c r="T195" s="30" t="n">
        <x:f>IF($A195=0,"",$S195-$H195)</x:f>
        <x:v>12843.44254737419</x:v>
      </x:c>
    </x:row>
    <x:row r="196">
      <x:c r="A196" s="40" t="n">
        <x:v>15</x:v>
      </x:c>
      <x:c r="B196" s="40" t="n">
        <x:v>31</x:v>
      </x:c>
      <x:c r="C196" s="40" t="n">
        <x:v>12</x:v>
      </x:c>
      <x:c r="D196" s="31" t="n">
        <x:f>INDEX(Assumptions!$D$24:$D$35,$C196)</x:f>
        <x:v>928.0413642752205</x:v>
      </x:c>
      <x:c r="E196" s="30" t="n">
        <x:f>$D196*Assumptions!$B$11*IF($A196=0,1,(1+Assumptions!$B$14)^($A196-1))</x:f>
        <x:v>428.58580499176696</x:v>
      </x:c>
      <x:c r="F196" s="30" t="n">
        <x:f>$B196*Assumptions!$B$13</x:f>
        <x:v>21.7</x:v>
      </x:c>
      <x:c r="G196" s="30" t="n">
        <x:f>$E196+$F196</x:f>
        <x:v>450.28580499176695</x:v>
      </x:c>
      <x:c r="H196" s="30" t="n">
        <x:f>IF($A196=0,"",Assumptions!$B$21)</x:f>
        <x:v>5459.5</x:v>
      </x:c>
      <x:c r="I196" s="31" t="n">
        <x:f>IF($A196=0,"",INDEX(Assumptions!$C$24:$C$35,$C196)*IF($A196=0,"",IF($A196=1,1-Assumptions!$B$16,(1-Assumptions!$B$16)*(1-Assumptions!$B$17)^($A196-1))))</x:f>
        <x:v>75.91428954869228</x:v>
      </x:c>
      <x:c r="J196" s="32" t="n">
        <x:f>IF($A196=0,"",IF($I196&gt;0,$K196/$I196,0))</x:f>
        <x:v>1</x:v>
      </x:c>
      <x:c r="K196" s="31" t="n">
        <x:f>IF($A196=0,"",LET(direct,MIN($I196,$D196),surplus,MAX(0,$I196-direct),deficit,MAX(0,$D196-direct),charge,MIN(surplus,Assumptions!$B$10,direct,deficit),direct+charge))</x:f>
        <x:v>75.91428954869228</x:v>
      </x:c>
      <x:c r="L196" s="31" t="n">
        <x:f>IF($A196=0,"",LET(direct,MIN($I196,$D196),surplus,MAX(0,$I196-direct),deficit,MAX(0,$D196-direct),charge,MIN(surplus,Assumptions!$B$10,direct,deficit),surplus-charge))</x:f>
        <x:v>0</x:v>
      </x:c>
      <x:c r="M196" s="31" t="n">
        <x:f>IF($A196=0,"",LET(direct,MIN($I196,$D196),surplus,MAX(0,$I196-direct),deficit,MAX(0,$D196-direct),charge,MIN(surplus,Assumptions!$B$10,direct,deficit),deficit-charge))</x:f>
        <x:v>852.1270747265282</x:v>
      </x:c>
      <x:c r="N196" s="30" t="n">
        <x:f>IF($A196=0,"",$M196*Assumptions!$B$11*IF($A196=0,1,(1+Assumptions!$B$14)^($A196-1)))</x:f>
        <x:v>393.5272524863901</x:v>
      </x:c>
      <x:c r="O196" s="30" t="n">
        <x:f>IF($A196=0,"",$B196*Assumptions!$B$13)</x:f>
        <x:v>21.7</x:v>
      </x:c>
      <x:c r="P196" s="30" t="n">
        <x:f>IF($A196=0,"",$L196*Assumptions!$B$12)</x:f>
        <x:v>0</x:v>
      </x:c>
      <x:c r="Q196" s="30" t="n">
        <x:f>IF($A196=0,"",$N196+$O196-$P196)</x:f>
        <x:v>415.2272524863901</x:v>
      </x:c>
      <x:c r="R196" s="30" t="n">
        <x:f>IF($A196=0,"",$G196-$Q196)</x:f>
        <x:v>35.05855250537684</x:v>
      </x:c>
      <x:c r="S196" s="30" t="n">
        <x:f>IF($A196=0,"",SUM($R$17:R196))</x:f>
        <x:v>18338.001099879566</x:v>
      </x:c>
      <x:c r="T196" s="30" t="n">
        <x:f>IF($A196=0,"",$S196-$H196)</x:f>
        <x:v>12878.501099879566</x:v>
      </x:c>
    </x:row>
    <x:row r="197">
      <x:c r="A197" s="40" t="n">
        <x:v>16</x:v>
      </x:c>
      <x:c r="B197" s="40" t="n">
        <x:v>31</x:v>
      </x:c>
      <x:c r="C197" s="40" t="n">
        <x:v>1</x:v>
      </x:c>
      <x:c r="D197" s="31" t="n">
        <x:f>INDEX(Assumptions!$D$24:$D$35,$C197)</x:f>
        <x:v>921.8588397150115</x:v>
      </x:c>
      <x:c r="E197" s="30" t="n">
        <x:f>$D197*Assumptions!$B$11*IF($A197=0,1,(1+Assumptions!$B$14)^($A197-1))</x:f>
        <x:v>434.2452186718285</x:v>
      </x:c>
      <x:c r="F197" s="30" t="n">
        <x:f>$B197*Assumptions!$B$13</x:f>
        <x:v>21.7</x:v>
      </x:c>
      <x:c r="G197" s="30" t="n">
        <x:f>$E197+$F197</x:f>
        <x:v>455.9452186718285</x:v>
      </x:c>
      <x:c r="H197" s="30" t="n">
        <x:f>IF($A197=0,"",Assumptions!$B$21)</x:f>
        <x:v>5459.5</x:v>
      </x:c>
      <x:c r="I197" s="31" t="n">
        <x:f>IF($A197=0,"",INDEX(Assumptions!$C$24:$C$35,$C197)*IF($A197=0,"",IF($A197=1,1-Assumptions!$B$16,(1-Assumptions!$B$16)*(1-Assumptions!$B$17)^($A197-1))))</x:f>
        <x:v>92.03763381502092</x:v>
      </x:c>
      <x:c r="J197" s="32" t="n">
        <x:f>IF($A197=0,"",IF($I197&gt;0,$K197/$I197,0))</x:f>
        <x:v>1</x:v>
      </x:c>
      <x:c r="K197" s="31" t="n">
        <x:f>IF($A197=0,"",LET(direct,MIN($I197,$D197),surplus,MAX(0,$I197-direct),deficit,MAX(0,$D197-direct),charge,MIN(surplus,Assumptions!$B$10,direct,deficit),direct+charge))</x:f>
        <x:v>92.03763381502092</x:v>
      </x:c>
      <x:c r="L197" s="31" t="n">
        <x:f>IF($A197=0,"",LET(direct,MIN($I197,$D197),surplus,MAX(0,$I197-direct),deficit,MAX(0,$D197-direct),charge,MIN(surplus,Assumptions!$B$10,direct,deficit),surplus-charge))</x:f>
        <x:v>0</x:v>
      </x:c>
      <x:c r="M197" s="31" t="n">
        <x:f>IF($A197=0,"",LET(direct,MIN($I197,$D197),surplus,MAX(0,$I197-direct),deficit,MAX(0,$D197-direct),charge,MIN(surplus,Assumptions!$B$10,direct,deficit),deficit-charge))</x:f>
        <x:v>829.8212058999906</x:v>
      </x:c>
      <x:c r="N197" s="30" t="n">
        <x:f>IF($A197=0,"",$M197*Assumptions!$B$11*IF($A197=0,1,(1+Assumptions!$B$14)^($A197-1)))</x:f>
        <x:v>390.89053062176106</x:v>
      </x:c>
      <x:c r="O197" s="30" t="n">
        <x:f>IF($A197=0,"",$B197*Assumptions!$B$13)</x:f>
        <x:v>21.7</x:v>
      </x:c>
      <x:c r="P197" s="30" t="n">
        <x:f>IF($A197=0,"",$L197*Assumptions!$B$12)</x:f>
        <x:v>0</x:v>
      </x:c>
      <x:c r="Q197" s="30" t="n">
        <x:f>IF($A197=0,"",$N197+$O197-$P197)</x:f>
        <x:v>412.59053062176105</x:v>
      </x:c>
      <x:c r="R197" s="30" t="n">
        <x:f>IF($A197=0,"",$G197-$Q197)</x:f>
        <x:v>43.354688050067466</x:v>
      </x:c>
      <x:c r="S197" s="30" t="n">
        <x:f>IF($A197=0,"",SUM($R$17:R197))</x:f>
        <x:v>18381.355787929635</x:v>
      </x:c>
      <x:c r="T197" s="30" t="n">
        <x:f>IF($A197=0,"",$S197-$H197)</x:f>
        <x:v>12921.855787929635</x:v>
      </x:c>
    </x:row>
    <x:row r="198">
      <x:c r="A198" s="40" t="n">
        <x:v>16</x:v>
      </x:c>
      <x:c r="B198" s="40" t="n">
        <x:v>28</x:v>
      </x:c>
      <x:c r="C198" s="40" t="n">
        <x:v>2</x:v>
      </x:c>
      <x:c r="D198" s="31" t="n">
        <x:f>INDEX(Assumptions!$D$24:$D$35,$C198)</x:f>
        <x:v>923.6252753036425</x:v>
      </x:c>
      <x:c r="E198" s="30" t="n">
        <x:f>$D198*Assumptions!$B$11*IF($A198=0,1,(1+Assumptions!$B$14)^($A198-1))</x:f>
        <x:v>435.0773050774781</x:v>
      </x:c>
      <x:c r="F198" s="30" t="n">
        <x:f>$B198*Assumptions!$B$13</x:f>
        <x:v>19.599999999999998</x:v>
      </x:c>
      <x:c r="G198" s="30" t="n">
        <x:f>$E198+$F198</x:f>
        <x:v>454.67730507747814</x:v>
      </x:c>
      <x:c r="H198" s="30" t="n">
        <x:f>IF($A198=0,"",Assumptions!$B$21)</x:f>
        <x:v>5459.5</x:v>
      </x:c>
      <x:c r="I198" s="31" t="n">
        <x:f>IF($A198=0,"",INDEX(Assumptions!$C$24:$C$35,$C198)*IF($A198=0,"",IF($A198=1,1-Assumptions!$B$16,(1-Assumptions!$B$16)*(1-Assumptions!$B$17)^($A198-1))))</x:f>
        <x:v>145.50371853846227</x:v>
      </x:c>
      <x:c r="J198" s="32" t="n">
        <x:f>IF($A198=0,"",IF($I198&gt;0,$K198/$I198,0))</x:f>
        <x:v>1</x:v>
      </x:c>
      <x:c r="K198" s="31" t="n">
        <x:f>IF($A198=0,"",LET(direct,MIN($I198,$D198),surplus,MAX(0,$I198-direct),deficit,MAX(0,$D198-direct),charge,MIN(surplus,Assumptions!$B$10,direct,deficit),direct+charge))</x:f>
        <x:v>145.50371853846227</x:v>
      </x:c>
      <x:c r="L198" s="31" t="n">
        <x:f>IF($A198=0,"",LET(direct,MIN($I198,$D198),surplus,MAX(0,$I198-direct),deficit,MAX(0,$D198-direct),charge,MIN(surplus,Assumptions!$B$10,direct,deficit),surplus-charge))</x:f>
        <x:v>0</x:v>
      </x:c>
      <x:c r="M198" s="31" t="n">
        <x:f>IF($A198=0,"",LET(direct,MIN($I198,$D198),surplus,MAX(0,$I198-direct),deficit,MAX(0,$D198-direct),charge,MIN(surplus,Assumptions!$B$10,direct,deficit),deficit-charge))</x:f>
        <x:v>778.1215567651802</x:v>
      </x:c>
      <x:c r="N198" s="30" t="n">
        <x:f>IF($A198=0,"",$M198*Assumptions!$B$11*IF($A198=0,1,(1+Assumptions!$B$14)^($A198-1)))</x:f>
        <x:v>366.5372083162083</x:v>
      </x:c>
      <x:c r="O198" s="30" t="n">
        <x:f>IF($A198=0,"",$B198*Assumptions!$B$13)</x:f>
        <x:v>19.599999999999998</x:v>
      </x:c>
      <x:c r="P198" s="30" t="n">
        <x:f>IF($A198=0,"",$L198*Assumptions!$B$12)</x:f>
        <x:v>0</x:v>
      </x:c>
      <x:c r="Q198" s="30" t="n">
        <x:f>IF($A198=0,"",$N198+$O198-$P198)</x:f>
        <x:v>386.13720831620833</x:v>
      </x:c>
      <x:c r="R198" s="30" t="n">
        <x:f>IF($A198=0,"",$G198-$Q198)</x:f>
        <x:v>68.54009676126981</x:v>
      </x:c>
      <x:c r="S198" s="30" t="n">
        <x:f>IF($A198=0,"",SUM($R$17:R198))</x:f>
        <x:v>18449.895884690904</x:v>
      </x:c>
      <x:c r="T198" s="30" t="n">
        <x:f>IF($A198=0,"",$S198-$H198)</x:f>
        <x:v>12990.395884690904</x:v>
      </x:c>
    </x:row>
    <x:row r="199">
      <x:c r="A199" s="40" t="n">
        <x:v>16</x:v>
      </x:c>
      <x:c r="B199" s="40" t="n">
        <x:v>31</x:v>
      </x:c>
      <x:c r="C199" s="40" t="n">
        <x:v>3</x:v>
      </x:c>
      <x:c r="D199" s="31" t="n">
        <x:f>INDEX(Assumptions!$D$24:$D$35,$C199)</x:f>
        <x:v>907.7273550059616</x:v>
      </x:c>
      <x:c r="E199" s="30" t="n">
        <x:f>$D199*Assumptions!$B$11*IF($A199=0,1,(1+Assumptions!$B$14)^($A199-1))</x:f>
        <x:v>427.5885274266309</x:v>
      </x:c>
      <x:c r="F199" s="30" t="n">
        <x:f>$B199*Assumptions!$B$13</x:f>
        <x:v>21.7</x:v>
      </x:c>
      <x:c r="G199" s="30" t="n">
        <x:f>$E199+$F199</x:f>
        <x:v>449.2885274266309</x:v>
      </x:c>
      <x:c r="H199" s="30" t="n">
        <x:f>IF($A199=0,"",Assumptions!$B$21)</x:f>
        <x:v>5459.5</x:v>
      </x:c>
      <x:c r="I199" s="31" t="n">
        <x:f>IF($A199=0,"",INDEX(Assumptions!$C$24:$C$35,$C199)*IF($A199=0,"",IF($A199=1,1-Assumptions!$B$16,(1-Assumptions!$B$16)*(1-Assumptions!$B$17)^($A199-1))))</x:f>
        <x:v>256.84497558283005</x:v>
      </x:c>
      <x:c r="J199" s="32" t="n">
        <x:f>IF($A199=0,"",IF($I199&gt;0,$K199/$I199,0))</x:f>
        <x:v>1</x:v>
      </x:c>
      <x:c r="K199" s="31" t="n">
        <x:f>IF($A199=0,"",LET(direct,MIN($I199,$D199),surplus,MAX(0,$I199-direct),deficit,MAX(0,$D199-direct),charge,MIN(surplus,Assumptions!$B$10,direct,deficit),direct+charge))</x:f>
        <x:v>256.84497558283005</x:v>
      </x:c>
      <x:c r="L199" s="31" t="n">
        <x:f>IF($A199=0,"",LET(direct,MIN($I199,$D199),surplus,MAX(0,$I199-direct),deficit,MAX(0,$D199-direct),charge,MIN(surplus,Assumptions!$B$10,direct,deficit),surplus-charge))</x:f>
        <x:v>0</x:v>
      </x:c>
      <x:c r="M199" s="31" t="n">
        <x:f>IF($A199=0,"",LET(direct,MIN($I199,$D199),surplus,MAX(0,$I199-direct),deficit,MAX(0,$D199-direct),charge,MIN(surplus,Assumptions!$B$10,direct,deficit),deficit-charge))</x:f>
        <x:v>650.8823794231316</x:v>
      </x:c>
      <x:c r="N199" s="30" t="n">
        <x:f>IF($A199=0,"",$M199*Assumptions!$B$11*IF($A199=0,1,(1+Assumptions!$B$14)^($A199-1)))</x:f>
        <x:v>306.6006952535331</x:v>
      </x:c>
      <x:c r="O199" s="30" t="n">
        <x:f>IF($A199=0,"",$B199*Assumptions!$B$13)</x:f>
        <x:v>21.7</x:v>
      </x:c>
      <x:c r="P199" s="30" t="n">
        <x:f>IF($A199=0,"",$L199*Assumptions!$B$12)</x:f>
        <x:v>0</x:v>
      </x:c>
      <x:c r="Q199" s="30" t="n">
        <x:f>IF($A199=0,"",$N199+$O199-$P199)</x:f>
        <x:v>328.3006952535331</x:v>
      </x:c>
      <x:c r="R199" s="30" t="n">
        <x:f>IF($A199=0,"",$G199-$Q199)</x:f>
        <x:v>120.98783217309779</x:v>
      </x:c>
      <x:c r="S199" s="30" t="n">
        <x:f>IF($A199=0,"",SUM($R$17:R199))</x:f>
        <x:v>18570.883716864002</x:v>
      </x:c>
      <x:c r="T199" s="30" t="n">
        <x:f>IF($A199=0,"",$S199-$H199)</x:f>
        <x:v>13111.383716864002</x:v>
      </x:c>
    </x:row>
    <x:row r="200">
      <x:c r="A200" s="40" t="n">
        <x:v>16</x:v>
      </x:c>
      <x:c r="B200" s="40" t="n">
        <x:v>30</x:v>
      </x:c>
      <x:c r="C200" s="40" t="n">
        <x:v>4</x:v>
      </x:c>
      <x:c r="D200" s="31" t="n">
        <x:f>INDEX(Assumptions!$D$24:$D$35,$C200)</x:f>
        <x:v>951.0050269274262</x:v>
      </x:c>
      <x:c r="E200" s="30" t="n">
        <x:f>$D200*Assumptions!$B$11*IF($A200=0,1,(1+Assumptions!$B$14)^($A200-1))</x:f>
        <x:v>447.9746443650483</x:v>
      </x:c>
      <x:c r="F200" s="30" t="n">
        <x:f>$B200*Assumptions!$B$13</x:f>
        <x:v>21</x:v>
      </x:c>
      <x:c r="G200" s="30" t="n">
        <x:f>$E200+$F200</x:f>
        <x:v>468.9746443650483</x:v>
      </x:c>
      <x:c r="H200" s="30" t="n">
        <x:f>IF($A200=0,"",Assumptions!$B$21)</x:f>
        <x:v>5459.5</x:v>
      </x:c>
      <x:c r="I200" s="31" t="n">
        <x:f>IF($A200=0,"",INDEX(Assumptions!$C$24:$C$35,$C200)*IF($A200=0,"",IF($A200=1,1-Assumptions!$B$16,(1-Assumptions!$B$16)*(1-Assumptions!$B$17)^($A200-1))))</x:f>
        <x:v>342.0400080167375</x:v>
      </x:c>
      <x:c r="J200" s="32" t="n">
        <x:f>IF($A200=0,"",IF($I200&gt;0,$K200/$I200,0))</x:f>
        <x:v>1</x:v>
      </x:c>
      <x:c r="K200" s="31" t="n">
        <x:f>IF($A200=0,"",LET(direct,MIN($I200,$D200),surplus,MAX(0,$I200-direct),deficit,MAX(0,$D200-direct),charge,MIN(surplus,Assumptions!$B$10,direct,deficit),direct+charge))</x:f>
        <x:v>342.0400080167375</x:v>
      </x:c>
      <x:c r="L200" s="31" t="n">
        <x:f>IF($A200=0,"",LET(direct,MIN($I200,$D200),surplus,MAX(0,$I200-direct),deficit,MAX(0,$D200-direct),charge,MIN(surplus,Assumptions!$B$10,direct,deficit),surplus-charge))</x:f>
        <x:v>0</x:v>
      </x:c>
      <x:c r="M200" s="31" t="n">
        <x:f>IF($A200=0,"",LET(direct,MIN($I200,$D200),surplus,MAX(0,$I200-direct),deficit,MAX(0,$D200-direct),charge,MIN(surplus,Assumptions!$B$10,direct,deficit),deficit-charge))</x:f>
        <x:v>608.9650189106887</x:v>
      </x:c>
      <x:c r="N200" s="30" t="n">
        <x:f>IF($A200=0,"",$M200*Assumptions!$B$11*IF($A200=0,1,(1+Assumptions!$B$14)^($A200-1)))</x:f>
        <x:v>286.85535833459784</x:v>
      </x:c>
      <x:c r="O200" s="30" t="n">
        <x:f>IF($A200=0,"",$B200*Assumptions!$B$13)</x:f>
        <x:v>21</x:v>
      </x:c>
      <x:c r="P200" s="30" t="n">
        <x:f>IF($A200=0,"",$L200*Assumptions!$B$12)</x:f>
        <x:v>0</x:v>
      </x:c>
      <x:c r="Q200" s="30" t="n">
        <x:f>IF($A200=0,"",$N200+$O200-$P200)</x:f>
        <x:v>307.85535833459784</x:v>
      </x:c>
      <x:c r="R200" s="30" t="n">
        <x:f>IF($A200=0,"",$G200-$Q200)</x:f>
        <x:v>161.11928603045044</x:v>
      </x:c>
      <x:c r="S200" s="30" t="n">
        <x:f>IF($A200=0,"",SUM($R$17:R200))</x:f>
        <x:v>18732.003002894453</x:v>
      </x:c>
      <x:c r="T200" s="30" t="n">
        <x:f>IF($A200=0,"",$S200-$H200)</x:f>
        <x:v>13272.503002894453</x:v>
      </x:c>
    </x:row>
    <x:row r="201">
      <x:c r="A201" s="40" t="n">
        <x:v>16</x:v>
      </x:c>
      <x:c r="B201" s="40" t="n">
        <x:v>31</x:v>
      </x:c>
      <x:c r="C201" s="40" t="n">
        <x:v>5</x:v>
      </x:c>
      <x:c r="D201" s="31" t="n">
        <x:f>INDEX(Assumptions!$D$24:$D$35,$C201)</x:f>
        <x:v>480.47094299256736</x:v>
      </x:c>
      <x:c r="E201" s="30" t="n">
        <x:f>$D201*Assumptions!$B$11*IF($A201=0,1,(1+Assumptions!$B$14)^($A201-1))</x:f>
        <x:v>226.327720380452</x:v>
      </x:c>
      <x:c r="F201" s="30" t="n">
        <x:f>$B201*Assumptions!$B$13</x:f>
        <x:v>21.7</x:v>
      </x:c>
      <x:c r="G201" s="30" t="n">
        <x:f>$E201+$F201</x:f>
        <x:v>248.027720380452</x:v>
      </x:c>
      <x:c r="H201" s="30" t="n">
        <x:f>IF($A201=0,"",Assumptions!$B$21)</x:f>
        <x:v>5459.5</x:v>
      </x:c>
      <x:c r="I201" s="31" t="n">
        <x:f>IF($A201=0,"",INDEX(Assumptions!$C$24:$C$35,$C201)*IF($A201=0,"",IF($A201=1,1-Assumptions!$B$16,(1-Assumptions!$B$16)*(1-Assumptions!$B$17)^($A201-1))))</x:f>
        <x:v>378.94599131045675</x:v>
      </x:c>
      <x:c r="J201" s="32" t="n">
        <x:f>IF($A201=0,"",IF($I201&gt;0,$K201/$I201,0))</x:f>
        <x:v>1</x:v>
      </x:c>
      <x:c r="K201" s="31" t="n">
        <x:f>IF($A201=0,"",LET(direct,MIN($I201,$D201),surplus,MAX(0,$I201-direct),deficit,MAX(0,$D201-direct),charge,MIN(surplus,Assumptions!$B$10,direct,deficit),direct+charge))</x:f>
        <x:v>378.94599131045675</x:v>
      </x:c>
      <x:c r="L201" s="31" t="n">
        <x:f>IF($A201=0,"",LET(direct,MIN($I201,$D201),surplus,MAX(0,$I201-direct),deficit,MAX(0,$D201-direct),charge,MIN(surplus,Assumptions!$B$10,direct,deficit),surplus-charge))</x:f>
        <x:v>0</x:v>
      </x:c>
      <x:c r="M201" s="31" t="n">
        <x:f>IF($A201=0,"",LET(direct,MIN($I201,$D201),surplus,MAX(0,$I201-direct),deficit,MAX(0,$D201-direct),charge,MIN(surplus,Assumptions!$B$10,direct,deficit),deficit-charge))</x:f>
        <x:v>101.52495168211061</x:v>
      </x:c>
      <x:c r="N201" s="30" t="n">
        <x:f>IF($A201=0,"",$M201*Assumptions!$B$11*IF($A201=0,1,(1+Assumptions!$B$14)^($A201-1)))</x:f>
        <x:v>47.823726306593926</x:v>
      </x:c>
      <x:c r="O201" s="30" t="n">
        <x:f>IF($A201=0,"",$B201*Assumptions!$B$13)</x:f>
        <x:v>21.7</x:v>
      </x:c>
      <x:c r="P201" s="30" t="n">
        <x:f>IF($A201=0,"",$L201*Assumptions!$B$12)</x:f>
        <x:v>0</x:v>
      </x:c>
      <x:c r="Q201" s="30" t="n">
        <x:f>IF($A201=0,"",$N201+$O201-$P201)</x:f>
        <x:v>69.52372630659393</x:v>
      </x:c>
      <x:c r="R201" s="30" t="n">
        <x:f>IF($A201=0,"",$G201-$Q201)</x:f>
        <x:v>178.50399407385805</x:v>
      </x:c>
      <x:c r="S201" s="30" t="n">
        <x:f>IF($A201=0,"",SUM($R$17:R201))</x:f>
        <x:v>18910.50699696831</x:v>
      </x:c>
      <x:c r="T201" s="30" t="n">
        <x:f>IF($A201=0,"",$S201-$H201)</x:f>
        <x:v>13451.00699696831</x:v>
      </x:c>
    </x:row>
    <x:row r="202">
      <x:c r="A202" s="40" t="n">
        <x:v>16</x:v>
      </x:c>
      <x:c r="B202" s="40" t="n">
        <x:v>30</x:v>
      </x:c>
      <x:c r="C202" s="40" t="n">
        <x:v>6</x:v>
      </x:c>
      <x:c r="D202" s="31" t="n">
        <x:f>INDEX(Assumptions!$D$24:$D$35,$C202)</x:f>
        <x:v>491.73724202799656</x:v>
      </x:c>
      <x:c r="E202" s="30" t="n">
        <x:f>$D202*Assumptions!$B$11*IF($A202=0,1,(1+Assumptions!$B$14)^($A202-1))</x:f>
        <x:v>231.63475468710854</x:v>
      </x:c>
      <x:c r="F202" s="30" t="n">
        <x:f>$B202*Assumptions!$B$13</x:f>
        <x:v>21</x:v>
      </x:c>
      <x:c r="G202" s="30" t="n">
        <x:f>$E202+$F202</x:f>
        <x:v>252.63475468710854</x:v>
      </x:c>
      <x:c r="H202" s="30" t="n">
        <x:f>IF($A202=0,"",Assumptions!$B$21)</x:f>
        <x:v>5459.5</x:v>
      </x:c>
      <x:c r="I202" s="31" t="n">
        <x:f>IF($A202=0,"",INDEX(Assumptions!$C$24:$C$35,$C202)*IF($A202=0,"",IF($A202=1,1-Assumptions!$B$16,(1-Assumptions!$B$16)*(1-Assumptions!$B$17)^($A202-1))))</x:f>
        <x:v>388.57322088918784</x:v>
      </x:c>
      <x:c r="J202" s="32" t="n">
        <x:f>IF($A202=0,"",IF($I202&gt;0,$K202/$I202,0))</x:f>
        <x:v>1</x:v>
      </x:c>
      <x:c r="K202" s="31" t="n">
        <x:f>IF($A202=0,"",LET(direct,MIN($I202,$D202),surplus,MAX(0,$I202-direct),deficit,MAX(0,$D202-direct),charge,MIN(surplus,Assumptions!$B$10,direct,deficit),direct+charge))</x:f>
        <x:v>388.57322088918784</x:v>
      </x:c>
      <x:c r="L202" s="31" t="n">
        <x:f>IF($A202=0,"",LET(direct,MIN($I202,$D202),surplus,MAX(0,$I202-direct),deficit,MAX(0,$D202-direct),charge,MIN(surplus,Assumptions!$B$10,direct,deficit),surplus-charge))</x:f>
        <x:v>0</x:v>
      </x:c>
      <x:c r="M202" s="31" t="n">
        <x:f>IF($A202=0,"",LET(direct,MIN($I202,$D202),surplus,MAX(0,$I202-direct),deficit,MAX(0,$D202-direct),charge,MIN(surplus,Assumptions!$B$10,direct,deficit),deficit-charge))</x:f>
        <x:v>103.16402113880872</x:v>
      </x:c>
      <x:c r="N202" s="30" t="n">
        <x:f>IF($A202=0,"",$M202*Assumptions!$B$11*IF($A202=0,1,(1+Assumptions!$B$14)^($A202-1)))</x:f>
        <x:v>48.595816396723365</x:v>
      </x:c>
      <x:c r="O202" s="30" t="n">
        <x:f>IF($A202=0,"",$B202*Assumptions!$B$13)</x:f>
        <x:v>21</x:v>
      </x:c>
      <x:c r="P202" s="30" t="n">
        <x:f>IF($A202=0,"",$L202*Assumptions!$B$12)</x:f>
        <x:v>0</x:v>
      </x:c>
      <x:c r="Q202" s="30" t="n">
        <x:f>IF($A202=0,"",$N202+$O202-$P202)</x:f>
        <x:v>69.59581639672336</x:v>
      </x:c>
      <x:c r="R202" s="30" t="n">
        <x:f>IF($A202=0,"",$G202-$Q202)</x:f>
        <x:v>183.03893829038518</x:v>
      </x:c>
      <x:c r="S202" s="30" t="n">
        <x:f>IF($A202=0,"",SUM($R$17:R202))</x:f>
        <x:v>19093.545935258695</x:v>
      </x:c>
      <x:c r="T202" s="30" t="n">
        <x:f>IF($A202=0,"",$S202-$H202)</x:f>
        <x:v>13634.045935258695</x:v>
      </x:c>
    </x:row>
    <x:row r="203">
      <x:c r="A203" s="40" t="n">
        <x:v>16</x:v>
      </x:c>
      <x:c r="B203" s="40" t="n">
        <x:v>31</x:v>
      </x:c>
      <x:c r="C203" s="40" t="n">
        <x:v>7</x:v>
      </x:c>
      <x:c r="D203" s="31" t="n">
        <x:f>INDEX(Assumptions!$D$24:$D$35,$C203)</x:f>
        <x:v>504.2215193375261</x:v>
      </x:c>
      <x:c r="E203" s="30" t="n">
        <x:f>$D203*Assumptions!$B$11*IF($A203=0,1,(1+Assumptions!$B$14)^($A203-1))</x:f>
        <x:v>237.5155224323225</x:v>
      </x:c>
      <x:c r="F203" s="30" t="n">
        <x:f>$B203*Assumptions!$B$13</x:f>
        <x:v>21.7</x:v>
      </x:c>
      <x:c r="G203" s="30" t="n">
        <x:f>$E203+$F203</x:f>
        <x:v>259.21552243232253</x:v>
      </x:c>
      <x:c r="H203" s="30" t="n">
        <x:f>IF($A203=0,"",Assumptions!$B$21)</x:f>
        <x:v>5459.5</x:v>
      </x:c>
      <x:c r="I203" s="31" t="n">
        <x:f>IF($A203=0,"",INDEX(Assumptions!$C$24:$C$35,$C203)*IF($A203=0,"",IF($A203=1,1-Assumptions!$B$16,(1-Assumptions!$B$16)*(1-Assumptions!$B$17)^($A203-1))))</x:f>
        <x:v>401.5076624366495</x:v>
      </x:c>
      <x:c r="J203" s="32" t="n">
        <x:f>IF($A203=0,"",IF($I203&gt;0,$K203/$I203,0))</x:f>
        <x:v>1</x:v>
      </x:c>
      <x:c r="K203" s="31" t="n">
        <x:f>IF($A203=0,"",LET(direct,MIN($I203,$D203),surplus,MAX(0,$I203-direct),deficit,MAX(0,$D203-direct),charge,MIN(surplus,Assumptions!$B$10,direct,deficit),direct+charge))</x:f>
        <x:v>401.5076624366495</x:v>
      </x:c>
      <x:c r="L203" s="31" t="n">
        <x:f>IF($A203=0,"",LET(direct,MIN($I203,$D203),surplus,MAX(0,$I203-direct),deficit,MAX(0,$D203-direct),charge,MIN(surplus,Assumptions!$B$10,direct,deficit),surplus-charge))</x:f>
        <x:v>0</x:v>
      </x:c>
      <x:c r="M203" s="31" t="n">
        <x:f>IF($A203=0,"",LET(direct,MIN($I203,$D203),surplus,MAX(0,$I203-direct),deficit,MAX(0,$D203-direct),charge,MIN(surplus,Assumptions!$B$10,direct,deficit),deficit-charge))</x:f>
        <x:v>102.71385690087658</x:v>
      </x:c>
      <x:c r="N203" s="30" t="n">
        <x:f>IF($A203=0,"",$M203*Assumptions!$B$11*IF($A203=0,1,(1+Assumptions!$B$14)^($A203-1)))</x:f>
        <x:v>48.383764768515825</x:v>
      </x:c>
      <x:c r="O203" s="30" t="n">
        <x:f>IF($A203=0,"",$B203*Assumptions!$B$13)</x:f>
        <x:v>21.7</x:v>
      </x:c>
      <x:c r="P203" s="30" t="n">
        <x:f>IF($A203=0,"",$L203*Assumptions!$B$12)</x:f>
        <x:v>0</x:v>
      </x:c>
      <x:c r="Q203" s="30" t="n">
        <x:f>IF($A203=0,"",$N203+$O203-$P203)</x:f>
        <x:v>70.08376476851582</x:v>
      </x:c>
      <x:c r="R203" s="30" t="n">
        <x:f>IF($A203=0,"",$G203-$Q203)</x:f>
        <x:v>189.1317576638067</x:v>
      </x:c>
      <x:c r="S203" s="30" t="n">
        <x:f>IF($A203=0,"",SUM($R$17:R203))</x:f>
        <x:v>19282.6776929225</x:v>
      </x:c>
      <x:c r="T203" s="30" t="n">
        <x:f>IF($A203=0,"",$S203-$H203)</x:f>
        <x:v>13823.177692922502</x:v>
      </x:c>
    </x:row>
    <x:row r="204">
      <x:c r="A204" s="40" t="n">
        <x:v>16</x:v>
      </x:c>
      <x:c r="B204" s="40" t="n">
        <x:v>31</x:v>
      </x:c>
      <x:c r="C204" s="40" t="n">
        <x:v>8</x:v>
      </x:c>
      <x:c r="D204" s="31" t="n">
        <x:f>INDEX(Assumptions!$D$24:$D$35,$C204)</x:f>
        <x:v>495.0866822817727</x:v>
      </x:c>
      <x:c r="E204" s="30" t="n">
        <x:f>$D204*Assumptions!$B$11*IF($A204=0,1,(1+Assumptions!$B$14)^($A204-1))</x:f>
        <x:v>233.21252164314154</x:v>
      </x:c>
      <x:c r="F204" s="30" t="n">
        <x:f>$B204*Assumptions!$B$13</x:f>
        <x:v>21.7</x:v>
      </x:c>
      <x:c r="G204" s="30" t="n">
        <x:f>$E204+$F204</x:f>
        <x:v>254.91252164314153</x:v>
      </x:c>
      <x:c r="H204" s="30" t="n">
        <x:f>IF($A204=0,"",Assumptions!$B$21)</x:f>
        <x:v>5459.5</x:v>
      </x:c>
      <x:c r="I204" s="31" t="n">
        <x:f>IF($A204=0,"",INDEX(Assumptions!$C$24:$C$35,$C204)*IF($A204=0,"",IF($A204=1,1-Assumptions!$B$16,(1-Assumptions!$B$16)*(1-Assumptions!$B$17)^($A204-1))))</x:f>
        <x:v>335.0187802016586</x:v>
      </x:c>
      <x:c r="J204" s="32" t="n">
        <x:f>IF($A204=0,"",IF($I204&gt;0,$K204/$I204,0))</x:f>
        <x:v>1</x:v>
      </x:c>
      <x:c r="K204" s="31" t="n">
        <x:f>IF($A204=0,"",LET(direct,MIN($I204,$D204),surplus,MAX(0,$I204-direct),deficit,MAX(0,$D204-direct),charge,MIN(surplus,Assumptions!$B$10,direct,deficit),direct+charge))</x:f>
        <x:v>335.0187802016586</x:v>
      </x:c>
      <x:c r="L204" s="31" t="n">
        <x:f>IF($A204=0,"",LET(direct,MIN($I204,$D204),surplus,MAX(0,$I204-direct),deficit,MAX(0,$D204-direct),charge,MIN(surplus,Assumptions!$B$10,direct,deficit),surplus-charge))</x:f>
        <x:v>0</x:v>
      </x:c>
      <x:c r="M204" s="31" t="n">
        <x:f>IF($A204=0,"",LET(direct,MIN($I204,$D204),surplus,MAX(0,$I204-direct),deficit,MAX(0,$D204-direct),charge,MIN(surplus,Assumptions!$B$10,direct,deficit),deficit-charge))</x:f>
        <x:v>160.0679020801141</x:v>
      </x:c>
      <x:c r="N204" s="30" t="n">
        <x:f>IF($A204=0,"",$M204*Assumptions!$B$11*IF($A204=0,1,(1+Assumptions!$B$14)^($A204-1)))</x:f>
        <x:v>75.40061248705743</x:v>
      </x:c>
      <x:c r="O204" s="30" t="n">
        <x:f>IF($A204=0,"",$B204*Assumptions!$B$13)</x:f>
        <x:v>21.7</x:v>
      </x:c>
      <x:c r="P204" s="30" t="n">
        <x:f>IF($A204=0,"",$L204*Assumptions!$B$12)</x:f>
        <x:v>0</x:v>
      </x:c>
      <x:c r="Q204" s="30" t="n">
        <x:f>IF($A204=0,"",$N204+$O204-$P204)</x:f>
        <x:v>97.10061248705743</x:v>
      </x:c>
      <x:c r="R204" s="30" t="n">
        <x:f>IF($A204=0,"",$G204-$Q204)</x:f>
        <x:v>157.81190915608408</x:v>
      </x:c>
      <x:c r="S204" s="30" t="n">
        <x:f>IF($A204=0,"",SUM($R$17:R204))</x:f>
        <x:v>19440.489602078585</x:v>
      </x:c>
      <x:c r="T204" s="30" t="n">
        <x:f>IF($A204=0,"",$S204-$H204)</x:f>
        <x:v>13980.989602078585</x:v>
      </x:c>
    </x:row>
    <x:row r="205">
      <x:c r="A205" s="40" t="n">
        <x:v>16</x:v>
      </x:c>
      <x:c r="B205" s="40" t="n">
        <x:v>30</x:v>
      </x:c>
      <x:c r="C205" s="40" t="n">
        <x:v>9</x:v>
      </x:c>
      <x:c r="D205" s="31" t="n">
        <x:f>INDEX(Assumptions!$D$24:$D$35,$C205)</x:f>
        <x:v>484.7338669519189</x:v>
      </x:c>
      <x:c r="E205" s="30" t="n">
        <x:f>$D205*Assumptions!$B$11*IF($A205=0,1,(1+Assumptions!$B$14)^($A205-1))</x:f>
        <x:v>228.33578741540313</x:v>
      </x:c>
      <x:c r="F205" s="30" t="n">
        <x:f>$B205*Assumptions!$B$13</x:f>
        <x:v>21</x:v>
      </x:c>
      <x:c r="G205" s="30" t="n">
        <x:f>$E205+$F205</x:f>
        <x:v>249.33578741540313</x:v>
      </x:c>
      <x:c r="H205" s="30" t="n">
        <x:f>IF($A205=0,"",Assumptions!$B$21)</x:f>
        <x:v>5459.5</x:v>
      </x:c>
      <x:c r="I205" s="31" t="n">
        <x:f>IF($A205=0,"",INDEX(Assumptions!$C$24:$C$35,$C205)*IF($A205=0,"",IF($A205=1,1-Assumptions!$B$16,(1-Assumptions!$B$16)*(1-Assumptions!$B$17)^($A205-1))))</x:f>
        <x:v>246.67925029881695</x:v>
      </x:c>
      <x:c r="J205" s="32" t="n">
        <x:f>IF($A205=0,"",IF($I205&gt;0,$K205/$I205,0))</x:f>
        <x:v>1</x:v>
      </x:c>
      <x:c r="K205" s="31" t="n">
        <x:f>IF($A205=0,"",LET(direct,MIN($I205,$D205),surplus,MAX(0,$I205-direct),deficit,MAX(0,$D205-direct),charge,MIN(surplus,Assumptions!$B$10,direct,deficit),direct+charge))</x:f>
        <x:v>246.67925029881695</x:v>
      </x:c>
      <x:c r="L205" s="31" t="n">
        <x:f>IF($A205=0,"",LET(direct,MIN($I205,$D205),surplus,MAX(0,$I205-direct),deficit,MAX(0,$D205-direct),charge,MIN(surplus,Assumptions!$B$10,direct,deficit),surplus-charge))</x:f>
        <x:v>0</x:v>
      </x:c>
      <x:c r="M205" s="31" t="n">
        <x:f>IF($A205=0,"",LET(direct,MIN($I205,$D205),surplus,MAX(0,$I205-direct),deficit,MAX(0,$D205-direct),charge,MIN(surplus,Assumptions!$B$10,direct,deficit),deficit-charge))</x:f>
        <x:v>238.05461665310196</x:v>
      </x:c>
      <x:c r="N205" s="30" t="n">
        <x:f>IF($A205=0,"",$M205*Assumptions!$B$11*IF($A205=0,1,(1+Assumptions!$B$14)^($A205-1)))</x:f>
        <x:v>112.13655997085432</x:v>
      </x:c>
      <x:c r="O205" s="30" t="n">
        <x:f>IF($A205=0,"",$B205*Assumptions!$B$13)</x:f>
        <x:v>21</x:v>
      </x:c>
      <x:c r="P205" s="30" t="n">
        <x:f>IF($A205=0,"",$L205*Assumptions!$B$12)</x:f>
        <x:v>0</x:v>
      </x:c>
      <x:c r="Q205" s="30" t="n">
        <x:f>IF($A205=0,"",$N205+$O205-$P205)</x:f>
        <x:v>133.1365599708543</x:v>
      </x:c>
      <x:c r="R205" s="30" t="n">
        <x:f>IF($A205=0,"",$G205-$Q205)</x:f>
        <x:v>116.19922744454882</x:v>
      </x:c>
      <x:c r="S205" s="30" t="n">
        <x:f>IF($A205=0,"",SUM($R$17:R205))</x:f>
        <x:v>19556.688829523133</x:v>
      </x:c>
      <x:c r="T205" s="30" t="n">
        <x:f>IF($A205=0,"",$S205-$H205)</x:f>
        <x:v>14097.188829523133</x:v>
      </x:c>
    </x:row>
    <x:row r="206">
      <x:c r="A206" s="40" t="n">
        <x:v>16</x:v>
      </x:c>
      <x:c r="B206" s="40" t="n">
        <x:v>31</x:v>
      </x:c>
      <x:c r="C206" s="40" t="n">
        <x:v>10</x:v>
      </x:c>
      <x:c r="D206" s="31" t="n">
        <x:f>INDEX(Assumptions!$D$24:$D$35,$C206)</x:f>
        <x:v>965.136511636476</x:v>
      </x:c>
      <x:c r="E206" s="30" t="n">
        <x:f>$D206*Assumptions!$B$11*IF($A206=0,1,(1+Assumptions!$B$14)^($A206-1))</x:f>
        <x:v>454.63133561024597</x:v>
      </x:c>
      <x:c r="F206" s="30" t="n">
        <x:f>$B206*Assumptions!$B$13</x:f>
        <x:v>21.7</x:v>
      </x:c>
      <x:c r="G206" s="30" t="n">
        <x:f>$E206+$F206</x:f>
        <x:v>476.33133561024596</x:v>
      </x:c>
      <x:c r="H206" s="30" t="n">
        <x:f>IF($A206=0,"",Assumptions!$B$21)</x:f>
        <x:v>5459.5</x:v>
      </x:c>
      <x:c r="I206" s="31" t="n">
        <x:f>IF($A206=0,"",INDEX(Assumptions!$C$24:$C$35,$C206)*IF($A206=0,"",IF($A206=1,1-Assumptions!$B$16,(1-Assumptions!$B$16)*(1-Assumptions!$B$17)^($A206-1))))</x:f>
        <x:v>172.7149543415092</x:v>
      </x:c>
      <x:c r="J206" s="32" t="n">
        <x:f>IF($A206=0,"",IF($I206&gt;0,$K206/$I206,0))</x:f>
        <x:v>1</x:v>
      </x:c>
      <x:c r="K206" s="31" t="n">
        <x:f>IF($A206=0,"",LET(direct,MIN($I206,$D206),surplus,MAX(0,$I206-direct),deficit,MAX(0,$D206-direct),charge,MIN(surplus,Assumptions!$B$10,direct,deficit),direct+charge))</x:f>
        <x:v>172.7149543415092</x:v>
      </x:c>
      <x:c r="L206" s="31" t="n">
        <x:f>IF($A206=0,"",LET(direct,MIN($I206,$D206),surplus,MAX(0,$I206-direct),deficit,MAX(0,$D206-direct),charge,MIN(surplus,Assumptions!$B$10,direct,deficit),surplus-charge))</x:f>
        <x:v>0</x:v>
      </x:c>
      <x:c r="M206" s="31" t="n">
        <x:f>IF($A206=0,"",LET(direct,MIN($I206,$D206),surplus,MAX(0,$I206-direct),deficit,MAX(0,$D206-direct),charge,MIN(surplus,Assumptions!$B$10,direct,deficit),deficit-charge))</x:f>
        <x:v>792.4215572949668</x:v>
      </x:c>
      <x:c r="N206" s="30" t="n">
        <x:f>IF($A206=0,"",$M206*Assumptions!$B$11*IF($A206=0,1,(1+Assumptions!$B$14)^($A206-1)))</x:f>
        <x:v>373.2732795990786</x:v>
      </x:c>
      <x:c r="O206" s="30" t="n">
        <x:f>IF($A206=0,"",$B206*Assumptions!$B$13)</x:f>
        <x:v>21.7</x:v>
      </x:c>
      <x:c r="P206" s="30" t="n">
        <x:f>IF($A206=0,"",$L206*Assumptions!$B$12)</x:f>
        <x:v>0</x:v>
      </x:c>
      <x:c r="Q206" s="30" t="n">
        <x:f>IF($A206=0,"",$N206+$O206-$P206)</x:f>
        <x:v>394.9732795990786</x:v>
      </x:c>
      <x:c r="R206" s="30" t="n">
        <x:f>IF($A206=0,"",$G206-$Q206)</x:f>
        <x:v>81.35805601116738</x:v>
      </x:c>
      <x:c r="S206" s="30" t="n">
        <x:f>IF($A206=0,"",SUM($R$17:R206))</x:f>
        <x:v>19638.0468855343</x:v>
      </x:c>
      <x:c r="T206" s="30" t="n">
        <x:f>IF($A206=0,"",$S206-$H206)</x:f>
        <x:v>14178.546885534299</x:v>
      </x:c>
    </x:row>
    <x:row r="207">
      <x:c r="A207" s="40" t="n">
        <x:v>16</x:v>
      </x:c>
      <x:c r="B207" s="40" t="n">
        <x:v>30</x:v>
      </x:c>
      <x:c r="C207" s="40" t="n">
        <x:v>11</x:v>
      </x:c>
      <x:c r="D207" s="31" t="n">
        <x:f>INDEX(Assumptions!$D$24:$D$35,$C207)</x:f>
        <x:v>948.3553735444794</x:v>
      </x:c>
      <x:c r="E207" s="30" t="n">
        <x:f>$D207*Assumptions!$B$11*IF($A207=0,1,(1+Assumptions!$B$14)^($A207-1))</x:f>
        <x:v>446.7265147565738</x:v>
      </x:c>
      <x:c r="F207" s="30" t="n">
        <x:f>$B207*Assumptions!$B$13</x:f>
        <x:v>21</x:v>
      </x:c>
      <x:c r="G207" s="30" t="n">
        <x:f>$E207+$F207</x:f>
        <x:v>467.7265147565738</x:v>
      </x:c>
      <x:c r="H207" s="30" t="n">
        <x:f>IF($A207=0,"",Assumptions!$B$21)</x:f>
        <x:v>5459.5</x:v>
      </x:c>
      <x:c r="I207" s="31" t="n">
        <x:f>IF($A207=0,"",INDEX(Assumptions!$C$24:$C$35,$C207)*IF($A207=0,"",IF($A207=1,1-Assumptions!$B$16,(1-Assumptions!$B$16)*(1-Assumptions!$B$17)^($A207-1))))</x:f>
        <x:v>102.54803737954555</x:v>
      </x:c>
      <x:c r="J207" s="32" t="n">
        <x:f>IF($A207=0,"",IF($I207&gt;0,$K207/$I207,0))</x:f>
        <x:v>1</x:v>
      </x:c>
      <x:c r="K207" s="31" t="n">
        <x:f>IF($A207=0,"",LET(direct,MIN($I207,$D207),surplus,MAX(0,$I207-direct),deficit,MAX(0,$D207-direct),charge,MIN(surplus,Assumptions!$B$10,direct,deficit),direct+charge))</x:f>
        <x:v>102.54803737954555</x:v>
      </x:c>
      <x:c r="L207" s="31" t="n">
        <x:f>IF($A207=0,"",LET(direct,MIN($I207,$D207),surplus,MAX(0,$I207-direct),deficit,MAX(0,$D207-direct),charge,MIN(surplus,Assumptions!$B$10,direct,deficit),surplus-charge))</x:f>
        <x:v>0</x:v>
      </x:c>
      <x:c r="M207" s="31" t="n">
        <x:f>IF($A207=0,"",LET(direct,MIN($I207,$D207),surplus,MAX(0,$I207-direct),deficit,MAX(0,$D207-direct),charge,MIN(surplus,Assumptions!$B$10,direct,deficit),deficit-charge))</x:f>
        <x:v>845.8073361649339</x:v>
      </x:c>
      <x:c r="N207" s="30" t="n">
        <x:f>IF($A207=0,"",$M207*Assumptions!$B$11*IF($A207=0,1,(1+Assumptions!$B$14)^($A207-1)))</x:f>
        <x:v>398.42085992333034</x:v>
      </x:c>
      <x:c r="O207" s="30" t="n">
        <x:f>IF($A207=0,"",$B207*Assumptions!$B$13)</x:f>
        <x:v>21</x:v>
      </x:c>
      <x:c r="P207" s="30" t="n">
        <x:f>IF($A207=0,"",$L207*Assumptions!$B$12)</x:f>
        <x:v>0</x:v>
      </x:c>
      <x:c r="Q207" s="30" t="n">
        <x:f>IF($A207=0,"",$N207+$O207-$P207)</x:f>
        <x:v>419.42085992333034</x:v>
      </x:c>
      <x:c r="R207" s="30" t="n">
        <x:f>IF($A207=0,"",$G207-$Q207)</x:f>
        <x:v>48.305654833243466</x:v>
      </x:c>
      <x:c r="S207" s="30" t="n">
        <x:f>IF($A207=0,"",SUM($R$17:R207))</x:f>
        <x:v>19686.35254036754</x:v>
      </x:c>
      <x:c r="T207" s="30" t="n">
        <x:f>IF($A207=0,"",$S207-$H207)</x:f>
        <x:v>14226.852540367541</x:v>
      </x:c>
    </x:row>
    <x:row r="208">
      <x:c r="A208" s="40" t="n">
        <x:v>16</x:v>
      </x:c>
      <x:c r="B208" s="40" t="n">
        <x:v>31</x:v>
      </x:c>
      <x:c r="C208" s="40" t="n">
        <x:v>12</x:v>
      </x:c>
      <x:c r="D208" s="31" t="n">
        <x:f>INDEX(Assumptions!$D$24:$D$35,$C208)</x:f>
        <x:v>928.0413642752205</x:v>
      </x:c>
      <x:c r="E208" s="30" t="n">
        <x:f>$D208*Assumptions!$B$11*IF($A208=0,1,(1+Assumptions!$B$14)^($A208-1))</x:f>
        <x:v>437.15752109160235</x:v>
      </x:c>
      <x:c r="F208" s="30" t="n">
        <x:f>$B208*Assumptions!$B$13</x:f>
        <x:v>21.7</x:v>
      </x:c>
      <x:c r="G208" s="30" t="n">
        <x:f>$E208+$F208</x:f>
        <x:v>458.85752109160234</x:v>
      </x:c>
      <x:c r="H208" s="30" t="n">
        <x:f>IF($A208=0,"",Assumptions!$B$21)</x:f>
        <x:v>5459.5</x:v>
      </x:c>
      <x:c r="I208" s="31" t="n">
        <x:f>IF($A208=0,"",INDEX(Assumptions!$C$24:$C$35,$C208)*IF($A208=0,"",IF($A208=1,1-Assumptions!$B$16,(1-Assumptions!$B$16)*(1-Assumptions!$B$17)^($A208-1))))</x:f>
        <x:v>75.61063239049751</x:v>
      </x:c>
      <x:c r="J208" s="32" t="n">
        <x:f>IF($A208=0,"",IF($I208&gt;0,$K208/$I208,0))</x:f>
        <x:v>1</x:v>
      </x:c>
      <x:c r="K208" s="31" t="n">
        <x:f>IF($A208=0,"",LET(direct,MIN($I208,$D208),surplus,MAX(0,$I208-direct),deficit,MAX(0,$D208-direct),charge,MIN(surplus,Assumptions!$B$10,direct,deficit),direct+charge))</x:f>
        <x:v>75.61063239049751</x:v>
      </x:c>
      <x:c r="L208" s="31" t="n">
        <x:f>IF($A208=0,"",LET(direct,MIN($I208,$D208),surplus,MAX(0,$I208-direct),deficit,MAX(0,$D208-direct),charge,MIN(surplus,Assumptions!$B$10,direct,deficit),surplus-charge))</x:f>
        <x:v>0</x:v>
      </x:c>
      <x:c r="M208" s="31" t="n">
        <x:f>IF($A208=0,"",LET(direct,MIN($I208,$D208),surplus,MAX(0,$I208-direct),deficit,MAX(0,$D208-direct),charge,MIN(surplus,Assumptions!$B$10,direct,deficit),deficit-charge))</x:f>
        <x:v>852.4307318847231</x:v>
      </x:c>
      <x:c r="N208" s="30" t="n">
        <x:f>IF($A208=0,"",$M208*Assumptions!$B$11*IF($A208=0,1,(1+Assumptions!$B$14)^($A208-1)))</x:f>
        <x:v>401.5408364303399</x:v>
      </x:c>
      <x:c r="O208" s="30" t="n">
        <x:f>IF($A208=0,"",$B208*Assumptions!$B$13)</x:f>
        <x:v>21.7</x:v>
      </x:c>
      <x:c r="P208" s="30" t="n">
        <x:f>IF($A208=0,"",$L208*Assumptions!$B$12)</x:f>
        <x:v>0</x:v>
      </x:c>
      <x:c r="Q208" s="30" t="n">
        <x:f>IF($A208=0,"",$N208+$O208-$P208)</x:f>
        <x:v>423.24083643033987</x:v>
      </x:c>
      <x:c r="R208" s="30" t="n">
        <x:f>IF($A208=0,"",$G208-$Q208)</x:f>
        <x:v>35.61668466126247</x:v>
      </x:c>
      <x:c r="S208" s="30" t="n">
        <x:f>IF($A208=0,"",SUM($R$17:R208))</x:f>
        <x:v>19721.969225028803</x:v>
      </x:c>
      <x:c r="T208" s="30" t="n">
        <x:f>IF($A208=0,"",$S208-$H208)</x:f>
        <x:v>14262.469225028803</x:v>
      </x:c>
    </x:row>
    <x:row r="209">
      <x:c r="A209" s="40" t="n">
        <x:v>17</x:v>
      </x:c>
      <x:c r="B209" s="40" t="n">
        <x:v>31</x:v>
      </x:c>
      <x:c r="C209" s="40" t="n">
        <x:v>1</x:v>
      </x:c>
      <x:c r="D209" s="31" t="n">
        <x:f>INDEX(Assumptions!$D$24:$D$35,$C209)</x:f>
        <x:v>921.8588397150115</x:v>
      </x:c>
      <x:c r="E209" s="30" t="n">
        <x:f>$D209*Assumptions!$B$11*IF($A209=0,1,(1+Assumptions!$B$14)^($A209-1))</x:f>
        <x:v>442.9301230452651</x:v>
      </x:c>
      <x:c r="F209" s="30" t="n">
        <x:f>$B209*Assumptions!$B$13</x:f>
        <x:v>21.7</x:v>
      </x:c>
      <x:c r="G209" s="30" t="n">
        <x:f>$E209+$F209</x:f>
        <x:v>464.63012304526507</x:v>
      </x:c>
      <x:c r="H209" s="30" t="n">
        <x:f>IF($A209=0,"",Assumptions!$B$21)</x:f>
        <x:v>5459.5</x:v>
      </x:c>
      <x:c r="I209" s="31" t="n">
        <x:f>IF($A209=0,"",INDEX(Assumptions!$C$24:$C$35,$C209)*IF($A209=0,"",IF($A209=1,1-Assumptions!$B$16,(1-Assumptions!$B$16)*(1-Assumptions!$B$17)^($A209-1))))</x:f>
        <x:v>91.66948327976084</x:v>
      </x:c>
      <x:c r="J209" s="32" t="n">
        <x:f>IF($A209=0,"",IF($I209&gt;0,$K209/$I209,0))</x:f>
        <x:v>1</x:v>
      </x:c>
      <x:c r="K209" s="31" t="n">
        <x:f>IF($A209=0,"",LET(direct,MIN($I209,$D209),surplus,MAX(0,$I209-direct),deficit,MAX(0,$D209-direct),charge,MIN(surplus,Assumptions!$B$10,direct,deficit),direct+charge))</x:f>
        <x:v>91.66948327976084</x:v>
      </x:c>
      <x:c r="L209" s="31" t="n">
        <x:f>IF($A209=0,"",LET(direct,MIN($I209,$D209),surplus,MAX(0,$I209-direct),deficit,MAX(0,$D209-direct),charge,MIN(surplus,Assumptions!$B$10,direct,deficit),surplus-charge))</x:f>
        <x:v>0</x:v>
      </x:c>
      <x:c r="M209" s="31" t="n">
        <x:f>IF($A209=0,"",LET(direct,MIN($I209,$D209),surplus,MAX(0,$I209-direct),deficit,MAX(0,$D209-direct),charge,MIN(surplus,Assumptions!$B$10,direct,deficit),deficit-charge))</x:f>
        <x:v>830.1893564352507</x:v>
      </x:c>
      <x:c r="N209" s="30" t="n">
        <x:f>IF($A209=0,"",$M209*Assumptions!$B$11*IF($A209=0,1,(1+Assumptions!$B$14)^($A209-1)))</x:f>
        <x:v>398.88522836144057</x:v>
      </x:c>
      <x:c r="O209" s="30" t="n">
        <x:f>IF($A209=0,"",$B209*Assumptions!$B$13)</x:f>
        <x:v>21.7</x:v>
      </x:c>
      <x:c r="P209" s="30" t="n">
        <x:f>IF($A209=0,"",$L209*Assumptions!$B$12)</x:f>
        <x:v>0</x:v>
      </x:c>
      <x:c r="Q209" s="30" t="n">
        <x:f>IF($A209=0,"",$N209+$O209-$P209)</x:f>
        <x:v>420.58522836144056</x:v>
      </x:c>
      <x:c r="R209" s="30" t="n">
        <x:f>IF($A209=0,"",$G209-$Q209)</x:f>
        <x:v>44.04489468382451</x:v>
      </x:c>
      <x:c r="S209" s="30" t="n">
        <x:f>IF($A209=0,"",SUM($R$17:R209))</x:f>
        <x:v>19766.01411971263</x:v>
      </x:c>
      <x:c r="T209" s="30" t="n">
        <x:f>IF($A209=0,"",$S209-$H209)</x:f>
        <x:v>14306.514119712629</x:v>
      </x:c>
    </x:row>
    <x:row r="210">
      <x:c r="A210" s="40" t="n">
        <x:v>17</x:v>
      </x:c>
      <x:c r="B210" s="40" t="n">
        <x:v>28</x:v>
      </x:c>
      <x:c r="C210" s="40" t="n">
        <x:v>2</x:v>
      </x:c>
      <x:c r="D210" s="31" t="n">
        <x:f>INDEX(Assumptions!$D$24:$D$35,$C210)</x:f>
        <x:v>923.6252753036425</x:v>
      </x:c>
      <x:c r="E210" s="30" t="n">
        <x:f>$D210*Assumptions!$B$11*IF($A210=0,1,(1+Assumptions!$B$14)^($A210-1))</x:f>
        <x:v>443.7788511790277</x:v>
      </x:c>
      <x:c r="F210" s="30" t="n">
        <x:f>$B210*Assumptions!$B$13</x:f>
        <x:v>19.599999999999998</x:v>
      </x:c>
      <x:c r="G210" s="30" t="n">
        <x:f>$E210+$F210</x:f>
        <x:v>463.3788511790277</x:v>
      </x:c>
      <x:c r="H210" s="30" t="n">
        <x:f>IF($A210=0,"",Assumptions!$B$21)</x:f>
        <x:v>5459.5</x:v>
      </x:c>
      <x:c r="I210" s="31" t="n">
        <x:f>IF($A210=0,"",INDEX(Assumptions!$C$24:$C$35,$C210)*IF($A210=0,"",IF($A210=1,1-Assumptions!$B$16,(1-Assumptions!$B$16)*(1-Assumptions!$B$17)^($A210-1))))</x:f>
        <x:v>144.9217036643084</x:v>
      </x:c>
      <x:c r="J210" s="32" t="n">
        <x:f>IF($A210=0,"",IF($I210&gt;0,$K210/$I210,0))</x:f>
        <x:v>1</x:v>
      </x:c>
      <x:c r="K210" s="31" t="n">
        <x:f>IF($A210=0,"",LET(direct,MIN($I210,$D210),surplus,MAX(0,$I210-direct),deficit,MAX(0,$D210-direct),charge,MIN(surplus,Assumptions!$B$10,direct,deficit),direct+charge))</x:f>
        <x:v>144.9217036643084</x:v>
      </x:c>
      <x:c r="L210" s="31" t="n">
        <x:f>IF($A210=0,"",LET(direct,MIN($I210,$D210),surplus,MAX(0,$I210-direct),deficit,MAX(0,$D210-direct),charge,MIN(surplus,Assumptions!$B$10,direct,deficit),surplus-charge))</x:f>
        <x:v>0</x:v>
      </x:c>
      <x:c r="M210" s="31" t="n">
        <x:f>IF($A210=0,"",LET(direct,MIN($I210,$D210),surplus,MAX(0,$I210-direct),deficit,MAX(0,$D210-direct),charge,MIN(surplus,Assumptions!$B$10,direct,deficit),deficit-charge))</x:f>
        <x:v>778.7035716393341</x:v>
      </x:c>
      <x:c r="N210" s="30" t="n">
        <x:f>IF($A210=0,"",$M210*Assumptions!$B$11*IF($A210=0,1,(1+Assumptions!$B$14)^($A210-1)))</x:f>
        <x:v>374.14759607731844</x:v>
      </x:c>
      <x:c r="O210" s="30" t="n">
        <x:f>IF($A210=0,"",$B210*Assumptions!$B$13)</x:f>
        <x:v>19.599999999999998</x:v>
      </x:c>
      <x:c r="P210" s="30" t="n">
        <x:f>IF($A210=0,"",$L210*Assumptions!$B$12)</x:f>
        <x:v>0</x:v>
      </x:c>
      <x:c r="Q210" s="30" t="n">
        <x:f>IF($A210=0,"",$N210+$O210-$P210)</x:f>
        <x:v>393.74759607731846</x:v>
      </x:c>
      <x:c r="R210" s="30" t="n">
        <x:f>IF($A210=0,"",$G210-$Q210)</x:f>
        <x:v>69.63125510170926</x:v>
      </x:c>
      <x:c r="S210" s="30" t="n">
        <x:f>IF($A210=0,"",SUM($R$17:R210))</x:f>
        <x:v>19835.64537481434</x:v>
      </x:c>
      <x:c r="T210" s="30" t="n">
        <x:f>IF($A210=0,"",$S210-$H210)</x:f>
        <x:v>14376.14537481434</x:v>
      </x:c>
    </x:row>
    <x:row r="211">
      <x:c r="A211" s="40" t="n">
        <x:v>17</x:v>
      </x:c>
      <x:c r="B211" s="40" t="n">
        <x:v>31</x:v>
      </x:c>
      <x:c r="C211" s="40" t="n">
        <x:v>3</x:v>
      </x:c>
      <x:c r="D211" s="31" t="n">
        <x:f>INDEX(Assumptions!$D$24:$D$35,$C211)</x:f>
        <x:v>907.7273550059616</x:v>
      </x:c>
      <x:c r="E211" s="30" t="n">
        <x:f>$D211*Assumptions!$B$11*IF($A211=0,1,(1+Assumptions!$B$14)^($A211-1))</x:f>
        <x:v>436.1402979751635</x:v>
      </x:c>
      <x:c r="F211" s="30" t="n">
        <x:f>$B211*Assumptions!$B$13</x:f>
        <x:v>21.7</x:v>
      </x:c>
      <x:c r="G211" s="30" t="n">
        <x:f>$E211+$F211</x:f>
        <x:v>457.8402979751635</x:v>
      </x:c>
      <x:c r="H211" s="30" t="n">
        <x:f>IF($A211=0,"",Assumptions!$B$21)</x:f>
        <x:v>5459.5</x:v>
      </x:c>
      <x:c r="I211" s="31" t="n">
        <x:f>IF($A211=0,"",INDEX(Assumptions!$C$24:$C$35,$C211)*IF($A211=0,"",IF($A211=1,1-Assumptions!$B$16,(1-Assumptions!$B$16)*(1-Assumptions!$B$17)^($A211-1))))</x:f>
        <x:v>255.81759568049873</x:v>
      </x:c>
      <x:c r="J211" s="32" t="n">
        <x:f>IF($A211=0,"",IF($I211&gt;0,$K211/$I211,0))</x:f>
        <x:v>1</x:v>
      </x:c>
      <x:c r="K211" s="31" t="n">
        <x:f>IF($A211=0,"",LET(direct,MIN($I211,$D211),surplus,MAX(0,$I211-direct),deficit,MAX(0,$D211-direct),charge,MIN(surplus,Assumptions!$B$10,direct,deficit),direct+charge))</x:f>
        <x:v>255.81759568049873</x:v>
      </x:c>
      <x:c r="L211" s="31" t="n">
        <x:f>IF($A211=0,"",LET(direct,MIN($I211,$D211),surplus,MAX(0,$I211-direct),deficit,MAX(0,$D211-direct),charge,MIN(surplus,Assumptions!$B$10,direct,deficit),surplus-charge))</x:f>
        <x:v>0</x:v>
      </x:c>
      <x:c r="M211" s="31" t="n">
        <x:f>IF($A211=0,"",LET(direct,MIN($I211,$D211),surplus,MAX(0,$I211-direct),deficit,MAX(0,$D211-direct),charge,MIN(surplus,Assumptions!$B$10,direct,deficit),deficit-charge))</x:f>
        <x:v>651.9097593254629</x:v>
      </x:c>
      <x:c r="N211" s="30" t="n">
        <x:f>IF($A211=0,"",$M211*Assumptions!$B$11*IF($A211=0,1,(1+Assumptions!$B$14)^($A211-1)))</x:f>
        <x:v>313.22633951386996</x:v>
      </x:c>
      <x:c r="O211" s="30" t="n">
        <x:f>IF($A211=0,"",$B211*Assumptions!$B$13)</x:f>
        <x:v>21.7</x:v>
      </x:c>
      <x:c r="P211" s="30" t="n">
        <x:f>IF($A211=0,"",$L211*Assumptions!$B$12)</x:f>
        <x:v>0</x:v>
      </x:c>
      <x:c r="Q211" s="30" t="n">
        <x:f>IF($A211=0,"",$N211+$O211-$P211)</x:f>
        <x:v>334.92633951386995</x:v>
      </x:c>
      <x:c r="R211" s="30" t="n">
        <x:f>IF($A211=0,"",$G211-$Q211)</x:f>
        <x:v>122.91395846129353</x:v>
      </x:c>
      <x:c r="S211" s="30" t="n">
        <x:f>IF($A211=0,"",SUM($R$17:R211))</x:f>
        <x:v>19958.559333275633</x:v>
      </x:c>
      <x:c r="T211" s="30" t="n">
        <x:f>IF($A211=0,"",$S211-$H211)</x:f>
        <x:v>14499.059333275633</x:v>
      </x:c>
    </x:row>
    <x:row r="212">
      <x:c r="A212" s="40" t="n">
        <x:v>17</x:v>
      </x:c>
      <x:c r="B212" s="40" t="n">
        <x:v>30</x:v>
      </x:c>
      <x:c r="C212" s="40" t="n">
        <x:v>4</x:v>
      </x:c>
      <x:c r="D212" s="31" t="n">
        <x:f>INDEX(Assumptions!$D$24:$D$35,$C212)</x:f>
        <x:v>951.0050269274262</x:v>
      </x:c>
      <x:c r="E212" s="30" t="n">
        <x:f>$D212*Assumptions!$B$11*IF($A212=0,1,(1+Assumptions!$B$14)^($A212-1))</x:f>
        <x:v>456.9341372523493</x:v>
      </x:c>
      <x:c r="F212" s="30" t="n">
        <x:f>$B212*Assumptions!$B$13</x:f>
        <x:v>21</x:v>
      </x:c>
      <x:c r="G212" s="30" t="n">
        <x:f>$E212+$F212</x:f>
        <x:v>477.9341372523493</x:v>
      </x:c>
      <x:c r="H212" s="30" t="n">
        <x:f>IF($A212=0,"",Assumptions!$B$21)</x:f>
        <x:v>5459.5</x:v>
      </x:c>
      <x:c r="I212" s="31" t="n">
        <x:f>IF($A212=0,"",INDEX(Assumptions!$C$24:$C$35,$C212)*IF($A212=0,"",IF($A212=1,1-Assumptions!$B$16,(1-Assumptions!$B$16)*(1-Assumptions!$B$17)^($A212-1))))</x:f>
        <x:v>340.67184798467053</x:v>
      </x:c>
      <x:c r="J212" s="32" t="n">
        <x:f>IF($A212=0,"",IF($I212&gt;0,$K212/$I212,0))</x:f>
        <x:v>1</x:v>
      </x:c>
      <x:c r="K212" s="31" t="n">
        <x:f>IF($A212=0,"",LET(direct,MIN($I212,$D212),surplus,MAX(0,$I212-direct),deficit,MAX(0,$D212-direct),charge,MIN(surplus,Assumptions!$B$10,direct,deficit),direct+charge))</x:f>
        <x:v>340.67184798467053</x:v>
      </x:c>
      <x:c r="L212" s="31" t="n">
        <x:f>IF($A212=0,"",LET(direct,MIN($I212,$D212),surplus,MAX(0,$I212-direct),deficit,MAX(0,$D212-direct),charge,MIN(surplus,Assumptions!$B$10,direct,deficit),surplus-charge))</x:f>
        <x:v>0</x:v>
      </x:c>
      <x:c r="M212" s="31" t="n">
        <x:f>IF($A212=0,"",LET(direct,MIN($I212,$D212),surplus,MAX(0,$I212-direct),deficit,MAX(0,$D212-direct),charge,MIN(surplus,Assumptions!$B$10,direct,deficit),deficit-charge))</x:f>
        <x:v>610.3331789427557</x:v>
      </x:c>
      <x:c r="N212" s="30" t="n">
        <x:f>IF($A212=0,"",$M212*Assumptions!$B$11*IF($A212=0,1,(1+Assumptions!$B$14)^($A212-1)))</x:f>
        <x:v>293.249832188294</x:v>
      </x:c>
      <x:c r="O212" s="30" t="n">
        <x:f>IF($A212=0,"",$B212*Assumptions!$B$13)</x:f>
        <x:v>21</x:v>
      </x:c>
      <x:c r="P212" s="30" t="n">
        <x:f>IF($A212=0,"",$L212*Assumptions!$B$12)</x:f>
        <x:v>0</x:v>
      </x:c>
      <x:c r="Q212" s="30" t="n">
        <x:f>IF($A212=0,"",$N212+$O212-$P212)</x:f>
        <x:v>314.249832188294</x:v>
      </x:c>
      <x:c r="R212" s="30" t="n">
        <x:f>IF($A212=0,"",$G212-$Q212)</x:f>
        <x:v>163.68430506405525</x:v>
      </x:c>
      <x:c r="S212" s="30" t="n">
        <x:f>IF($A212=0,"",SUM($R$17:R212))</x:f>
        <x:v>20122.24363833969</x:v>
      </x:c>
      <x:c r="T212" s="30" t="n">
        <x:f>IF($A212=0,"",$S212-$H212)</x:f>
        <x:v>14662.743638339689</x:v>
      </x:c>
    </x:row>
    <x:row r="213">
      <x:c r="A213" s="40" t="n">
        <x:v>17</x:v>
      </x:c>
      <x:c r="B213" s="40" t="n">
        <x:v>31</x:v>
      </x:c>
      <x:c r="C213" s="40" t="n">
        <x:v>5</x:v>
      </x:c>
      <x:c r="D213" s="31" t="n">
        <x:f>INDEX(Assumptions!$D$24:$D$35,$C213)</x:f>
        <x:v>480.47094299256736</x:v>
      </x:c>
      <x:c r="E213" s="30" t="n">
        <x:f>$D213*Assumptions!$B$11*IF($A213=0,1,(1+Assumptions!$B$14)^($A213-1))</x:f>
        <x:v>230.85427478806105</x:v>
      </x:c>
      <x:c r="F213" s="30" t="n">
        <x:f>$B213*Assumptions!$B$13</x:f>
        <x:v>21.7</x:v>
      </x:c>
      <x:c r="G213" s="30" t="n">
        <x:f>$E213+$F213</x:f>
        <x:v>252.55427478806104</x:v>
      </x:c>
      <x:c r="H213" s="30" t="n">
        <x:f>IF($A213=0,"",Assumptions!$B$21)</x:f>
        <x:v>5459.5</x:v>
      </x:c>
      <x:c r="I213" s="31" t="n">
        <x:f>IF($A213=0,"",INDEX(Assumptions!$C$24:$C$35,$C213)*IF($A213=0,"",IF($A213=1,1-Assumptions!$B$16,(1-Assumptions!$B$16)*(1-Assumptions!$B$17)^($A213-1))))</x:f>
        <x:v>377.4302073452149</x:v>
      </x:c>
      <x:c r="J213" s="32" t="n">
        <x:f>IF($A213=0,"",IF($I213&gt;0,$K213/$I213,0))</x:f>
        <x:v>1</x:v>
      </x:c>
      <x:c r="K213" s="31" t="n">
        <x:f>IF($A213=0,"",LET(direct,MIN($I213,$D213),surplus,MAX(0,$I213-direct),deficit,MAX(0,$D213-direct),charge,MIN(surplus,Assumptions!$B$10,direct,deficit),direct+charge))</x:f>
        <x:v>377.4302073452149</x:v>
      </x:c>
      <x:c r="L213" s="31" t="n">
        <x:f>IF($A213=0,"",LET(direct,MIN($I213,$D213),surplus,MAX(0,$I213-direct),deficit,MAX(0,$D213-direct),charge,MIN(surplus,Assumptions!$B$10,direct,deficit),surplus-charge))</x:f>
        <x:v>0</x:v>
      </x:c>
      <x:c r="M213" s="31" t="n">
        <x:f>IF($A213=0,"",LET(direct,MIN($I213,$D213),surplus,MAX(0,$I213-direct),deficit,MAX(0,$D213-direct),charge,MIN(surplus,Assumptions!$B$10,direct,deficit),deficit-charge))</x:f>
        <x:v>103.04073564735245</x:v>
      </x:c>
      <x:c r="N213" s="30" t="n">
        <x:f>IF($A213=0,"",$M213*Assumptions!$B$11*IF($A213=0,1,(1+Assumptions!$B$14)^($A213-1)))</x:f>
        <x:v>49.50849712854714</x:v>
      </x:c>
      <x:c r="O213" s="30" t="n">
        <x:f>IF($A213=0,"",$B213*Assumptions!$B$13)</x:f>
        <x:v>21.7</x:v>
      </x:c>
      <x:c r="P213" s="30" t="n">
        <x:f>IF($A213=0,"",$L213*Assumptions!$B$12)</x:f>
        <x:v>0</x:v>
      </x:c>
      <x:c r="Q213" s="30" t="n">
        <x:f>IF($A213=0,"",$N213+$O213-$P213)</x:f>
        <x:v>71.20849712854714</x:v>
      </x:c>
      <x:c r="R213" s="30" t="n">
        <x:f>IF($A213=0,"",$G213-$Q213)</x:f>
        <x:v>181.34577765951389</x:v>
      </x:c>
      <x:c r="S213" s="30" t="n">
        <x:f>IF($A213=0,"",SUM($R$17:R213))</x:f>
        <x:v>20303.589415999202</x:v>
      </x:c>
      <x:c r="T213" s="30" t="n">
        <x:f>IF($A213=0,"",$S213-$H213)</x:f>
        <x:v>14844.089415999202</x:v>
      </x:c>
    </x:row>
    <x:row r="214">
      <x:c r="A214" s="40" t="n">
        <x:v>17</x:v>
      </x:c>
      <x:c r="B214" s="40" t="n">
        <x:v>30</x:v>
      </x:c>
      <x:c r="C214" s="40" t="n">
        <x:v>6</x:v>
      </x:c>
      <x:c r="D214" s="31" t="n">
        <x:f>INDEX(Assumptions!$D$24:$D$35,$C214)</x:f>
        <x:v>491.73724202799656</x:v>
      </x:c>
      <x:c r="E214" s="30" t="n">
        <x:f>$D214*Assumptions!$B$11*IF($A214=0,1,(1+Assumptions!$B$14)^($A214-1))</x:f>
        <x:v>236.2674497808507</x:v>
      </x:c>
      <x:c r="F214" s="30" t="n">
        <x:f>$B214*Assumptions!$B$13</x:f>
        <x:v>21</x:v>
      </x:c>
      <x:c r="G214" s="30" t="n">
        <x:f>$E214+$F214</x:f>
        <x:v>257.2674497808507</x:v>
      </x:c>
      <x:c r="H214" s="30" t="n">
        <x:f>IF($A214=0,"",Assumptions!$B$21)</x:f>
        <x:v>5459.5</x:v>
      </x:c>
      <x:c r="I214" s="31" t="n">
        <x:f>IF($A214=0,"",INDEX(Assumptions!$C$24:$C$35,$C214)*IF($A214=0,"",IF($A214=1,1-Assumptions!$B$16,(1-Assumptions!$B$16)*(1-Assumptions!$B$17)^($A214-1))))</x:f>
        <x:v>387.0189280056311</x:v>
      </x:c>
      <x:c r="J214" s="32" t="n">
        <x:f>IF($A214=0,"",IF($I214&gt;0,$K214/$I214,0))</x:f>
        <x:v>1</x:v>
      </x:c>
      <x:c r="K214" s="31" t="n">
        <x:f>IF($A214=0,"",LET(direct,MIN($I214,$D214),surplus,MAX(0,$I214-direct),deficit,MAX(0,$D214-direct),charge,MIN(surplus,Assumptions!$B$10,direct,deficit),direct+charge))</x:f>
        <x:v>387.0189280056311</x:v>
      </x:c>
      <x:c r="L214" s="31" t="n">
        <x:f>IF($A214=0,"",LET(direct,MIN($I214,$D214),surplus,MAX(0,$I214-direct),deficit,MAX(0,$D214-direct),charge,MIN(surplus,Assumptions!$B$10,direct,deficit),surplus-charge))</x:f>
        <x:v>0</x:v>
      </x:c>
      <x:c r="M214" s="31" t="n">
        <x:f>IF($A214=0,"",LET(direct,MIN($I214,$D214),surplus,MAX(0,$I214-direct),deficit,MAX(0,$D214-direct),charge,MIN(surplus,Assumptions!$B$10,direct,deficit),deficit-charge))</x:f>
        <x:v>104.71831402236546</x:v>
      </x:c>
      <x:c r="N214" s="30" t="n">
        <x:f>IF($A214=0,"",$M214*Assumptions!$B$11*IF($A214=0,1,(1+Assumptions!$B$14)^($A214-1)))</x:f>
        <x:v>50.3145315928826</x:v>
      </x:c>
      <x:c r="O214" s="30" t="n">
        <x:f>IF($A214=0,"",$B214*Assumptions!$B$13)</x:f>
        <x:v>21</x:v>
      </x:c>
      <x:c r="P214" s="30" t="n">
        <x:f>IF($A214=0,"",$L214*Assumptions!$B$12)</x:f>
        <x:v>0</x:v>
      </x:c>
      <x:c r="Q214" s="30" t="n">
        <x:f>IF($A214=0,"",$N214+$O214-$P214)</x:f>
        <x:v>71.3145315928826</x:v>
      </x:c>
      <x:c r="R214" s="30" t="n">
        <x:f>IF($A214=0,"",$G214-$Q214)</x:f>
        <x:v>185.95291818796812</x:v>
      </x:c>
      <x:c r="S214" s="30" t="n">
        <x:f>IF($A214=0,"",SUM($R$17:R214))</x:f>
        <x:v>20489.542334187172</x:v>
      </x:c>
      <x:c r="T214" s="30" t="n">
        <x:f>IF($A214=0,"",$S214-$H214)</x:f>
        <x:v>15030.042334187172</x:v>
      </x:c>
    </x:row>
    <x:row r="215">
      <x:c r="A215" s="40" t="n">
        <x:v>17</x:v>
      </x:c>
      <x:c r="B215" s="40" t="n">
        <x:v>31</x:v>
      </x:c>
      <x:c r="C215" s="40" t="n">
        <x:v>7</x:v>
      </x:c>
      <x:c r="D215" s="31" t="n">
        <x:f>INDEX(Assumptions!$D$24:$D$35,$C215)</x:f>
        <x:v>504.2215193375261</x:v>
      </x:c>
      <x:c r="E215" s="30" t="n">
        <x:f>$D215*Assumptions!$B$11*IF($A215=0,1,(1+Assumptions!$B$14)^($A215-1))</x:f>
        <x:v>242.265832880969</x:v>
      </x:c>
      <x:c r="F215" s="30" t="n">
        <x:f>$B215*Assumptions!$B$13</x:f>
        <x:v>21.7</x:v>
      </x:c>
      <x:c r="G215" s="30" t="n">
        <x:f>$E215+$F215</x:f>
        <x:v>263.965832880969</x:v>
      </x:c>
      <x:c r="H215" s="30" t="n">
        <x:f>IF($A215=0,"",Assumptions!$B$21)</x:f>
        <x:v>5459.5</x:v>
      </x:c>
      <x:c r="I215" s="31" t="n">
        <x:f>IF($A215=0,"",INDEX(Assumptions!$C$24:$C$35,$C215)*IF($A215=0,"",IF($A215=1,1-Assumptions!$B$16,(1-Assumptions!$B$16)*(1-Assumptions!$B$17)^($A215-1))))</x:f>
        <x:v>399.9016317869029</x:v>
      </x:c>
      <x:c r="J215" s="32" t="n">
        <x:f>IF($A215=0,"",IF($I215&gt;0,$K215/$I215,0))</x:f>
        <x:v>1</x:v>
      </x:c>
      <x:c r="K215" s="31" t="n">
        <x:f>IF($A215=0,"",LET(direct,MIN($I215,$D215),surplus,MAX(0,$I215-direct),deficit,MAX(0,$D215-direct),charge,MIN(surplus,Assumptions!$B$10,direct,deficit),direct+charge))</x:f>
        <x:v>399.9016317869029</x:v>
      </x:c>
      <x:c r="L215" s="31" t="n">
        <x:f>IF($A215=0,"",LET(direct,MIN($I215,$D215),surplus,MAX(0,$I215-direct),deficit,MAX(0,$D215-direct),charge,MIN(surplus,Assumptions!$B$10,direct,deficit),surplus-charge))</x:f>
        <x:v>0</x:v>
      </x:c>
      <x:c r="M215" s="31" t="n">
        <x:f>IF($A215=0,"",LET(direct,MIN($I215,$D215),surplus,MAX(0,$I215-direct),deficit,MAX(0,$D215-direct),charge,MIN(surplus,Assumptions!$B$10,direct,deficit),deficit-charge))</x:f>
        <x:v>104.3198875506232</x:v>
      </x:c>
      <x:c r="N215" s="30" t="n">
        <x:f>IF($A215=0,"",$M215*Assumptions!$B$11*IF($A215=0,1,(1+Assumptions!$B$14)^($A215-1)))</x:f>
        <x:v>50.123097635154494</x:v>
      </x:c>
      <x:c r="O215" s="30" t="n">
        <x:f>IF($A215=0,"",$B215*Assumptions!$B$13)</x:f>
        <x:v>21.7</x:v>
      </x:c>
      <x:c r="P215" s="30" t="n">
        <x:f>IF($A215=0,"",$L215*Assumptions!$B$12)</x:f>
        <x:v>0</x:v>
      </x:c>
      <x:c r="Q215" s="30" t="n">
        <x:f>IF($A215=0,"",$N215+$O215-$P215)</x:f>
        <x:v>71.8230976351545</x:v>
      </x:c>
      <x:c r="R215" s="30" t="n">
        <x:f>IF($A215=0,"",$G215-$Q215)</x:f>
        <x:v>192.1427352458145</x:v>
      </x:c>
      <x:c r="S215" s="30" t="n">
        <x:f>IF($A215=0,"",SUM($R$17:R215))</x:f>
        <x:v>20681.685069432988</x:v>
      </x:c>
      <x:c r="T215" s="30" t="n">
        <x:f>IF($A215=0,"",$S215-$H215)</x:f>
        <x:v>15222.185069432988</x:v>
      </x:c>
    </x:row>
    <x:row r="216">
      <x:c r="A216" s="40" t="n">
        <x:v>17</x:v>
      </x:c>
      <x:c r="B216" s="40" t="n">
        <x:v>31</x:v>
      </x:c>
      <x:c r="C216" s="40" t="n">
        <x:v>8</x:v>
      </x:c>
      <x:c r="D216" s="31" t="n">
        <x:f>INDEX(Assumptions!$D$24:$D$35,$C216)</x:f>
        <x:v>495.0866822817727</x:v>
      </x:c>
      <x:c r="E216" s="30" t="n">
        <x:f>$D216*Assumptions!$B$11*IF($A216=0,1,(1+Assumptions!$B$14)^($A216-1))</x:f>
        <x:v>237.87677207600439</x:v>
      </x:c>
      <x:c r="F216" s="30" t="n">
        <x:f>$B216*Assumptions!$B$13</x:f>
        <x:v>21.7</x:v>
      </x:c>
      <x:c r="G216" s="30" t="n">
        <x:f>$E216+$F216</x:f>
        <x:v>259.5767720760044</x:v>
      </x:c>
      <x:c r="H216" s="30" t="n">
        <x:f>IF($A216=0,"",Assumptions!$B$21)</x:f>
        <x:v>5459.5</x:v>
      </x:c>
      <x:c r="I216" s="31" t="n">
        <x:f>IF($A216=0,"",INDEX(Assumptions!$C$24:$C$35,$C216)*IF($A216=0,"",IF($A216=1,1-Assumptions!$B$16,(1-Assumptions!$B$16)*(1-Assumptions!$B$17)^($A216-1))))</x:f>
        <x:v>333.678705080852</x:v>
      </x:c>
      <x:c r="J216" s="32" t="n">
        <x:f>IF($A216=0,"",IF($I216&gt;0,$K216/$I216,0))</x:f>
        <x:v>1</x:v>
      </x:c>
      <x:c r="K216" s="31" t="n">
        <x:f>IF($A216=0,"",LET(direct,MIN($I216,$D216),surplus,MAX(0,$I216-direct),deficit,MAX(0,$D216-direct),charge,MIN(surplus,Assumptions!$B$10,direct,deficit),direct+charge))</x:f>
        <x:v>333.678705080852</x:v>
      </x:c>
      <x:c r="L216" s="31" t="n">
        <x:f>IF($A216=0,"",LET(direct,MIN($I216,$D216),surplus,MAX(0,$I216-direct),deficit,MAX(0,$D216-direct),charge,MIN(surplus,Assumptions!$B$10,direct,deficit),surplus-charge))</x:f>
        <x:v>0</x:v>
      </x:c>
      <x:c r="M216" s="31" t="n">
        <x:f>IF($A216=0,"",LET(direct,MIN($I216,$D216),surplus,MAX(0,$I216-direct),deficit,MAX(0,$D216-direct),charge,MIN(surplus,Assumptions!$B$10,direct,deficit),deficit-charge))</x:f>
        <x:v>161.4079772009207</x:v>
      </x:c>
      <x:c r="N216" s="30" t="n">
        <x:f>IF($A216=0,"",$M216*Assumptions!$B$11*IF($A216=0,1,(1+Assumptions!$B$14)^($A216-1)))</x:f>
        <x:v>77.55249732615539</x:v>
      </x:c>
      <x:c r="O216" s="30" t="n">
        <x:f>IF($A216=0,"",$B216*Assumptions!$B$13)</x:f>
        <x:v>21.7</x:v>
      </x:c>
      <x:c r="P216" s="30" t="n">
        <x:f>IF($A216=0,"",$L216*Assumptions!$B$12)</x:f>
        <x:v>0</x:v>
      </x:c>
      <x:c r="Q216" s="30" t="n">
        <x:f>IF($A216=0,"",$N216+$O216-$P216)</x:f>
        <x:v>99.25249732615539</x:v>
      </x:c>
      <x:c r="R216" s="30" t="n">
        <x:f>IF($A216=0,"",$G216-$Q216)</x:f>
        <x:v>160.324274749849</x:v>
      </x:c>
      <x:c r="S216" s="30" t="n">
        <x:f>IF($A216=0,"",SUM($R$17:R216))</x:f>
        <x:v>20842.009344182836</x:v>
      </x:c>
      <x:c r="T216" s="30" t="n">
        <x:f>IF($A216=0,"",$S216-$H216)</x:f>
        <x:v>15382.509344182836</x:v>
      </x:c>
    </x:row>
    <x:row r="217">
      <x:c r="A217" s="40" t="n">
        <x:v>17</x:v>
      </x:c>
      <x:c r="B217" s="40" t="n">
        <x:v>30</x:v>
      </x:c>
      <x:c r="C217" s="40" t="n">
        <x:v>9</x:v>
      </x:c>
      <x:c r="D217" s="31" t="n">
        <x:f>INDEX(Assumptions!$D$24:$D$35,$C217)</x:f>
        <x:v>484.7338669519189</x:v>
      </x:c>
      <x:c r="E217" s="30" t="n">
        <x:f>$D217*Assumptions!$B$11*IF($A217=0,1,(1+Assumptions!$B$14)^($A217-1))</x:f>
        <x:v>232.9025031637112</x:v>
      </x:c>
      <x:c r="F217" s="30" t="n">
        <x:f>$B217*Assumptions!$B$13</x:f>
        <x:v>21</x:v>
      </x:c>
      <x:c r="G217" s="30" t="n">
        <x:f>$E217+$F217</x:f>
        <x:v>253.9025031637112</x:v>
      </x:c>
      <x:c r="H217" s="30" t="n">
        <x:f>IF($A217=0,"",Assumptions!$B$21)</x:f>
        <x:v>5459.5</x:v>
      </x:c>
      <x:c r="I217" s="31" t="n">
        <x:f>IF($A217=0,"",INDEX(Assumptions!$C$24:$C$35,$C217)*IF($A217=0,"",IF($A217=1,1-Assumptions!$B$16,(1-Assumptions!$B$16)*(1-Assumptions!$B$17)^($A217-1))))</x:f>
        <x:v>245.69253329762168</x:v>
      </x:c>
      <x:c r="J217" s="32" t="n">
        <x:f>IF($A217=0,"",IF($I217&gt;0,$K217/$I217,0))</x:f>
        <x:v>1</x:v>
      </x:c>
      <x:c r="K217" s="31" t="n">
        <x:f>IF($A217=0,"",LET(direct,MIN($I217,$D217),surplus,MAX(0,$I217-direct),deficit,MAX(0,$D217-direct),charge,MIN(surplus,Assumptions!$B$10,direct,deficit),direct+charge))</x:f>
        <x:v>245.69253329762168</x:v>
      </x:c>
      <x:c r="L217" s="31" t="n">
        <x:f>IF($A217=0,"",LET(direct,MIN($I217,$D217),surplus,MAX(0,$I217-direct),deficit,MAX(0,$D217-direct),charge,MIN(surplus,Assumptions!$B$10,direct,deficit),surplus-charge))</x:f>
        <x:v>0</x:v>
      </x:c>
      <x:c r="M217" s="31" t="n">
        <x:f>IF($A217=0,"",LET(direct,MIN($I217,$D217),surplus,MAX(0,$I217-direct),deficit,MAX(0,$D217-direct),charge,MIN(surplus,Assumptions!$B$10,direct,deficit),deficit-charge))</x:f>
        <x:v>239.04133365429723</x:v>
      </x:c>
      <x:c r="N217" s="30" t="n">
        <x:f>IF($A217=0,"",$M217*Assumptions!$B$11*IF($A217=0,1,(1+Assumptions!$B$14)^($A217-1)))</x:f>
        <x:v>114.85338401824517</x:v>
      </x:c>
      <x:c r="O217" s="30" t="n">
        <x:f>IF($A217=0,"",$B217*Assumptions!$B$13)</x:f>
        <x:v>21</x:v>
      </x:c>
      <x:c r="P217" s="30" t="n">
        <x:f>IF($A217=0,"",$L217*Assumptions!$B$12)</x:f>
        <x:v>0</x:v>
      </x:c>
      <x:c r="Q217" s="30" t="n">
        <x:f>IF($A217=0,"",$N217+$O217-$P217)</x:f>
        <x:v>135.85338401824515</x:v>
      </x:c>
      <x:c r="R217" s="30" t="n">
        <x:f>IF($A217=0,"",$G217-$Q217)</x:f>
        <x:v>118.04911914546605</x:v>
      </x:c>
      <x:c r="S217" s="30" t="n">
        <x:f>IF($A217=0,"",SUM($R$17:R217))</x:f>
        <x:v>20960.058463328303</x:v>
      </x:c>
      <x:c r="T217" s="30" t="n">
        <x:f>IF($A217=0,"",$S217-$H217)</x:f>
        <x:v>15500.558463328303</x:v>
      </x:c>
    </x:row>
    <x:row r="218">
      <x:c r="A218" s="40" t="n">
        <x:v>17</x:v>
      </x:c>
      <x:c r="B218" s="40" t="n">
        <x:v>31</x:v>
      </x:c>
      <x:c r="C218" s="40" t="n">
        <x:v>10</x:v>
      </x:c>
      <x:c r="D218" s="31" t="n">
        <x:f>INDEX(Assumptions!$D$24:$D$35,$C218)</x:f>
        <x:v>965.136511636476</x:v>
      </x:c>
      <x:c r="E218" s="30" t="n">
        <x:f>$D218*Assumptions!$B$11*IF($A218=0,1,(1+Assumptions!$B$14)^($A218-1))</x:f>
        <x:v>463.72396232245086</x:v>
      </x:c>
      <x:c r="F218" s="30" t="n">
        <x:f>$B218*Assumptions!$B$13</x:f>
        <x:v>21.7</x:v>
      </x:c>
      <x:c r="G218" s="30" t="n">
        <x:f>$E218+$F218</x:f>
        <x:v>485.42396232245085</x:v>
      </x:c>
      <x:c r="H218" s="30" t="n">
        <x:f>IF($A218=0,"",Assumptions!$B$21)</x:f>
        <x:v>5459.5</x:v>
      </x:c>
      <x:c r="I218" s="31" t="n">
        <x:f>IF($A218=0,"",INDEX(Assumptions!$C$24:$C$35,$C218)*IF($A218=0,"",IF($A218=1,1-Assumptions!$B$16,(1-Assumptions!$B$16)*(1-Assumptions!$B$17)^($A218-1))))</x:f>
        <x:v>172.02409452414318</x:v>
      </x:c>
      <x:c r="J218" s="32" t="n">
        <x:f>IF($A218=0,"",IF($I218&gt;0,$K218/$I218,0))</x:f>
        <x:v>1</x:v>
      </x:c>
      <x:c r="K218" s="31" t="n">
        <x:f>IF($A218=0,"",LET(direct,MIN($I218,$D218),surplus,MAX(0,$I218-direct),deficit,MAX(0,$D218-direct),charge,MIN(surplus,Assumptions!$B$10,direct,deficit),direct+charge))</x:f>
        <x:v>172.02409452414318</x:v>
      </x:c>
      <x:c r="L218" s="31" t="n">
        <x:f>IF($A218=0,"",LET(direct,MIN($I218,$D218),surplus,MAX(0,$I218-direct),deficit,MAX(0,$D218-direct),charge,MIN(surplus,Assumptions!$B$10,direct,deficit),surplus-charge))</x:f>
        <x:v>0</x:v>
      </x:c>
      <x:c r="M218" s="31" t="n">
        <x:f>IF($A218=0,"",LET(direct,MIN($I218,$D218),surplus,MAX(0,$I218-direct),deficit,MAX(0,$D218-direct),charge,MIN(surplus,Assumptions!$B$10,direct,deficit),deficit-charge))</x:f>
        <x:v>793.1124171123329</x:v>
      </x:c>
      <x:c r="N218" s="30" t="n">
        <x:f>IF($A218=0,"",$M218*Assumptions!$B$11*IF($A218=0,1,(1+Assumptions!$B$14)^($A218-1)))</x:f>
        <x:v>381.0706860595858</x:v>
      </x:c>
      <x:c r="O218" s="30" t="n">
        <x:f>IF($A218=0,"",$B218*Assumptions!$B$13)</x:f>
        <x:v>21.7</x:v>
      </x:c>
      <x:c r="P218" s="30" t="n">
        <x:f>IF($A218=0,"",$L218*Assumptions!$B$12)</x:f>
        <x:v>0</x:v>
      </x:c>
      <x:c r="Q218" s="30" t="n">
        <x:f>IF($A218=0,"",$N218+$O218-$P218)</x:f>
        <x:v>402.7706860595858</x:v>
      </x:c>
      <x:c r="R218" s="30" t="n">
        <x:f>IF($A218=0,"",$G218-$Q218)</x:f>
        <x:v>82.65327626286506</x:v>
      </x:c>
      <x:c r="S218" s="30" t="n">
        <x:f>IF($A218=0,"",SUM($R$17:R218))</x:f>
        <x:v>21042.71173959117</x:v>
      </x:c>
      <x:c r="T218" s="30" t="n">
        <x:f>IF($A218=0,"",$S218-$H218)</x:f>
        <x:v>15583.21173959117</x:v>
      </x:c>
    </x:row>
    <x:row r="219">
      <x:c r="A219" s="40" t="n">
        <x:v>17</x:v>
      </x:c>
      <x:c r="B219" s="40" t="n">
        <x:v>30</x:v>
      </x:c>
      <x:c r="C219" s="40" t="n">
        <x:v>11</x:v>
      </x:c>
      <x:c r="D219" s="31" t="n">
        <x:f>INDEX(Assumptions!$D$24:$D$35,$C219)</x:f>
        <x:v>948.3553735444794</x:v>
      </x:c>
      <x:c r="E219" s="30" t="n">
        <x:f>$D219*Assumptions!$B$11*IF($A219=0,1,(1+Assumptions!$B$14)^($A219-1))</x:f>
        <x:v>455.6610450517053</x:v>
      </x:c>
      <x:c r="F219" s="30" t="n">
        <x:f>$B219*Assumptions!$B$13</x:f>
        <x:v>21</x:v>
      </x:c>
      <x:c r="G219" s="30" t="n">
        <x:f>$E219+$F219</x:f>
        <x:v>476.6610450517053</x:v>
      </x:c>
      <x:c r="H219" s="30" t="n">
        <x:f>IF($A219=0,"",Assumptions!$B$21)</x:f>
        <x:v>5459.5</x:v>
      </x:c>
      <x:c r="I219" s="31" t="n">
        <x:f>IF($A219=0,"",INDEX(Assumptions!$C$24:$C$35,$C219)*IF($A219=0,"",IF($A219=1,1-Assumptions!$B$16,(1-Assumptions!$B$16)*(1-Assumptions!$B$17)^($A219-1))))</x:f>
        <x:v>102.13784523002737</x:v>
      </x:c>
      <x:c r="J219" s="32" t="n">
        <x:f>IF($A219=0,"",IF($I219&gt;0,$K219/$I219,0))</x:f>
        <x:v>1</x:v>
      </x:c>
      <x:c r="K219" s="31" t="n">
        <x:f>IF($A219=0,"",LET(direct,MIN($I219,$D219),surplus,MAX(0,$I219-direct),deficit,MAX(0,$D219-direct),charge,MIN(surplus,Assumptions!$B$10,direct,deficit),direct+charge))</x:f>
        <x:v>102.13784523002737</x:v>
      </x:c>
      <x:c r="L219" s="31" t="n">
        <x:f>IF($A219=0,"",LET(direct,MIN($I219,$D219),surplus,MAX(0,$I219-direct),deficit,MAX(0,$D219-direct),charge,MIN(surplus,Assumptions!$B$10,direct,deficit),surplus-charge))</x:f>
        <x:v>0</x:v>
      </x:c>
      <x:c r="M219" s="31" t="n">
        <x:f>IF($A219=0,"",LET(direct,MIN($I219,$D219),surplus,MAX(0,$I219-direct),deficit,MAX(0,$D219-direct),charge,MIN(surplus,Assumptions!$B$10,direct,deficit),deficit-charge))</x:f>
        <x:v>846.2175283144521</x:v>
      </x:c>
      <x:c r="N219" s="30" t="n">
        <x:f>IF($A219=0,"",$M219*Assumptions!$B$11*IF($A219=0,1,(1+Assumptions!$B$14)^($A219-1)))</x:f>
        <x:v>406.58636419351666</x:v>
      </x:c>
      <x:c r="O219" s="30" t="n">
        <x:f>IF($A219=0,"",$B219*Assumptions!$B$13)</x:f>
        <x:v>21</x:v>
      </x:c>
      <x:c r="P219" s="30" t="n">
        <x:f>IF($A219=0,"",$L219*Assumptions!$B$12)</x:f>
        <x:v>0</x:v>
      </x:c>
      <x:c r="Q219" s="30" t="n">
        <x:f>IF($A219=0,"",$N219+$O219-$P219)</x:f>
        <x:v>427.58636419351666</x:v>
      </x:c>
      <x:c r="R219" s="30" t="n">
        <x:f>IF($A219=0,"",$G219-$Q219)</x:f>
        <x:v>49.07468085818863</x:v>
      </x:c>
      <x:c r="S219" s="30" t="n">
        <x:f>IF($A219=0,"",SUM($R$17:R219))</x:f>
        <x:v>21091.78642044936</x:v>
      </x:c>
      <x:c r="T219" s="30" t="n">
        <x:f>IF($A219=0,"",$S219-$H219)</x:f>
        <x:v>15632.28642044936</x:v>
      </x:c>
    </x:row>
    <x:row r="220">
      <x:c r="A220" s="40" t="n">
        <x:v>17</x:v>
      </x:c>
      <x:c r="B220" s="40" t="n">
        <x:v>31</x:v>
      </x:c>
      <x:c r="C220" s="40" t="n">
        <x:v>12</x:v>
      </x:c>
      <x:c r="D220" s="31" t="n">
        <x:f>INDEX(Assumptions!$D$24:$D$35,$C220)</x:f>
        <x:v>928.0413642752205</x:v>
      </x:c>
      <x:c r="E220" s="30" t="n">
        <x:f>$D220*Assumptions!$B$11*IF($A220=0,1,(1+Assumptions!$B$14)^($A220-1))</x:f>
        <x:v>445.9006715134344</x:v>
      </x:c>
      <x:c r="F220" s="30" t="n">
        <x:f>$B220*Assumptions!$B$13</x:f>
        <x:v>21.7</x:v>
      </x:c>
      <x:c r="G220" s="30" t="n">
        <x:f>$E220+$F220</x:f>
        <x:v>467.6006715134344</x:v>
      </x:c>
      <x:c r="H220" s="30" t="n">
        <x:f>IF($A220=0,"",Assumptions!$B$21)</x:f>
        <x:v>5459.5</x:v>
      </x:c>
      <x:c r="I220" s="31" t="n">
        <x:f>IF($A220=0,"",INDEX(Assumptions!$C$24:$C$35,$C220)*IF($A220=0,"",IF($A220=1,1-Assumptions!$B$16,(1-Assumptions!$B$16)*(1-Assumptions!$B$17)^($A220-1))))</x:f>
        <x:v>75.30818986093553</x:v>
      </x:c>
      <x:c r="J220" s="32" t="n">
        <x:f>IF($A220=0,"",IF($I220&gt;0,$K220/$I220,0))</x:f>
        <x:v>1</x:v>
      </x:c>
      <x:c r="K220" s="31" t="n">
        <x:f>IF($A220=0,"",LET(direct,MIN($I220,$D220),surplus,MAX(0,$I220-direct),deficit,MAX(0,$D220-direct),charge,MIN(surplus,Assumptions!$B$10,direct,deficit),direct+charge))</x:f>
        <x:v>75.30818986093553</x:v>
      </x:c>
      <x:c r="L220" s="31" t="n">
        <x:f>IF($A220=0,"",LET(direct,MIN($I220,$D220),surplus,MAX(0,$I220-direct),deficit,MAX(0,$D220-direct),charge,MIN(surplus,Assumptions!$B$10,direct,deficit),surplus-charge))</x:f>
        <x:v>0</x:v>
      </x:c>
      <x:c r="M220" s="31" t="n">
        <x:f>IF($A220=0,"",LET(direct,MIN($I220,$D220),surplus,MAX(0,$I220-direct),deficit,MAX(0,$D220-direct),charge,MIN(surplus,Assumptions!$B$10,direct,deficit),deficit-charge))</x:f>
        <x:v>852.733174414285</x:v>
      </x:c>
      <x:c r="N220" s="30" t="n">
        <x:f>IF($A220=0,"",$M220*Assumptions!$B$11*IF($A220=0,1,(1+Assumptions!$B$14)^($A220-1)))</x:f>
        <x:v>409.7169692323647</x:v>
      </x:c>
      <x:c r="O220" s="30" t="n">
        <x:f>IF($A220=0,"",$B220*Assumptions!$B$13)</x:f>
        <x:v>21.7</x:v>
      </x:c>
      <x:c r="P220" s="30" t="n">
        <x:f>IF($A220=0,"",$L220*Assumptions!$B$12)</x:f>
        <x:v>0</x:v>
      </x:c>
      <x:c r="Q220" s="30" t="n">
        <x:f>IF($A220=0,"",$N220+$O220-$P220)</x:f>
        <x:v>431.4169692323647</x:v>
      </x:c>
      <x:c r="R220" s="30" t="n">
        <x:f>IF($A220=0,"",$G220-$Q220)</x:f>
        <x:v>36.18370228106971</x:v>
      </x:c>
      <x:c r="S220" s="30" t="n">
        <x:f>IF($A220=0,"",SUM($R$17:R220))</x:f>
        <x:v>21127.97012273043</x:v>
      </x:c>
      <x:c r="T220" s="30" t="n">
        <x:f>IF($A220=0,"",$S220-$H220)</x:f>
        <x:v>15668.470122730429</x:v>
      </x:c>
    </x:row>
    <x:row r="221">
      <x:c r="A221" s="40" t="n">
        <x:v>18</x:v>
      </x:c>
      <x:c r="B221" s="40" t="n">
        <x:v>31</x:v>
      </x:c>
      <x:c r="C221" s="40" t="n">
        <x:v>1</x:v>
      </x:c>
      <x:c r="D221" s="31" t="n">
        <x:f>INDEX(Assumptions!$D$24:$D$35,$C221)</x:f>
        <x:v>921.8588397150115</x:v>
      </x:c>
      <x:c r="E221" s="30" t="n">
        <x:f>$D221*Assumptions!$B$11*IF($A221=0,1,(1+Assumptions!$B$14)^($A221-1))</x:f>
        <x:v>451.7887255061704</x:v>
      </x:c>
      <x:c r="F221" s="30" t="n">
        <x:f>$B221*Assumptions!$B$13</x:f>
        <x:v>21.7</x:v>
      </x:c>
      <x:c r="G221" s="30" t="n">
        <x:f>$E221+$F221</x:f>
        <x:v>473.4887255061704</x:v>
      </x:c>
      <x:c r="H221" s="30" t="n">
        <x:f>IF($A221=0,"",Assumptions!$B$21)</x:f>
        <x:v>5459.5</x:v>
      </x:c>
      <x:c r="I221" s="31" t="n">
        <x:f>IF($A221=0,"",INDEX(Assumptions!$C$24:$C$35,$C221)*IF($A221=0,"",IF($A221=1,1-Assumptions!$B$16,(1-Assumptions!$B$16)*(1-Assumptions!$B$17)^($A221-1))))</x:f>
        <x:v>91.30280534664179</x:v>
      </x:c>
      <x:c r="J221" s="32" t="n">
        <x:f>IF($A221=0,"",IF($I221&gt;0,$K221/$I221,0))</x:f>
        <x:v>1</x:v>
      </x:c>
      <x:c r="K221" s="31" t="n">
        <x:f>IF($A221=0,"",LET(direct,MIN($I221,$D221),surplus,MAX(0,$I221-direct),deficit,MAX(0,$D221-direct),charge,MIN(surplus,Assumptions!$B$10,direct,deficit),direct+charge))</x:f>
        <x:v>91.30280534664179</x:v>
      </x:c>
      <x:c r="L221" s="31" t="n">
        <x:f>IF($A221=0,"",LET(direct,MIN($I221,$D221),surplus,MAX(0,$I221-direct),deficit,MAX(0,$D221-direct),charge,MIN(surplus,Assumptions!$B$10,direct,deficit),surplus-charge))</x:f>
        <x:v>0</x:v>
      </x:c>
      <x:c r="M221" s="31" t="n">
        <x:f>IF($A221=0,"",LET(direct,MIN($I221,$D221),surplus,MAX(0,$I221-direct),deficit,MAX(0,$D221-direct),charge,MIN(surplus,Assumptions!$B$10,direct,deficit),deficit-charge))</x:f>
        <x:v>830.5560343683698</x:v>
      </x:c>
      <x:c r="N221" s="30" t="n">
        <x:f>IF($A221=0,"",$M221*Assumptions!$B$11*IF($A221=0,1,(1+Assumptions!$B$14)^($A221-1)))</x:f>
        <x:v>407.0426360989794</x:v>
      </x:c>
      <x:c r="O221" s="30" t="n">
        <x:f>IF($A221=0,"",$B221*Assumptions!$B$13)</x:f>
        <x:v>21.7</x:v>
      </x:c>
      <x:c r="P221" s="30" t="n">
        <x:f>IF($A221=0,"",$L221*Assumptions!$B$12)</x:f>
        <x:v>0</x:v>
      </x:c>
      <x:c r="Q221" s="30" t="n">
        <x:f>IF($A221=0,"",$N221+$O221-$P221)</x:f>
        <x:v>428.7426360989794</x:v>
      </x:c>
      <x:c r="R221" s="30" t="n">
        <x:f>IF($A221=0,"",$G221-$Q221)</x:f>
        <x:v>44.74608940719099</x:v>
      </x:c>
      <x:c r="S221" s="30" t="n">
        <x:f>IF($A221=0,"",SUM($R$17:R221))</x:f>
        <x:v>21172.71621213762</x:v>
      </x:c>
      <x:c r="T221" s="30" t="n">
        <x:f>IF($A221=0,"",$S221-$H221)</x:f>
        <x:v>15713.21621213762</x:v>
      </x:c>
    </x:row>
    <x:row r="222">
      <x:c r="A222" s="40" t="n">
        <x:v>18</x:v>
      </x:c>
      <x:c r="B222" s="40" t="n">
        <x:v>28</x:v>
      </x:c>
      <x:c r="C222" s="40" t="n">
        <x:v>2</x:v>
      </x:c>
      <x:c r="D222" s="31" t="n">
        <x:f>INDEX(Assumptions!$D$24:$D$35,$C222)</x:f>
        <x:v>923.6252753036425</x:v>
      </x:c>
      <x:c r="E222" s="30" t="n">
        <x:f>$D222*Assumptions!$B$11*IF($A222=0,1,(1+Assumptions!$B$14)^($A222-1))</x:f>
        <x:v>452.65442820260824</x:v>
      </x:c>
      <x:c r="F222" s="30" t="n">
        <x:f>$B222*Assumptions!$B$13</x:f>
        <x:v>19.599999999999998</x:v>
      </x:c>
      <x:c r="G222" s="30" t="n">
        <x:f>$E222+$F222</x:f>
        <x:v>472.25442820260827</x:v>
      </x:c>
      <x:c r="H222" s="30" t="n">
        <x:f>IF($A222=0,"",Assumptions!$B$21)</x:f>
        <x:v>5459.5</x:v>
      </x:c>
      <x:c r="I222" s="31" t="n">
        <x:f>IF($A222=0,"",INDEX(Assumptions!$C$24:$C$35,$C222)*IF($A222=0,"",IF($A222=1,1-Assumptions!$B$16,(1-Assumptions!$B$16)*(1-Assumptions!$B$17)^($A222-1))))</x:f>
        <x:v>144.34201684965117</x:v>
      </x:c>
      <x:c r="J222" s="32" t="n">
        <x:f>IF($A222=0,"",IF($I222&gt;0,$K222/$I222,0))</x:f>
        <x:v>1</x:v>
      </x:c>
      <x:c r="K222" s="31" t="n">
        <x:f>IF($A222=0,"",LET(direct,MIN($I222,$D222),surplus,MAX(0,$I222-direct),deficit,MAX(0,$D222-direct),charge,MIN(surplus,Assumptions!$B$10,direct,deficit),direct+charge))</x:f>
        <x:v>144.34201684965117</x:v>
      </x:c>
      <x:c r="L222" s="31" t="n">
        <x:f>IF($A222=0,"",LET(direct,MIN($I222,$D222),surplus,MAX(0,$I222-direct),deficit,MAX(0,$D222-direct),charge,MIN(surplus,Assumptions!$B$10,direct,deficit),surplus-charge))</x:f>
        <x:v>0</x:v>
      </x:c>
      <x:c r="M222" s="31" t="n">
        <x:f>IF($A222=0,"",LET(direct,MIN($I222,$D222),surplus,MAX(0,$I222-direct),deficit,MAX(0,$D222-direct),charge,MIN(surplus,Assumptions!$B$10,direct,deficit),deficit-charge))</x:f>
        <x:v>779.2832584539914</x:v>
      </x:c>
      <x:c r="N222" s="30" t="n">
        <x:f>IF($A222=0,"",$M222*Assumptions!$B$11*IF($A222=0,1,(1+Assumptions!$B$14)^($A222-1)))</x:f>
        <x:v>381.91464351967994</x:v>
      </x:c>
      <x:c r="O222" s="30" t="n">
        <x:f>IF($A222=0,"",$B222*Assumptions!$B$13)</x:f>
        <x:v>19.599999999999998</x:v>
      </x:c>
      <x:c r="P222" s="30" t="n">
        <x:f>IF($A222=0,"",$L222*Assumptions!$B$12)</x:f>
        <x:v>0</x:v>
      </x:c>
      <x:c r="Q222" s="30" t="n">
        <x:f>IF($A222=0,"",$N222+$O222-$P222)</x:f>
        <x:v>401.51464351967996</x:v>
      </x:c>
      <x:c r="R222" s="30" t="n">
        <x:f>IF($A222=0,"",$G222-$Q222)</x:f>
        <x:v>70.7397846829283</x:v>
      </x:c>
      <x:c r="S222" s="30" t="n">
        <x:f>IF($A222=0,"",SUM($R$17:R222))</x:f>
        <x:v>21243.45599682055</x:v>
      </x:c>
      <x:c r="T222" s="30" t="n">
        <x:f>IF($A222=0,"",$S222-$H222)</x:f>
        <x:v>15783.95599682055</x:v>
      </x:c>
    </x:row>
    <x:row r="223">
      <x:c r="A223" s="40" t="n">
        <x:v>18</x:v>
      </x:c>
      <x:c r="B223" s="40" t="n">
        <x:v>31</x:v>
      </x:c>
      <x:c r="C223" s="40" t="n">
        <x:v>3</x:v>
      </x:c>
      <x:c r="D223" s="31" t="n">
        <x:f>INDEX(Assumptions!$D$24:$D$35,$C223)</x:f>
        <x:v>907.7273550059616</x:v>
      </x:c>
      <x:c r="E223" s="30" t="n">
        <x:f>$D223*Assumptions!$B$11*IF($A223=0,1,(1+Assumptions!$B$14)^($A223-1))</x:f>
        <x:v>444.8631039346668</x:v>
      </x:c>
      <x:c r="F223" s="30" t="n">
        <x:f>$B223*Assumptions!$B$13</x:f>
        <x:v>21.7</x:v>
      </x:c>
      <x:c r="G223" s="30" t="n">
        <x:f>$E223+$F223</x:f>
        <x:v>466.5631039346668</x:v>
      </x:c>
      <x:c r="H223" s="30" t="n">
        <x:f>IF($A223=0,"",Assumptions!$B$21)</x:f>
        <x:v>5459.5</x:v>
      </x:c>
      <x:c r="I223" s="31" t="n">
        <x:f>IF($A223=0,"",INDEX(Assumptions!$C$24:$C$35,$C223)*IF($A223=0,"",IF($A223=1,1-Assumptions!$B$16,(1-Assumptions!$B$16)*(1-Assumptions!$B$17)^($A223-1))))</x:f>
        <x:v>254.79432529777674</x:v>
      </x:c>
      <x:c r="J223" s="32" t="n">
        <x:f>IF($A223=0,"",IF($I223&gt;0,$K223/$I223,0))</x:f>
        <x:v>1</x:v>
      </x:c>
      <x:c r="K223" s="31" t="n">
        <x:f>IF($A223=0,"",LET(direct,MIN($I223,$D223),surplus,MAX(0,$I223-direct),deficit,MAX(0,$D223-direct),charge,MIN(surplus,Assumptions!$B$10,direct,deficit),direct+charge))</x:f>
        <x:v>254.79432529777674</x:v>
      </x:c>
      <x:c r="L223" s="31" t="n">
        <x:f>IF($A223=0,"",LET(direct,MIN($I223,$D223),surplus,MAX(0,$I223-direct),deficit,MAX(0,$D223-direct),charge,MIN(surplus,Assumptions!$B$10,direct,deficit),surplus-charge))</x:f>
        <x:v>0</x:v>
      </x:c>
      <x:c r="M223" s="31" t="n">
        <x:f>IF($A223=0,"",LET(direct,MIN($I223,$D223),surplus,MAX(0,$I223-direct),deficit,MAX(0,$D223-direct),charge,MIN(surplus,Assumptions!$B$10,direct,deficit),deficit-charge))</x:f>
        <x:v>652.9330297081849</x:v>
      </x:c>
      <x:c r="N223" s="30" t="n">
        <x:f>IF($A223=0,"",$M223*Assumptions!$B$11*IF($A223=0,1,(1+Assumptions!$B$14)^($A223-1)))</x:f>
        <x:v>319.99235525466946</x:v>
      </x:c>
      <x:c r="O223" s="30" t="n">
        <x:f>IF($A223=0,"",$B223*Assumptions!$B$13)</x:f>
        <x:v>21.7</x:v>
      </x:c>
      <x:c r="P223" s="30" t="n">
        <x:f>IF($A223=0,"",$L223*Assumptions!$B$12)</x:f>
        <x:v>0</x:v>
      </x:c>
      <x:c r="Q223" s="30" t="n">
        <x:f>IF($A223=0,"",$N223+$O223-$P223)</x:f>
        <x:v>341.69235525466945</x:v>
      </x:c>
      <x:c r="R223" s="30" t="n">
        <x:f>IF($A223=0,"",$G223-$Q223)</x:f>
        <x:v>124.87074867999735</x:v>
      </x:c>
      <x:c r="S223" s="30" t="n">
        <x:f>IF($A223=0,"",SUM($R$17:R223))</x:f>
        <x:v>21368.326745500548</x:v>
      </x:c>
      <x:c r="T223" s="30" t="n">
        <x:f>IF($A223=0,"",$S223-$H223)</x:f>
        <x:v>15908.826745500548</x:v>
      </x:c>
    </x:row>
    <x:row r="224">
      <x:c r="A224" s="40" t="n">
        <x:v>18</x:v>
      </x:c>
      <x:c r="B224" s="40" t="n">
        <x:v>30</x:v>
      </x:c>
      <x:c r="C224" s="40" t="n">
        <x:v>4</x:v>
      </x:c>
      <x:c r="D224" s="31" t="n">
        <x:f>INDEX(Assumptions!$D$24:$D$35,$C224)</x:f>
        <x:v>951.0050269274262</x:v>
      </x:c>
      <x:c r="E224" s="30" t="n">
        <x:f>$D224*Assumptions!$B$11*IF($A224=0,1,(1+Assumptions!$B$14)^($A224-1))</x:f>
        <x:v>466.07281999739627</x:v>
      </x:c>
      <x:c r="F224" s="30" t="n">
        <x:f>$B224*Assumptions!$B$13</x:f>
        <x:v>21</x:v>
      </x:c>
      <x:c r="G224" s="30" t="n">
        <x:f>$E224+$F224</x:f>
        <x:v>487.07281999739627</x:v>
      </x:c>
      <x:c r="H224" s="30" t="n">
        <x:f>IF($A224=0,"",Assumptions!$B$21)</x:f>
        <x:v>5459.5</x:v>
      </x:c>
      <x:c r="I224" s="31" t="n">
        <x:f>IF($A224=0,"",INDEX(Assumptions!$C$24:$C$35,$C224)*IF($A224=0,"",IF($A224=1,1-Assumptions!$B$16,(1-Assumptions!$B$16)*(1-Assumptions!$B$17)^($A224-1))))</x:f>
        <x:v>339.30916059273187</x:v>
      </x:c>
      <x:c r="J224" s="32" t="n">
        <x:f>IF($A224=0,"",IF($I224&gt;0,$K224/$I224,0))</x:f>
        <x:v>1</x:v>
      </x:c>
      <x:c r="K224" s="31" t="n">
        <x:f>IF($A224=0,"",LET(direct,MIN($I224,$D224),surplus,MAX(0,$I224-direct),deficit,MAX(0,$D224-direct),charge,MIN(surplus,Assumptions!$B$10,direct,deficit),direct+charge))</x:f>
        <x:v>339.30916059273187</x:v>
      </x:c>
      <x:c r="L224" s="31" t="n">
        <x:f>IF($A224=0,"",LET(direct,MIN($I224,$D224),surplus,MAX(0,$I224-direct),deficit,MAX(0,$D224-direct),charge,MIN(surplus,Assumptions!$B$10,direct,deficit),surplus-charge))</x:f>
        <x:v>0</x:v>
      </x:c>
      <x:c r="M224" s="31" t="n">
        <x:f>IF($A224=0,"",LET(direct,MIN($I224,$D224),surplus,MAX(0,$I224-direct),deficit,MAX(0,$D224-direct),charge,MIN(surplus,Assumptions!$B$10,direct,deficit),deficit-charge))</x:f>
        <x:v>611.6958663346943</x:v>
      </x:c>
      <x:c r="N224" s="30" t="n">
        <x:f>IF($A224=0,"",$M224*Assumptions!$B$11*IF($A224=0,1,(1+Assumptions!$B$14)^($A224-1)))</x:f>
        <x:v>299.78266079672125</x:v>
      </x:c>
      <x:c r="O224" s="30" t="n">
        <x:f>IF($A224=0,"",$B224*Assumptions!$B$13)</x:f>
        <x:v>21</x:v>
      </x:c>
      <x:c r="P224" s="30" t="n">
        <x:f>IF($A224=0,"",$L224*Assumptions!$B$12)</x:f>
        <x:v>0</x:v>
      </x:c>
      <x:c r="Q224" s="30" t="n">
        <x:f>IF($A224=0,"",$N224+$O224-$P224)</x:f>
        <x:v>320.78266079672125</x:v>
      </x:c>
      <x:c r="R224" s="30" t="n">
        <x:f>IF($A224=0,"",$G224-$Q224)</x:f>
        <x:v>166.29015920067502</x:v>
      </x:c>
      <x:c r="S224" s="30" t="n">
        <x:f>IF($A224=0,"",SUM($R$17:R224))</x:f>
        <x:v>21534.616904701223</x:v>
      </x:c>
      <x:c r="T224" s="30" t="n">
        <x:f>IF($A224=0,"",$S224-$H224)</x:f>
        <x:v>16075.116904701223</x:v>
      </x:c>
    </x:row>
    <x:row r="225">
      <x:c r="A225" s="40" t="n">
        <x:v>18</x:v>
      </x:c>
      <x:c r="B225" s="40" t="n">
        <x:v>31</x:v>
      </x:c>
      <x:c r="C225" s="40" t="n">
        <x:v>5</x:v>
      </x:c>
      <x:c r="D225" s="31" t="n">
        <x:f>INDEX(Assumptions!$D$24:$D$35,$C225)</x:f>
        <x:v>480.47094299256736</x:v>
      </x:c>
      <x:c r="E225" s="30" t="n">
        <x:f>$D225*Assumptions!$B$11*IF($A225=0,1,(1+Assumptions!$B$14)^($A225-1))</x:f>
        <x:v>235.4713602838223</x:v>
      </x:c>
      <x:c r="F225" s="30" t="n">
        <x:f>$B225*Assumptions!$B$13</x:f>
        <x:v>21.7</x:v>
      </x:c>
      <x:c r="G225" s="30" t="n">
        <x:f>$E225+$F225</x:f>
        <x:v>257.1713602838223</x:v>
      </x:c>
      <x:c r="H225" s="30" t="n">
        <x:f>IF($A225=0,"",Assumptions!$B$21)</x:f>
        <x:v>5459.5</x:v>
      </x:c>
      <x:c r="I225" s="31" t="n">
        <x:f>IF($A225=0,"",INDEX(Assumptions!$C$24:$C$35,$C225)*IF($A225=0,"",IF($A225=1,1-Assumptions!$B$16,(1-Assumptions!$B$16)*(1-Assumptions!$B$17)^($A225-1))))</x:f>
        <x:v>375.92048651583406</x:v>
      </x:c>
      <x:c r="J225" s="32" t="n">
        <x:f>IF($A225=0,"",IF($I225&gt;0,$K225/$I225,0))</x:f>
        <x:v>1</x:v>
      </x:c>
      <x:c r="K225" s="31" t="n">
        <x:f>IF($A225=0,"",LET(direct,MIN($I225,$D225),surplus,MAX(0,$I225-direct),deficit,MAX(0,$D225-direct),charge,MIN(surplus,Assumptions!$B$10,direct,deficit),direct+charge))</x:f>
        <x:v>375.92048651583406</x:v>
      </x:c>
      <x:c r="L225" s="31" t="n">
        <x:f>IF($A225=0,"",LET(direct,MIN($I225,$D225),surplus,MAX(0,$I225-direct),deficit,MAX(0,$D225-direct),charge,MIN(surplus,Assumptions!$B$10,direct,deficit),surplus-charge))</x:f>
        <x:v>0</x:v>
      </x:c>
      <x:c r="M225" s="31" t="n">
        <x:f>IF($A225=0,"",LET(direct,MIN($I225,$D225),surplus,MAX(0,$I225-direct),deficit,MAX(0,$D225-direct),charge,MIN(surplus,Assumptions!$B$10,direct,deficit),deficit-charge))</x:f>
        <x:v>104.5504564767333</x:v>
      </x:c>
      <x:c r="N225" s="30" t="n">
        <x:f>IF($A225=0,"",$M225*Assumptions!$B$11*IF($A225=0,1,(1+Assumptions!$B$14)^($A225-1)))</x:f>
        <x:v>51.23855784396891</x:v>
      </x:c>
      <x:c r="O225" s="30" t="n">
        <x:f>IF($A225=0,"",$B225*Assumptions!$B$13)</x:f>
        <x:v>21.7</x:v>
      </x:c>
      <x:c r="P225" s="30" t="n">
        <x:f>IF($A225=0,"",$L225*Assumptions!$B$12)</x:f>
        <x:v>0</x:v>
      </x:c>
      <x:c r="Q225" s="30" t="n">
        <x:f>IF($A225=0,"",$N225+$O225-$P225)</x:f>
        <x:v>72.93855784396891</x:v>
      </x:c>
      <x:c r="R225" s="30" t="n">
        <x:f>IF($A225=0,"",$G225-$Q225)</x:f>
        <x:v>184.2328024398534</x:v>
      </x:c>
      <x:c r="S225" s="30" t="n">
        <x:f>IF($A225=0,"",SUM($R$17:R225))</x:f>
        <x:v>21718.849707141075</x:v>
      </x:c>
      <x:c r="T225" s="30" t="n">
        <x:f>IF($A225=0,"",$S225-$H225)</x:f>
        <x:v>16259.349707141075</x:v>
      </x:c>
    </x:row>
    <x:row r="226">
      <x:c r="A226" s="40" t="n">
        <x:v>18</x:v>
      </x:c>
      <x:c r="B226" s="40" t="n">
        <x:v>30</x:v>
      </x:c>
      <x:c r="C226" s="40" t="n">
        <x:v>6</x:v>
      </x:c>
      <x:c r="D226" s="31" t="n">
        <x:f>INDEX(Assumptions!$D$24:$D$35,$C226)</x:f>
        <x:v>491.73724202799656</x:v>
      </x:c>
      <x:c r="E226" s="30" t="n">
        <x:f>$D226*Assumptions!$B$11*IF($A226=0,1,(1+Assumptions!$B$14)^($A226-1))</x:f>
        <x:v>240.99279877646774</x:v>
      </x:c>
      <x:c r="F226" s="30" t="n">
        <x:f>$B226*Assumptions!$B$13</x:f>
        <x:v>21</x:v>
      </x:c>
      <x:c r="G226" s="30" t="n">
        <x:f>$E226+$F226</x:f>
        <x:v>261.99279877646774</x:v>
      </x:c>
      <x:c r="H226" s="30" t="n">
        <x:f>IF($A226=0,"",Assumptions!$B$21)</x:f>
        <x:v>5459.5</x:v>
      </x:c>
      <x:c r="I226" s="31" t="n">
        <x:f>IF($A226=0,"",INDEX(Assumptions!$C$24:$C$35,$C226)*IF($A226=0,"",IF($A226=1,1-Assumptions!$B$16,(1-Assumptions!$B$16)*(1-Assumptions!$B$17)^($A226-1))))</x:f>
        <x:v>385.4708522936086</x:v>
      </x:c>
      <x:c r="J226" s="32" t="n">
        <x:f>IF($A226=0,"",IF($I226&gt;0,$K226/$I226,0))</x:f>
        <x:v>1</x:v>
      </x:c>
      <x:c r="K226" s="31" t="n">
        <x:f>IF($A226=0,"",LET(direct,MIN($I226,$D226),surplus,MAX(0,$I226-direct),deficit,MAX(0,$D226-direct),charge,MIN(surplus,Assumptions!$B$10,direct,deficit),direct+charge))</x:f>
        <x:v>385.4708522936086</x:v>
      </x:c>
      <x:c r="L226" s="31" t="n">
        <x:f>IF($A226=0,"",LET(direct,MIN($I226,$D226),surplus,MAX(0,$I226-direct),deficit,MAX(0,$D226-direct),charge,MIN(surplus,Assumptions!$B$10,direct,deficit),surplus-charge))</x:f>
        <x:v>0</x:v>
      </x:c>
      <x:c r="M226" s="31" t="n">
        <x:f>IF($A226=0,"",LET(direct,MIN($I226,$D226),surplus,MAX(0,$I226-direct),deficit,MAX(0,$D226-direct),charge,MIN(surplus,Assumptions!$B$10,direct,deficit),deficit-charge))</x:f>
        <x:v>106.26638973438799</x:v>
      </x:c>
      <x:c r="N226" s="30" t="n">
        <x:f>IF($A226=0,"",$M226*Assumptions!$B$11*IF($A226=0,1,(1+Assumptions!$B$14)^($A226-1)))</x:f>
        <x:v>52.079510130947156</x:v>
      </x:c>
      <x:c r="O226" s="30" t="n">
        <x:f>IF($A226=0,"",$B226*Assumptions!$B$13)</x:f>
        <x:v>21</x:v>
      </x:c>
      <x:c r="P226" s="30" t="n">
        <x:f>IF($A226=0,"",$L226*Assumptions!$B$12)</x:f>
        <x:v>0</x:v>
      </x:c>
      <x:c r="Q226" s="30" t="n">
        <x:f>IF($A226=0,"",$N226+$O226-$P226)</x:f>
        <x:v>73.07951013094716</x:v>
      </x:c>
      <x:c r="R226" s="30" t="n">
        <x:f>IF($A226=0,"",$G226-$Q226)</x:f>
        <x:v>188.9132886455206</x:v>
      </x:c>
      <x:c r="S226" s="30" t="n">
        <x:f>IF($A226=0,"",SUM($R$17:R226))</x:f>
        <x:v>21907.762995786594</x:v>
      </x:c>
      <x:c r="T226" s="30" t="n">
        <x:f>IF($A226=0,"",$S226-$H226)</x:f>
        <x:v>16448.262995786594</x:v>
      </x:c>
    </x:row>
    <x:row r="227">
      <x:c r="A227" s="40" t="n">
        <x:v>18</x:v>
      </x:c>
      <x:c r="B227" s="40" t="n">
        <x:v>31</x:v>
      </x:c>
      <x:c r="C227" s="40" t="n">
        <x:v>7</x:v>
      </x:c>
      <x:c r="D227" s="31" t="n">
        <x:f>INDEX(Assumptions!$D$24:$D$35,$C227)</x:f>
        <x:v>504.2215193375261</x:v>
      </x:c>
      <x:c r="E227" s="30" t="n">
        <x:f>$D227*Assumptions!$B$11*IF($A227=0,1,(1+Assumptions!$B$14)^($A227-1))</x:f>
        <x:v>247.11114953858836</x:v>
      </x:c>
      <x:c r="F227" s="30" t="n">
        <x:f>$B227*Assumptions!$B$13</x:f>
        <x:v>21.7</x:v>
      </x:c>
      <x:c r="G227" s="30" t="n">
        <x:f>$E227+$F227</x:f>
        <x:v>268.8111495385884</x:v>
      </x:c>
      <x:c r="H227" s="30" t="n">
        <x:f>IF($A227=0,"",Assumptions!$B$21)</x:f>
        <x:v>5459.5</x:v>
      </x:c>
      <x:c r="I227" s="31" t="n">
        <x:f>IF($A227=0,"",INDEX(Assumptions!$C$24:$C$35,$C227)*IF($A227=0,"",IF($A227=1,1-Assumptions!$B$16,(1-Assumptions!$B$16)*(1-Assumptions!$B$17)^($A227-1))))</x:f>
        <x:v>398.3020252597553</x:v>
      </x:c>
      <x:c r="J227" s="32" t="n">
        <x:f>IF($A227=0,"",IF($I227&gt;0,$K227/$I227,0))</x:f>
        <x:v>1</x:v>
      </x:c>
      <x:c r="K227" s="31" t="n">
        <x:f>IF($A227=0,"",LET(direct,MIN($I227,$D227),surplus,MAX(0,$I227-direct),deficit,MAX(0,$D227-direct),charge,MIN(surplus,Assumptions!$B$10,direct,deficit),direct+charge))</x:f>
        <x:v>398.3020252597553</x:v>
      </x:c>
      <x:c r="L227" s="31" t="n">
        <x:f>IF($A227=0,"",LET(direct,MIN($I227,$D227),surplus,MAX(0,$I227-direct),deficit,MAX(0,$D227-direct),charge,MIN(surplus,Assumptions!$B$10,direct,deficit),surplus-charge))</x:f>
        <x:v>0</x:v>
      </x:c>
      <x:c r="M227" s="31" t="n">
        <x:f>IF($A227=0,"",LET(direct,MIN($I227,$D227),surplus,MAX(0,$I227-direct),deficit,MAX(0,$D227-direct),charge,MIN(surplus,Assumptions!$B$10,direct,deficit),deficit-charge))</x:f>
        <x:v>105.91949407777082</x:v>
      </x:c>
      <x:c r="N227" s="30" t="n">
        <x:f>IF($A227=0,"",$M227*Assumptions!$B$11*IF($A227=0,1,(1+Assumptions!$B$14)^($A227-1)))</x:f>
        <x:v>51.9095019476605</x:v>
      </x:c>
      <x:c r="O227" s="30" t="n">
        <x:f>IF($A227=0,"",$B227*Assumptions!$B$13)</x:f>
        <x:v>21.7</x:v>
      </x:c>
      <x:c r="P227" s="30" t="n">
        <x:f>IF($A227=0,"",$L227*Assumptions!$B$12)</x:f>
        <x:v>0</x:v>
      </x:c>
      <x:c r="Q227" s="30" t="n">
        <x:f>IF($A227=0,"",$N227+$O227-$P227)</x:f>
        <x:v>73.6095019476605</x:v>
      </x:c>
      <x:c r="R227" s="30" t="n">
        <x:f>IF($A227=0,"",$G227-$Q227)</x:f>
        <x:v>195.20164759092788</x:v>
      </x:c>
      <x:c r="S227" s="30" t="n">
        <x:f>IF($A227=0,"",SUM($R$17:R227))</x:f>
        <x:v>22102.964643377523</x:v>
      </x:c>
      <x:c r="T227" s="30" t="n">
        <x:f>IF($A227=0,"",$S227-$H227)</x:f>
        <x:v>16643.464643377523</x:v>
      </x:c>
    </x:row>
    <x:row r="228">
      <x:c r="A228" s="40" t="n">
        <x:v>18</x:v>
      </x:c>
      <x:c r="B228" s="40" t="n">
        <x:v>31</x:v>
      </x:c>
      <x:c r="C228" s="40" t="n">
        <x:v>8</x:v>
      </x:c>
      <x:c r="D228" s="31" t="n">
        <x:f>INDEX(Assumptions!$D$24:$D$35,$C228)</x:f>
        <x:v>495.0866822817727</x:v>
      </x:c>
      <x:c r="E228" s="30" t="n">
        <x:f>$D228*Assumptions!$B$11*IF($A228=0,1,(1+Assumptions!$B$14)^($A228-1))</x:f>
        <x:v>242.6343075175245</x:v>
      </x:c>
      <x:c r="F228" s="30" t="n">
        <x:f>$B228*Assumptions!$B$13</x:f>
        <x:v>21.7</x:v>
      </x:c>
      <x:c r="G228" s="30" t="n">
        <x:f>$E228+$F228</x:f>
        <x:v>264.3343075175245</x:v>
      </x:c>
      <x:c r="H228" s="30" t="n">
        <x:f>IF($A228=0,"",Assumptions!$B$21)</x:f>
        <x:v>5459.5</x:v>
      </x:c>
      <x:c r="I228" s="31" t="n">
        <x:f>IF($A228=0,"",INDEX(Assumptions!$C$24:$C$35,$C228)*IF($A228=0,"",IF($A228=1,1-Assumptions!$B$16,(1-Assumptions!$B$16)*(1-Assumptions!$B$17)^($A228-1))))</x:f>
        <x:v>332.3439902605286</x:v>
      </x:c>
      <x:c r="J228" s="32" t="n">
        <x:f>IF($A228=0,"",IF($I228&gt;0,$K228/$I228,0))</x:f>
        <x:v>1</x:v>
      </x:c>
      <x:c r="K228" s="31" t="n">
        <x:f>IF($A228=0,"",LET(direct,MIN($I228,$D228),surplus,MAX(0,$I228-direct),deficit,MAX(0,$D228-direct),charge,MIN(surplus,Assumptions!$B$10,direct,deficit),direct+charge))</x:f>
        <x:v>332.3439902605286</x:v>
      </x:c>
      <x:c r="L228" s="31" t="n">
        <x:f>IF($A228=0,"",LET(direct,MIN($I228,$D228),surplus,MAX(0,$I228-direct),deficit,MAX(0,$D228-direct),charge,MIN(surplus,Assumptions!$B$10,direct,deficit),surplus-charge))</x:f>
        <x:v>0</x:v>
      </x:c>
      <x:c r="M228" s="31" t="n">
        <x:f>IF($A228=0,"",LET(direct,MIN($I228,$D228),surplus,MAX(0,$I228-direct),deficit,MAX(0,$D228-direct),charge,MIN(surplus,Assumptions!$B$10,direct,deficit),deficit-charge))</x:f>
        <x:v>162.74269202124412</x:v>
      </x:c>
      <x:c r="N228" s="30" t="n">
        <x:f>IF($A228=0,"",$M228*Assumptions!$B$11*IF($A228=0,1,(1+Assumptions!$B$14)^($A228-1)))</x:f>
        <x:v>79.7576703136579</x:v>
      </x:c>
      <x:c r="O228" s="30" t="n">
        <x:f>IF($A228=0,"",$B228*Assumptions!$B$13)</x:f>
        <x:v>21.7</x:v>
      </x:c>
      <x:c r="P228" s="30" t="n">
        <x:f>IF($A228=0,"",$L228*Assumptions!$B$12)</x:f>
        <x:v>0</x:v>
      </x:c>
      <x:c r="Q228" s="30" t="n">
        <x:f>IF($A228=0,"",$N228+$O228-$P228)</x:f>
        <x:v>101.4576703136579</x:v>
      </x:c>
      <x:c r="R228" s="30" t="n">
        <x:f>IF($A228=0,"",$G228-$Q228)</x:f>
        <x:v>162.8766372038666</x:v>
      </x:c>
      <x:c r="S228" s="30" t="n">
        <x:f>IF($A228=0,"",SUM($R$17:R228))</x:f>
        <x:v>22265.84128058139</x:v>
      </x:c>
      <x:c r="T228" s="30" t="n">
        <x:f>IF($A228=0,"",$S228-$H228)</x:f>
        <x:v>16806.34128058139</x:v>
      </x:c>
    </x:row>
    <x:row r="229">
      <x:c r="A229" s="40" t="n">
        <x:v>18</x:v>
      </x:c>
      <x:c r="B229" s="40" t="n">
        <x:v>30</x:v>
      </x:c>
      <x:c r="C229" s="40" t="n">
        <x:v>9</x:v>
      </x:c>
      <x:c r="D229" s="31" t="n">
        <x:f>INDEX(Assumptions!$D$24:$D$35,$C229)</x:f>
        <x:v>484.7338669519189</x:v>
      </x:c>
      <x:c r="E229" s="30" t="n">
        <x:f>$D229*Assumptions!$B$11*IF($A229=0,1,(1+Assumptions!$B$14)^($A229-1))</x:f>
        <x:v>237.56055322698543</x:v>
      </x:c>
      <x:c r="F229" s="30" t="n">
        <x:f>$B229*Assumptions!$B$13</x:f>
        <x:v>21</x:v>
      </x:c>
      <x:c r="G229" s="30" t="n">
        <x:f>$E229+$F229</x:f>
        <x:v>258.56055322698546</x:v>
      </x:c>
      <x:c r="H229" s="30" t="n">
        <x:f>IF($A229=0,"",Assumptions!$B$21)</x:f>
        <x:v>5459.5</x:v>
      </x:c>
      <x:c r="I229" s="31" t="n">
        <x:f>IF($A229=0,"",INDEX(Assumptions!$C$24:$C$35,$C229)*IF($A229=0,"",IF($A229=1,1-Assumptions!$B$16,(1-Assumptions!$B$16)*(1-Assumptions!$B$17)^($A229-1))))</x:f>
        <x:v>244.7097631644312</x:v>
      </x:c>
      <x:c r="J229" s="32" t="n">
        <x:f>IF($A229=0,"",IF($I229&gt;0,$K229/$I229,0))</x:f>
        <x:v>1</x:v>
      </x:c>
      <x:c r="K229" s="31" t="n">
        <x:f>IF($A229=0,"",LET(direct,MIN($I229,$D229),surplus,MAX(0,$I229-direct),deficit,MAX(0,$D229-direct),charge,MIN(surplus,Assumptions!$B$10,direct,deficit),direct+charge))</x:f>
        <x:v>244.7097631644312</x:v>
      </x:c>
      <x:c r="L229" s="31" t="n">
        <x:f>IF($A229=0,"",LET(direct,MIN($I229,$D229),surplus,MAX(0,$I229-direct),deficit,MAX(0,$D229-direct),charge,MIN(surplus,Assumptions!$B$10,direct,deficit),surplus-charge))</x:f>
        <x:v>0</x:v>
      </x:c>
      <x:c r="M229" s="31" t="n">
        <x:f>IF($A229=0,"",LET(direct,MIN($I229,$D229),surplus,MAX(0,$I229-direct),deficit,MAX(0,$D229-direct),charge,MIN(surplus,Assumptions!$B$10,direct,deficit),deficit-charge))</x:f>
        <x:v>240.02410378748772</x:v>
      </x:c>
      <x:c r="N229" s="30" t="n">
        <x:f>IF($A229=0,"",$M229*Assumptions!$B$11*IF($A229=0,1,(1+Assumptions!$B$14)^($A229-1)))</x:f>
        <x:v>117.63209210472357</x:v>
      </x:c>
      <x:c r="O229" s="30" t="n">
        <x:f>IF($A229=0,"",$B229*Assumptions!$B$13)</x:f>
        <x:v>21</x:v>
      </x:c>
      <x:c r="P229" s="30" t="n">
        <x:f>IF($A229=0,"",$L229*Assumptions!$B$12)</x:f>
        <x:v>0</x:v>
      </x:c>
      <x:c r="Q229" s="30" t="n">
        <x:f>IF($A229=0,"",$N229+$O229-$P229)</x:f>
        <x:v>138.63209210472357</x:v>
      </x:c>
      <x:c r="R229" s="30" t="n">
        <x:f>IF($A229=0,"",$G229-$Q229)</x:f>
        <x:v>119.9284611222619</x:v>
      </x:c>
      <x:c r="S229" s="30" t="n">
        <x:f>IF($A229=0,"",SUM($R$17:R229))</x:f>
        <x:v>22385.76974170365</x:v>
      </x:c>
      <x:c r="T229" s="30" t="n">
        <x:f>IF($A229=0,"",$S229-$H229)</x:f>
        <x:v>16926.26974170365</x:v>
      </x:c>
    </x:row>
    <x:row r="230">
      <x:c r="A230" s="40" t="n">
        <x:v>18</x:v>
      </x:c>
      <x:c r="B230" s="40" t="n">
        <x:v>31</x:v>
      </x:c>
      <x:c r="C230" s="40" t="n">
        <x:v>10</x:v>
      </x:c>
      <x:c r="D230" s="31" t="n">
        <x:f>INDEX(Assumptions!$D$24:$D$35,$C230)</x:f>
        <x:v>965.136511636476</x:v>
      </x:c>
      <x:c r="E230" s="30" t="n">
        <x:f>$D230*Assumptions!$B$11*IF($A230=0,1,(1+Assumptions!$B$14)^($A230-1))</x:f>
        <x:v>472.9984415688999</x:v>
      </x:c>
      <x:c r="F230" s="30" t="n">
        <x:f>$B230*Assumptions!$B$13</x:f>
        <x:v>21.7</x:v>
      </x:c>
      <x:c r="G230" s="30" t="n">
        <x:f>$E230+$F230</x:f>
        <x:v>494.6984415688999</x:v>
      </x:c>
      <x:c r="H230" s="30" t="n">
        <x:f>IF($A230=0,"",Assumptions!$B$21)</x:f>
        <x:v>5459.5</x:v>
      </x:c>
      <x:c r="I230" s="31" t="n">
        <x:f>IF($A230=0,"",INDEX(Assumptions!$C$24:$C$35,$C230)*IF($A230=0,"",IF($A230=1,1-Assumptions!$B$16,(1-Assumptions!$B$16)*(1-Assumptions!$B$17)^($A230-1))))</x:f>
        <x:v>171.33599814604662</x:v>
      </x:c>
      <x:c r="J230" s="32" t="n">
        <x:f>IF($A230=0,"",IF($I230&gt;0,$K230/$I230,0))</x:f>
        <x:v>1</x:v>
      </x:c>
      <x:c r="K230" s="31" t="n">
        <x:f>IF($A230=0,"",LET(direct,MIN($I230,$D230),surplus,MAX(0,$I230-direct),deficit,MAX(0,$D230-direct),charge,MIN(surplus,Assumptions!$B$10,direct,deficit),direct+charge))</x:f>
        <x:v>171.33599814604662</x:v>
      </x:c>
      <x:c r="L230" s="31" t="n">
        <x:f>IF($A230=0,"",LET(direct,MIN($I230,$D230),surplus,MAX(0,$I230-direct),deficit,MAX(0,$D230-direct),charge,MIN(surplus,Assumptions!$B$10,direct,deficit),surplus-charge))</x:f>
        <x:v>0</x:v>
      </x:c>
      <x:c r="M230" s="31" t="n">
        <x:f>IF($A230=0,"",LET(direct,MIN($I230,$D230),surplus,MAX(0,$I230-direct),deficit,MAX(0,$D230-direct),charge,MIN(surplus,Assumptions!$B$10,direct,deficit),deficit-charge))</x:f>
        <x:v>793.8005134904295</x:v>
      </x:c>
      <x:c r="N230" s="30" t="n">
        <x:f>IF($A230=0,"",$M230*Assumptions!$B$11*IF($A230=0,1,(1+Assumptions!$B$14)^($A230-1)))</x:f>
        <x:v>389.02932514793</x:v>
      </x:c>
      <x:c r="O230" s="30" t="n">
        <x:f>IF($A230=0,"",$B230*Assumptions!$B$13)</x:f>
        <x:v>21.7</x:v>
      </x:c>
      <x:c r="P230" s="30" t="n">
        <x:f>IF($A230=0,"",$L230*Assumptions!$B$12)</x:f>
        <x:v>0</x:v>
      </x:c>
      <x:c r="Q230" s="30" t="n">
        <x:f>IF($A230=0,"",$N230+$O230-$P230)</x:f>
        <x:v>410.72932514793</x:v>
      </x:c>
      <x:c r="R230" s="30" t="n">
        <x:f>IF($A230=0,"",$G230-$Q230)</x:f>
        <x:v>83.9691164209699</x:v>
      </x:c>
      <x:c r="S230" s="30" t="n">
        <x:f>IF($A230=0,"",SUM($R$17:R230))</x:f>
        <x:v>22469.73885812462</x:v>
      </x:c>
      <x:c r="T230" s="30" t="n">
        <x:f>IF($A230=0,"",$S230-$H230)</x:f>
        <x:v>17010.23885812462</x:v>
      </x:c>
    </x:row>
    <x:row r="231">
      <x:c r="A231" s="40" t="n">
        <x:v>18</x:v>
      </x:c>
      <x:c r="B231" s="40" t="n">
        <x:v>30</x:v>
      </x:c>
      <x:c r="C231" s="40" t="n">
        <x:v>11</x:v>
      </x:c>
      <x:c r="D231" s="31" t="n">
        <x:f>INDEX(Assumptions!$D$24:$D$35,$C231)</x:f>
        <x:v>948.3553735444794</x:v>
      </x:c>
      <x:c r="E231" s="30" t="n">
        <x:f>$D231*Assumptions!$B$11*IF($A231=0,1,(1+Assumptions!$B$14)^($A231-1))</x:f>
        <x:v>464.7742659527394</x:v>
      </x:c>
      <x:c r="F231" s="30" t="n">
        <x:f>$B231*Assumptions!$B$13</x:f>
        <x:v>21</x:v>
      </x:c>
      <x:c r="G231" s="30" t="n">
        <x:f>$E231+$F231</x:f>
        <x:v>485.7742659527394</x:v>
      </x:c>
      <x:c r="H231" s="30" t="n">
        <x:f>IF($A231=0,"",Assumptions!$B$21)</x:f>
        <x:v>5459.5</x:v>
      </x:c>
      <x:c r="I231" s="31" t="n">
        <x:f>IF($A231=0,"",INDEX(Assumptions!$C$24:$C$35,$C231)*IF($A231=0,"",IF($A231=1,1-Assumptions!$B$16,(1-Assumptions!$B$16)*(1-Assumptions!$B$17)^($A231-1))))</x:f>
        <x:v>101.72929384910726</x:v>
      </x:c>
      <x:c r="J231" s="32" t="n">
        <x:f>IF($A231=0,"",IF($I231&gt;0,$K231/$I231,0))</x:f>
        <x:v>1</x:v>
      </x:c>
      <x:c r="K231" s="31" t="n">
        <x:f>IF($A231=0,"",LET(direct,MIN($I231,$D231),surplus,MAX(0,$I231-direct),deficit,MAX(0,$D231-direct),charge,MIN(surplus,Assumptions!$B$10,direct,deficit),direct+charge))</x:f>
        <x:v>101.72929384910726</x:v>
      </x:c>
      <x:c r="L231" s="31" t="n">
        <x:f>IF($A231=0,"",LET(direct,MIN($I231,$D231),surplus,MAX(0,$I231-direct),deficit,MAX(0,$D231-direct),charge,MIN(surplus,Assumptions!$B$10,direct,deficit),surplus-charge))</x:f>
        <x:v>0</x:v>
      </x:c>
      <x:c r="M231" s="31" t="n">
        <x:f>IF($A231=0,"",LET(direct,MIN($I231,$D231),surplus,MAX(0,$I231-direct),deficit,MAX(0,$D231-direct),charge,MIN(surplus,Assumptions!$B$10,direct,deficit),deficit-charge))</x:f>
        <x:v>846.6260796953721</x:v>
      </x:c>
      <x:c r="N231" s="30" t="n">
        <x:f>IF($A231=0,"",$M231*Assumptions!$B$11*IF($A231=0,1,(1+Assumptions!$B$14)^($A231-1)))</x:f>
        <x:v>414.9183161752884</x:v>
      </x:c>
      <x:c r="O231" s="30" t="n">
        <x:f>IF($A231=0,"",$B231*Assumptions!$B$13)</x:f>
        <x:v>21</x:v>
      </x:c>
      <x:c r="P231" s="30" t="n">
        <x:f>IF($A231=0,"",$L231*Assumptions!$B$12)</x:f>
        <x:v>0</x:v>
      </x:c>
      <x:c r="Q231" s="30" t="n">
        <x:f>IF($A231=0,"",$N231+$O231-$P231)</x:f>
        <x:v>435.9183161752884</x:v>
      </x:c>
      <x:c r="R231" s="30" t="n">
        <x:f>IF($A231=0,"",$G231-$Q231)</x:f>
        <x:v>49.85594977745103</x:v>
      </x:c>
      <x:c r="S231" s="30" t="n">
        <x:f>IF($A231=0,"",SUM($R$17:R231))</x:f>
        <x:v>22519.59480790207</x:v>
      </x:c>
      <x:c r="T231" s="30" t="n">
        <x:f>IF($A231=0,"",$S231-$H231)</x:f>
        <x:v>17060.09480790207</x:v>
      </x:c>
    </x:row>
    <x:row r="232">
      <x:c r="A232" s="40" t="n">
        <x:v>18</x:v>
      </x:c>
      <x:c r="B232" s="40" t="n">
        <x:v>31</x:v>
      </x:c>
      <x:c r="C232" s="40" t="n">
        <x:v>12</x:v>
      </x:c>
      <x:c r="D232" s="31" t="n">
        <x:f>INDEX(Assumptions!$D$24:$D$35,$C232)</x:f>
        <x:v>928.0413642752205</x:v>
      </x:c>
      <x:c r="E232" s="30" t="n">
        <x:f>$D232*Assumptions!$B$11*IF($A232=0,1,(1+Assumptions!$B$14)^($A232-1))</x:f>
        <x:v>454.81868494370315</x:v>
      </x:c>
      <x:c r="F232" s="30" t="n">
        <x:f>$B232*Assumptions!$B$13</x:f>
        <x:v>21.7</x:v>
      </x:c>
      <x:c r="G232" s="30" t="n">
        <x:f>$E232+$F232</x:f>
        <x:v>476.51868494370314</x:v>
      </x:c>
      <x:c r="H232" s="30" t="n">
        <x:f>IF($A232=0,"",Assumptions!$B$21)</x:f>
        <x:v>5459.5</x:v>
      </x:c>
      <x:c r="I232" s="31" t="n">
        <x:f>IF($A232=0,"",INDEX(Assumptions!$C$24:$C$35,$C232)*IF($A232=0,"",IF($A232=1,1-Assumptions!$B$16,(1-Assumptions!$B$16)*(1-Assumptions!$B$17)^($A232-1))))</x:f>
        <x:v>75.00695710149178</x:v>
      </x:c>
      <x:c r="J232" s="32" t="n">
        <x:f>IF($A232=0,"",IF($I232&gt;0,$K232/$I232,0))</x:f>
        <x:v>1</x:v>
      </x:c>
      <x:c r="K232" s="31" t="n">
        <x:f>IF($A232=0,"",LET(direct,MIN($I232,$D232),surplus,MAX(0,$I232-direct),deficit,MAX(0,$D232-direct),charge,MIN(surplus,Assumptions!$B$10,direct,deficit),direct+charge))</x:f>
        <x:v>75.00695710149178</x:v>
      </x:c>
      <x:c r="L232" s="31" t="n">
        <x:f>IF($A232=0,"",LET(direct,MIN($I232,$D232),surplus,MAX(0,$I232-direct),deficit,MAX(0,$D232-direct),charge,MIN(surplus,Assumptions!$B$10,direct,deficit),surplus-charge))</x:f>
        <x:v>0</x:v>
      </x:c>
      <x:c r="M232" s="31" t="n">
        <x:f>IF($A232=0,"",LET(direct,MIN($I232,$D232),surplus,MAX(0,$I232-direct),deficit,MAX(0,$D232-direct),charge,MIN(surplus,Assumptions!$B$10,direct,deficit),deficit-charge))</x:f>
        <x:v>853.0344071737287</x:v>
      </x:c>
      <x:c r="N232" s="30" t="n">
        <x:f>IF($A232=0,"",$M232*Assumptions!$B$11*IF($A232=0,1,(1+Assumptions!$B$14)^($A232-1)))</x:f>
        <x:v>418.05893812231875</x:v>
      </x:c>
      <x:c r="O232" s="30" t="n">
        <x:f>IF($A232=0,"",$B232*Assumptions!$B$13)</x:f>
        <x:v>21.7</x:v>
      </x:c>
      <x:c r="P232" s="30" t="n">
        <x:f>IF($A232=0,"",$L232*Assumptions!$B$12)</x:f>
        <x:v>0</x:v>
      </x:c>
      <x:c r="Q232" s="30" t="n">
        <x:f>IF($A232=0,"",$N232+$O232-$P232)</x:f>
        <x:v>439.75893812231874</x:v>
      </x:c>
      <x:c r="R232" s="30" t="n">
        <x:f>IF($A232=0,"",$G232-$Q232)</x:f>
        <x:v>36.7597468213844</x:v>
      </x:c>
      <x:c r="S232" s="30" t="n">
        <x:f>IF($A232=0,"",SUM($R$17:R232))</x:f>
        <x:v>22556.354554723453</x:v>
      </x:c>
      <x:c r="T232" s="30" t="n">
        <x:f>IF($A232=0,"",$S232-$H232)</x:f>
        <x:v>17096.854554723453</x:v>
      </x:c>
    </x:row>
    <x:row r="233">
      <x:c r="A233" s="40" t="n">
        <x:v>19</x:v>
      </x:c>
      <x:c r="B233" s="40" t="n">
        <x:v>31</x:v>
      </x:c>
      <x:c r="C233" s="40" t="n">
        <x:v>1</x:v>
      </x:c>
      <x:c r="D233" s="31" t="n">
        <x:f>INDEX(Assumptions!$D$24:$D$35,$C233)</x:f>
        <x:v>921.8588397150115</x:v>
      </x:c>
      <x:c r="E233" s="30" t="n">
        <x:f>$D233*Assumptions!$B$11*IF($A233=0,1,(1+Assumptions!$B$14)^($A233-1))</x:f>
        <x:v>460.8245000162938</x:v>
      </x:c>
      <x:c r="F233" s="30" t="n">
        <x:f>$B233*Assumptions!$B$13</x:f>
        <x:v>21.7</x:v>
      </x:c>
      <x:c r="G233" s="30" t="n">
        <x:f>$E233+$F233</x:f>
        <x:v>482.5245000162938</x:v>
      </x:c>
      <x:c r="H233" s="30" t="n">
        <x:f>IF($A233=0,"",Assumptions!$B$21)</x:f>
        <x:v>5459.5</x:v>
      </x:c>
      <x:c r="I233" s="31" t="n">
        <x:f>IF($A233=0,"",INDEX(Assumptions!$C$24:$C$35,$C233)*IF($A233=0,"",IF($A233=1,1-Assumptions!$B$16,(1-Assumptions!$B$16)*(1-Assumptions!$B$17)^($A233-1))))</x:f>
        <x:v>90.93759412525523</x:v>
      </x:c>
      <x:c r="J233" s="32" t="n">
        <x:f>IF($A233=0,"",IF($I233&gt;0,$K233/$I233,0))</x:f>
        <x:v>1</x:v>
      </x:c>
      <x:c r="K233" s="31" t="n">
        <x:f>IF($A233=0,"",LET(direct,MIN($I233,$D233),surplus,MAX(0,$I233-direct),deficit,MAX(0,$D233-direct),charge,MIN(surplus,Assumptions!$B$10,direct,deficit),direct+charge))</x:f>
        <x:v>90.93759412525523</x:v>
      </x:c>
      <x:c r="L233" s="31" t="n">
        <x:f>IF($A233=0,"",LET(direct,MIN($I233,$D233),surplus,MAX(0,$I233-direct),deficit,MAX(0,$D233-direct),charge,MIN(surplus,Assumptions!$B$10,direct,deficit),surplus-charge))</x:f>
        <x:v>0</x:v>
      </x:c>
      <x:c r="M233" s="31" t="n">
        <x:f>IF($A233=0,"",LET(direct,MIN($I233,$D233),surplus,MAX(0,$I233-direct),deficit,MAX(0,$D233-direct),charge,MIN(surplus,Assumptions!$B$10,direct,deficit),deficit-charge))</x:f>
        <x:v>830.9212455897563</x:v>
      </x:c>
      <x:c r="N233" s="30" t="n">
        <x:f>IF($A233=0,"",$M233*Assumptions!$B$11*IF($A233=0,1,(1+Assumptions!$B$14)^($A233-1)))</x:f>
        <x:v>415.36605286574036</x:v>
      </x:c>
      <x:c r="O233" s="30" t="n">
        <x:f>IF($A233=0,"",$B233*Assumptions!$B$13)</x:f>
        <x:v>21.7</x:v>
      </x:c>
      <x:c r="P233" s="30" t="n">
        <x:f>IF($A233=0,"",$L233*Assumptions!$B$12)</x:f>
        <x:v>0</x:v>
      </x:c>
      <x:c r="Q233" s="30" t="n">
        <x:f>IF($A233=0,"",$N233+$O233-$P233)</x:f>
        <x:v>437.06605286574035</x:v>
      </x:c>
      <x:c r="R233" s="30" t="n">
        <x:f>IF($A233=0,"",$G233-$Q233)</x:f>
        <x:v>45.45844715055347</x:v>
      </x:c>
      <x:c r="S233" s="30" t="n">
        <x:f>IF($A233=0,"",SUM($R$17:R233))</x:f>
        <x:v>22601.81300187401</x:v>
      </x:c>
      <x:c r="T233" s="30" t="n">
        <x:f>IF($A233=0,"",$S233-$H233)</x:f>
        <x:v>17142.31300187401</x:v>
      </x:c>
    </x:row>
    <x:row r="234">
      <x:c r="A234" s="40" t="n">
        <x:v>19</x:v>
      </x:c>
      <x:c r="B234" s="40" t="n">
        <x:v>28</x:v>
      </x:c>
      <x:c r="C234" s="40" t="n">
        <x:v>2</x:v>
      </x:c>
      <x:c r="D234" s="31" t="n">
        <x:f>INDEX(Assumptions!$D$24:$D$35,$C234)</x:f>
        <x:v>923.6252753036425</x:v>
      </x:c>
      <x:c r="E234" s="30" t="n">
        <x:f>$D234*Assumptions!$B$11*IF($A234=0,1,(1+Assumptions!$B$14)^($A234-1))</x:f>
        <x:v>461.70751676666043</x:v>
      </x:c>
      <x:c r="F234" s="30" t="n">
        <x:f>$B234*Assumptions!$B$13</x:f>
        <x:v>19.599999999999998</x:v>
      </x:c>
      <x:c r="G234" s="30" t="n">
        <x:f>$E234+$F234</x:f>
        <x:v>481.30751676666046</x:v>
      </x:c>
      <x:c r="H234" s="30" t="n">
        <x:f>IF($A234=0,"",Assumptions!$B$21)</x:f>
        <x:v>5459.5</x:v>
      </x:c>
      <x:c r="I234" s="31" t="n">
        <x:f>IF($A234=0,"",INDEX(Assumptions!$C$24:$C$35,$C234)*IF($A234=0,"",IF($A234=1,1-Assumptions!$B$16,(1-Assumptions!$B$16)*(1-Assumptions!$B$17)^($A234-1))))</x:f>
        <x:v>143.76464878225258</x:v>
      </x:c>
      <x:c r="J234" s="32" t="n">
        <x:f>IF($A234=0,"",IF($I234&gt;0,$K234/$I234,0))</x:f>
        <x:v>1</x:v>
      </x:c>
      <x:c r="K234" s="31" t="n">
        <x:f>IF($A234=0,"",LET(direct,MIN($I234,$D234),surplus,MAX(0,$I234-direct),deficit,MAX(0,$D234-direct),charge,MIN(surplus,Assumptions!$B$10,direct,deficit),direct+charge))</x:f>
        <x:v>143.76464878225258</x:v>
      </x:c>
      <x:c r="L234" s="31" t="n">
        <x:f>IF($A234=0,"",LET(direct,MIN($I234,$D234),surplus,MAX(0,$I234-direct),deficit,MAX(0,$D234-direct),charge,MIN(surplus,Assumptions!$B$10,direct,deficit),surplus-charge))</x:f>
        <x:v>0</x:v>
      </x:c>
      <x:c r="M234" s="31" t="n">
        <x:f>IF($A234=0,"",LET(direct,MIN($I234,$D234),surplus,MAX(0,$I234-direct),deficit,MAX(0,$D234-direct),charge,MIN(surplus,Assumptions!$B$10,direct,deficit),deficit-charge))</x:f>
        <x:v>779.8606265213899</x:v>
      </x:c>
      <x:c r="N234" s="30" t="n">
        <x:f>IF($A234=0,"",$M234*Assumptions!$B$11*IF($A234=0,1,(1+Assumptions!$B$14)^($A234-1)))</x:f>
        <x:v>389.8415547115799</x:v>
      </x:c>
      <x:c r="O234" s="30" t="n">
        <x:f>IF($A234=0,"",$B234*Assumptions!$B$13)</x:f>
        <x:v>19.599999999999998</x:v>
      </x:c>
      <x:c r="P234" s="30" t="n">
        <x:f>IF($A234=0,"",$L234*Assumptions!$B$12)</x:f>
        <x:v>0</x:v>
      </x:c>
      <x:c r="Q234" s="30" t="n">
        <x:f>IF($A234=0,"",$N234+$O234-$P234)</x:f>
        <x:v>409.4415547115799</x:v>
      </x:c>
      <x:c r="R234" s="30" t="n">
        <x:f>IF($A234=0,"",$G234-$Q234)</x:f>
        <x:v>71.86596205508056</x:v>
      </x:c>
      <x:c r="S234" s="30" t="n">
        <x:f>IF($A234=0,"",SUM($R$17:R234))</x:f>
        <x:v>22673.678963929087</x:v>
      </x:c>
      <x:c r="T234" s="30" t="n">
        <x:f>IF($A234=0,"",$S234-$H234)</x:f>
        <x:v>17214.178963929087</x:v>
      </x:c>
    </x:row>
    <x:row r="235">
      <x:c r="A235" s="40" t="n">
        <x:v>19</x:v>
      </x:c>
      <x:c r="B235" s="40" t="n">
        <x:v>31</x:v>
      </x:c>
      <x:c r="C235" s="40" t="n">
        <x:v>3</x:v>
      </x:c>
      <x:c r="D235" s="31" t="n">
        <x:f>INDEX(Assumptions!$D$24:$D$35,$C235)</x:f>
        <x:v>907.7273550059616</x:v>
      </x:c>
      <x:c r="E235" s="30" t="n">
        <x:f>$D235*Assumptions!$B$11*IF($A235=0,1,(1+Assumptions!$B$14)^($A235-1))</x:f>
        <x:v>453.76036601336017</x:v>
      </x:c>
      <x:c r="F235" s="30" t="n">
        <x:f>$B235*Assumptions!$B$13</x:f>
        <x:v>21.7</x:v>
      </x:c>
      <x:c r="G235" s="30" t="n">
        <x:f>$E235+$F235</x:f>
        <x:v>475.46036601336016</x:v>
      </x:c>
      <x:c r="H235" s="30" t="n">
        <x:f>IF($A235=0,"",Assumptions!$B$21)</x:f>
        <x:v>5459.5</x:v>
      </x:c>
      <x:c r="I235" s="31" t="n">
        <x:f>IF($A235=0,"",INDEX(Assumptions!$C$24:$C$35,$C235)*IF($A235=0,"",IF($A235=1,1-Assumptions!$B$16,(1-Assumptions!$B$16)*(1-Assumptions!$B$17)^($A235-1))))</x:f>
        <x:v>253.77514799658562</x:v>
      </x:c>
      <x:c r="J235" s="32" t="n">
        <x:f>IF($A235=0,"",IF($I235&gt;0,$K235/$I235,0))</x:f>
        <x:v>1</x:v>
      </x:c>
      <x:c r="K235" s="31" t="n">
        <x:f>IF($A235=0,"",LET(direct,MIN($I235,$D235),surplus,MAX(0,$I235-direct),deficit,MAX(0,$D235-direct),charge,MIN(surplus,Assumptions!$B$10,direct,deficit),direct+charge))</x:f>
        <x:v>253.77514799658562</x:v>
      </x:c>
      <x:c r="L235" s="31" t="n">
        <x:f>IF($A235=0,"",LET(direct,MIN($I235,$D235),surplus,MAX(0,$I235-direct),deficit,MAX(0,$D235-direct),charge,MIN(surplus,Assumptions!$B$10,direct,deficit),surplus-charge))</x:f>
        <x:v>0</x:v>
      </x:c>
      <x:c r="M235" s="31" t="n">
        <x:f>IF($A235=0,"",LET(direct,MIN($I235,$D235),surplus,MAX(0,$I235-direct),deficit,MAX(0,$D235-direct),charge,MIN(surplus,Assumptions!$B$10,direct,deficit),deficit-charge))</x:f>
        <x:v>653.952207009376</x:v>
      </x:c>
      <x:c r="N235" s="30" t="n">
        <x:f>IF($A235=0,"",$M235*Assumptions!$B$11*IF($A235=0,1,(1+Assumptions!$B$14)^($A235-1)))</x:f>
        <x:v>326.90167501437725</x:v>
      </x:c>
      <x:c r="O235" s="30" t="n">
        <x:f>IF($A235=0,"",$B235*Assumptions!$B$13)</x:f>
        <x:v>21.7</x:v>
      </x:c>
      <x:c r="P235" s="30" t="n">
        <x:f>IF($A235=0,"",$L235*Assumptions!$B$12)</x:f>
        <x:v>0</x:v>
      </x:c>
      <x:c r="Q235" s="30" t="n">
        <x:f>IF($A235=0,"",$N235+$O235-$P235)</x:f>
        <x:v>348.60167501437724</x:v>
      </x:c>
      <x:c r="R235" s="30" t="n">
        <x:f>IF($A235=0,"",$G235-$Q235)</x:f>
        <x:v>126.85869099898292</x:v>
      </x:c>
      <x:c r="S235" s="30" t="n">
        <x:f>IF($A235=0,"",SUM($R$17:R235))</x:f>
        <x:v>22800.53765492807</x:v>
      </x:c>
      <x:c r="T235" s="30" t="n">
        <x:f>IF($A235=0,"",$S235-$H235)</x:f>
        <x:v>17341.03765492807</x:v>
      </x:c>
    </x:row>
    <x:row r="236">
      <x:c r="A236" s="40" t="n">
        <x:v>19</x:v>
      </x:c>
      <x:c r="B236" s="40" t="n">
        <x:v>30</x:v>
      </x:c>
      <x:c r="C236" s="40" t="n">
        <x:v>4</x:v>
      </x:c>
      <x:c r="D236" s="31" t="n">
        <x:f>INDEX(Assumptions!$D$24:$D$35,$C236)</x:f>
        <x:v>951.0050269274262</x:v>
      </x:c>
      <x:c r="E236" s="30" t="n">
        <x:f>$D236*Assumptions!$B$11*IF($A236=0,1,(1+Assumptions!$B$14)^($A236-1))</x:f>
        <x:v>475.39427639734424</x:v>
      </x:c>
      <x:c r="F236" s="30" t="n">
        <x:f>$B236*Assumptions!$B$13</x:f>
        <x:v>21</x:v>
      </x:c>
      <x:c r="G236" s="30" t="n">
        <x:f>$E236+$F236</x:f>
        <x:v>496.39427639734424</x:v>
      </x:c>
      <x:c r="H236" s="30" t="n">
        <x:f>IF($A236=0,"",Assumptions!$B$21)</x:f>
        <x:v>5459.5</x:v>
      </x:c>
      <x:c r="I236" s="31" t="n">
        <x:f>IF($A236=0,"",INDEX(Assumptions!$C$24:$C$35,$C236)*IF($A236=0,"",IF($A236=1,1-Assumptions!$B$16,(1-Assumptions!$B$16)*(1-Assumptions!$B$17)^($A236-1))))</x:f>
        <x:v>337.95192395036094</x:v>
      </x:c>
      <x:c r="J236" s="32" t="n">
        <x:f>IF($A236=0,"",IF($I236&gt;0,$K236/$I236,0))</x:f>
        <x:v>1</x:v>
      </x:c>
      <x:c r="K236" s="31" t="n">
        <x:f>IF($A236=0,"",LET(direct,MIN($I236,$D236),surplus,MAX(0,$I236-direct),deficit,MAX(0,$D236-direct),charge,MIN(surplus,Assumptions!$B$10,direct,deficit),direct+charge))</x:f>
        <x:v>337.95192395036094</x:v>
      </x:c>
      <x:c r="L236" s="31" t="n">
        <x:f>IF($A236=0,"",LET(direct,MIN($I236,$D236),surplus,MAX(0,$I236-direct),deficit,MAX(0,$D236-direct),charge,MIN(surplus,Assumptions!$B$10,direct,deficit),surplus-charge))</x:f>
        <x:v>0</x:v>
      </x:c>
      <x:c r="M236" s="31" t="n">
        <x:f>IF($A236=0,"",LET(direct,MIN($I236,$D236),surplus,MAX(0,$I236-direct),deficit,MAX(0,$D236-direct),charge,MIN(surplus,Assumptions!$B$10,direct,deficit),deficit-charge))</x:f>
        <x:v>613.0531029770652</x:v>
      </x:c>
      <x:c r="N236" s="30" t="n">
        <x:f>IF($A236=0,"",$M236*Assumptions!$B$11*IF($A236=0,1,(1+Assumptions!$B$14)^($A236-1)))</x:f>
        <x:v>306.45677786219443</x:v>
      </x:c>
      <x:c r="O236" s="30" t="n">
        <x:f>IF($A236=0,"",$B236*Assumptions!$B$13)</x:f>
        <x:v>21</x:v>
      </x:c>
      <x:c r="P236" s="30" t="n">
        <x:f>IF($A236=0,"",$L236*Assumptions!$B$12)</x:f>
        <x:v>0</x:v>
      </x:c>
      <x:c r="Q236" s="30" t="n">
        <x:f>IF($A236=0,"",$N236+$O236-$P236)</x:f>
        <x:v>327.45677786219443</x:v>
      </x:c>
      <x:c r="R236" s="30" t="n">
        <x:f>IF($A236=0,"",$G236-$Q236)</x:f>
        <x:v>168.9374985351498</x:v>
      </x:c>
      <x:c r="S236" s="30" t="n">
        <x:f>IF($A236=0,"",SUM($R$17:R236))</x:f>
        <x:v>22969.47515346322</x:v>
      </x:c>
      <x:c r="T236" s="30" t="n">
        <x:f>IF($A236=0,"",$S236-$H236)</x:f>
        <x:v>17509.97515346322</x:v>
      </x:c>
    </x:row>
    <x:row r="237">
      <x:c r="A237" s="40" t="n">
        <x:v>19</x:v>
      </x:c>
      <x:c r="B237" s="40" t="n">
        <x:v>31</x:v>
      </x:c>
      <x:c r="C237" s="40" t="n">
        <x:v>5</x:v>
      </x:c>
      <x:c r="D237" s="31" t="n">
        <x:f>INDEX(Assumptions!$D$24:$D$35,$C237)</x:f>
        <x:v>480.47094299256736</x:v>
      </x:c>
      <x:c r="E237" s="30" t="n">
        <x:f>$D237*Assumptions!$B$11*IF($A237=0,1,(1+Assumptions!$B$14)^($A237-1))</x:f>
        <x:v>240.18078748949875</x:v>
      </x:c>
      <x:c r="F237" s="30" t="n">
        <x:f>$B237*Assumptions!$B$13</x:f>
        <x:v>21.7</x:v>
      </x:c>
      <x:c r="G237" s="30" t="n">
        <x:f>$E237+$F237</x:f>
        <x:v>261.88078748949874</x:v>
      </x:c>
      <x:c r="H237" s="30" t="n">
        <x:f>IF($A237=0,"",Assumptions!$B$21)</x:f>
        <x:v>5459.5</x:v>
      </x:c>
      <x:c r="I237" s="31" t="n">
        <x:f>IF($A237=0,"",INDEX(Assumptions!$C$24:$C$35,$C237)*IF($A237=0,"",IF($A237=1,1-Assumptions!$B$16,(1-Assumptions!$B$16)*(1-Assumptions!$B$17)^($A237-1))))</x:f>
        <x:v>374.4168045697707</x:v>
      </x:c>
      <x:c r="J237" s="32" t="n">
        <x:f>IF($A237=0,"",IF($I237&gt;0,$K237/$I237,0))</x:f>
        <x:v>1</x:v>
      </x:c>
      <x:c r="K237" s="31" t="n">
        <x:f>IF($A237=0,"",LET(direct,MIN($I237,$D237),surplus,MAX(0,$I237-direct),deficit,MAX(0,$D237-direct),charge,MIN(surplus,Assumptions!$B$10,direct,deficit),direct+charge))</x:f>
        <x:v>374.4168045697707</x:v>
      </x:c>
      <x:c r="L237" s="31" t="n">
        <x:f>IF($A237=0,"",LET(direct,MIN($I237,$D237),surplus,MAX(0,$I237-direct),deficit,MAX(0,$D237-direct),charge,MIN(surplus,Assumptions!$B$10,direct,deficit),surplus-charge))</x:f>
        <x:v>0</x:v>
      </x:c>
      <x:c r="M237" s="31" t="n">
        <x:f>IF($A237=0,"",LET(direct,MIN($I237,$D237),surplus,MAX(0,$I237-direct),deficit,MAX(0,$D237-direct),charge,MIN(surplus,Assumptions!$B$10,direct,deficit),deficit-charge))</x:f>
        <x:v>106.05413842279665</x:v>
      </x:c>
      <x:c r="N237" s="30" t="n">
        <x:f>IF($A237=0,"",$M237*Assumptions!$B$11*IF($A237=0,1,(1+Assumptions!$B$14)^($A237-1)))</x:f>
        <x:v>53.01499883480289</x:v>
      </x:c>
      <x:c r="O237" s="30" t="n">
        <x:f>IF($A237=0,"",$B237*Assumptions!$B$13)</x:f>
        <x:v>21.7</x:v>
      </x:c>
      <x:c r="P237" s="30" t="n">
        <x:f>IF($A237=0,"",$L237*Assumptions!$B$12)</x:f>
        <x:v>0</x:v>
      </x:c>
      <x:c r="Q237" s="30" t="n">
        <x:f>IF($A237=0,"",$N237+$O237-$P237)</x:f>
        <x:v>74.71499883480288</x:v>
      </x:c>
      <x:c r="R237" s="30" t="n">
        <x:f>IF($A237=0,"",$G237-$Q237)</x:f>
        <x:v>187.16578865469586</x:v>
      </x:c>
      <x:c r="S237" s="30" t="n">
        <x:f>IF($A237=0,"",SUM($R$17:R237))</x:f>
        <x:v>23156.640942117916</x:v>
      </x:c>
      <x:c r="T237" s="30" t="n">
        <x:f>IF($A237=0,"",$S237-$H237)</x:f>
        <x:v>17697.140942117916</x:v>
      </x:c>
    </x:row>
    <x:row r="238">
      <x:c r="A238" s="40" t="n">
        <x:v>19</x:v>
      </x:c>
      <x:c r="B238" s="40" t="n">
        <x:v>30</x:v>
      </x:c>
      <x:c r="C238" s="40" t="n">
        <x:v>6</x:v>
      </x:c>
      <x:c r="D238" s="31" t="n">
        <x:f>INDEX(Assumptions!$D$24:$D$35,$C238)</x:f>
        <x:v>491.73724202799656</x:v>
      </x:c>
      <x:c r="E238" s="30" t="n">
        <x:f>$D238*Assumptions!$B$11*IF($A238=0,1,(1+Assumptions!$B$14)^($A238-1))</x:f>
        <x:v>245.81265475199712</x:v>
      </x:c>
      <x:c r="F238" s="30" t="n">
        <x:f>$B238*Assumptions!$B$13</x:f>
        <x:v>21</x:v>
      </x:c>
      <x:c r="G238" s="30" t="n">
        <x:f>$E238+$F238</x:f>
        <x:v>266.8126547519971</x:v>
      </x:c>
      <x:c r="H238" s="30" t="n">
        <x:f>IF($A238=0,"",Assumptions!$B$21)</x:f>
        <x:v>5459.5</x:v>
      </x:c>
      <x:c r="I238" s="31" t="n">
        <x:f>IF($A238=0,"",INDEX(Assumptions!$C$24:$C$35,$C238)*IF($A238=0,"",IF($A238=1,1-Assumptions!$B$16,(1-Assumptions!$B$16)*(1-Assumptions!$B$17)^($A238-1))))</x:f>
        <x:v>383.92896888443414</x:v>
      </x:c>
      <x:c r="J238" s="32" t="n">
        <x:f>IF($A238=0,"",IF($I238&gt;0,$K238/$I238,0))</x:f>
        <x:v>1</x:v>
      </x:c>
      <x:c r="K238" s="31" t="n">
        <x:f>IF($A238=0,"",LET(direct,MIN($I238,$D238),surplus,MAX(0,$I238-direct),deficit,MAX(0,$D238-direct),charge,MIN(surplus,Assumptions!$B$10,direct,deficit),direct+charge))</x:f>
        <x:v>383.92896888443414</x:v>
      </x:c>
      <x:c r="L238" s="31" t="n">
        <x:f>IF($A238=0,"",LET(direct,MIN($I238,$D238),surplus,MAX(0,$I238-direct),deficit,MAX(0,$D238-direct),charge,MIN(surplus,Assumptions!$B$10,direct,deficit),surplus-charge))</x:f>
        <x:v>0</x:v>
      </x:c>
      <x:c r="M238" s="31" t="n">
        <x:f>IF($A238=0,"",LET(direct,MIN($I238,$D238),surplus,MAX(0,$I238-direct),deficit,MAX(0,$D238-direct),charge,MIN(surplus,Assumptions!$B$10,direct,deficit),deficit-charge))</x:f>
        <x:v>107.80827314356242</x:v>
      </x:c>
      <x:c r="N238" s="30" t="n">
        <x:f>IF($A238=0,"",$M238*Assumptions!$B$11*IF($A238=0,1,(1+Assumptions!$B$14)^($A238-1)))</x:f>
        <x:v>53.89186655123983</x:v>
      </x:c>
      <x:c r="O238" s="30" t="n">
        <x:f>IF($A238=0,"",$B238*Assumptions!$B$13)</x:f>
        <x:v>21</x:v>
      </x:c>
      <x:c r="P238" s="30" t="n">
        <x:f>IF($A238=0,"",$L238*Assumptions!$B$12)</x:f>
        <x:v>0</x:v>
      </x:c>
      <x:c r="Q238" s="30" t="n">
        <x:f>IF($A238=0,"",$N238+$O238-$P238)</x:f>
        <x:v>74.89186655123983</x:v>
      </x:c>
      <x:c r="R238" s="30" t="n">
        <x:f>IF($A238=0,"",$G238-$Q238)</x:f>
        <x:v>191.92078820075727</x:v>
      </x:c>
      <x:c r="S238" s="30" t="n">
        <x:f>IF($A238=0,"",SUM($R$17:R238))</x:f>
        <x:v>23348.561730318674</x:v>
      </x:c>
      <x:c r="T238" s="30" t="n">
        <x:f>IF($A238=0,"",$S238-$H238)</x:f>
        <x:v>17889.061730318674</x:v>
      </x:c>
    </x:row>
    <x:row r="239">
      <x:c r="A239" s="40" t="n">
        <x:v>19</x:v>
      </x:c>
      <x:c r="B239" s="40" t="n">
        <x:v>31</x:v>
      </x:c>
      <x:c r="C239" s="40" t="n">
        <x:v>7</x:v>
      </x:c>
      <x:c r="D239" s="31" t="n">
        <x:f>INDEX(Assumptions!$D$24:$D$35,$C239)</x:f>
        <x:v>504.2215193375261</x:v>
      </x:c>
      <x:c r="E239" s="30" t="n">
        <x:f>$D239*Assumptions!$B$11*IF($A239=0,1,(1+Assumptions!$B$14)^($A239-1))</x:f>
        <x:v>252.05337252936016</x:v>
      </x:c>
      <x:c r="F239" s="30" t="n">
        <x:f>$B239*Assumptions!$B$13</x:f>
        <x:v>21.7</x:v>
      </x:c>
      <x:c r="G239" s="30" t="n">
        <x:f>$E239+$F239</x:f>
        <x:v>273.75337252936015</x:v>
      </x:c>
      <x:c r="H239" s="30" t="n">
        <x:f>IF($A239=0,"",Assumptions!$B$21)</x:f>
        <x:v>5459.5</x:v>
      </x:c>
      <x:c r="I239" s="31" t="n">
        <x:f>IF($A239=0,"",INDEX(Assumptions!$C$24:$C$35,$C239)*IF($A239=0,"",IF($A239=1,1-Assumptions!$B$16,(1-Assumptions!$B$16)*(1-Assumptions!$B$17)^($A239-1))))</x:f>
        <x:v>396.7088171587163</x:v>
      </x:c>
      <x:c r="J239" s="32" t="n">
        <x:f>IF($A239=0,"",IF($I239&gt;0,$K239/$I239,0))</x:f>
        <x:v>1</x:v>
      </x:c>
      <x:c r="K239" s="31" t="n">
        <x:f>IF($A239=0,"",LET(direct,MIN($I239,$D239),surplus,MAX(0,$I239-direct),deficit,MAX(0,$D239-direct),charge,MIN(surplus,Assumptions!$B$10,direct,deficit),direct+charge))</x:f>
        <x:v>396.7088171587163</x:v>
      </x:c>
      <x:c r="L239" s="31" t="n">
        <x:f>IF($A239=0,"",LET(direct,MIN($I239,$D239),surplus,MAX(0,$I239-direct),deficit,MAX(0,$D239-direct),charge,MIN(surplus,Assumptions!$B$10,direct,deficit),surplus-charge))</x:f>
        <x:v>0</x:v>
      </x:c>
      <x:c r="M239" s="31" t="n">
        <x:f>IF($A239=0,"",LET(direct,MIN($I239,$D239),surplus,MAX(0,$I239-direct),deficit,MAX(0,$D239-direct),charge,MIN(surplus,Assumptions!$B$10,direct,deficit),deficit-charge))</x:f>
        <x:v>107.51270217880983</x:v>
      </x:c>
      <x:c r="N239" s="30" t="n">
        <x:f>IF($A239=0,"",$M239*Assumptions!$B$11*IF($A239=0,1,(1+Assumptions!$B$14)^($A239-1)))</x:f>
        <x:v>53.74411470878469</x:v>
      </x:c>
      <x:c r="O239" s="30" t="n">
        <x:f>IF($A239=0,"",$B239*Assumptions!$B$13)</x:f>
        <x:v>21.7</x:v>
      </x:c>
      <x:c r="P239" s="30" t="n">
        <x:f>IF($A239=0,"",$L239*Assumptions!$B$12)</x:f>
        <x:v>0</x:v>
      </x:c>
      <x:c r="Q239" s="30" t="n">
        <x:f>IF($A239=0,"",$N239+$O239-$P239)</x:f>
        <x:v>75.4441147087847</x:v>
      </x:c>
      <x:c r="R239" s="30" t="n">
        <x:f>IF($A239=0,"",$G239-$Q239)</x:f>
        <x:v>198.30925782057545</x:v>
      </x:c>
      <x:c r="S239" s="30" t="n">
        <x:f>IF($A239=0,"",SUM($R$17:R239))</x:f>
        <x:v>23546.87098813925</x:v>
      </x:c>
      <x:c r="T239" s="30" t="n">
        <x:f>IF($A239=0,"",$S239-$H239)</x:f>
        <x:v>18087.37098813925</x:v>
      </x:c>
    </x:row>
    <x:row r="240">
      <x:c r="A240" s="40" t="n">
        <x:v>19</x:v>
      </x:c>
      <x:c r="B240" s="40" t="n">
        <x:v>31</x:v>
      </x:c>
      <x:c r="C240" s="40" t="n">
        <x:v>8</x:v>
      </x:c>
      <x:c r="D240" s="31" t="n">
        <x:f>INDEX(Assumptions!$D$24:$D$35,$C240)</x:f>
        <x:v>495.0866822817727</x:v>
      </x:c>
      <x:c r="E240" s="30" t="n">
        <x:f>$D240*Assumptions!$B$11*IF($A240=0,1,(1+Assumptions!$B$14)^($A240-1))</x:f>
        <x:v>247.486993667875</x:v>
      </x:c>
      <x:c r="F240" s="30" t="n">
        <x:f>$B240*Assumptions!$B$13</x:f>
        <x:v>21.7</x:v>
      </x:c>
      <x:c r="G240" s="30" t="n">
        <x:f>$E240+$F240</x:f>
        <x:v>269.186993667875</x:v>
      </x:c>
      <x:c r="H240" s="30" t="n">
        <x:f>IF($A240=0,"",Assumptions!$B$21)</x:f>
        <x:v>5459.5</x:v>
      </x:c>
      <x:c r="I240" s="31" t="n">
        <x:f>IF($A240=0,"",INDEX(Assumptions!$C$24:$C$35,$C240)*IF($A240=0,"",IF($A240=1,1-Assumptions!$B$16,(1-Assumptions!$B$16)*(1-Assumptions!$B$17)^($A240-1))))</x:f>
        <x:v>331.0146142994865</x:v>
      </x:c>
      <x:c r="J240" s="32" t="n">
        <x:f>IF($A240=0,"",IF($I240&gt;0,$K240/$I240,0))</x:f>
        <x:v>1</x:v>
      </x:c>
      <x:c r="K240" s="31" t="n">
        <x:f>IF($A240=0,"",LET(direct,MIN($I240,$D240),surplus,MAX(0,$I240-direct),deficit,MAX(0,$D240-direct),charge,MIN(surplus,Assumptions!$B$10,direct,deficit),direct+charge))</x:f>
        <x:v>331.0146142994865</x:v>
      </x:c>
      <x:c r="L240" s="31" t="n">
        <x:f>IF($A240=0,"",LET(direct,MIN($I240,$D240),surplus,MAX(0,$I240-direct),deficit,MAX(0,$D240-direct),charge,MIN(surplus,Assumptions!$B$10,direct,deficit),surplus-charge))</x:f>
        <x:v>0</x:v>
      </x:c>
      <x:c r="M240" s="31" t="n">
        <x:f>IF($A240=0,"",LET(direct,MIN($I240,$D240),surplus,MAX(0,$I240-direct),deficit,MAX(0,$D240-direct),charge,MIN(surplus,Assumptions!$B$10,direct,deficit),deficit-charge))</x:f>
        <x:v>164.07206798228623</x:v>
      </x:c>
      <x:c r="N240" s="30" t="n">
        <x:f>IF($A240=0,"",$M240*Assumptions!$B$11*IF($A240=0,1,(1+Assumptions!$B$14)^($A240-1)))</x:f>
        <x:v>82.01736039972283</x:v>
      </x:c>
      <x:c r="O240" s="30" t="n">
        <x:f>IF($A240=0,"",$B240*Assumptions!$B$13)</x:f>
        <x:v>21.7</x:v>
      </x:c>
      <x:c r="P240" s="30" t="n">
        <x:f>IF($A240=0,"",$L240*Assumptions!$B$12)</x:f>
        <x:v>0</x:v>
      </x:c>
      <x:c r="Q240" s="30" t="n">
        <x:f>IF($A240=0,"",$N240+$O240-$P240)</x:f>
        <x:v>103.71736039972284</x:v>
      </x:c>
      <x:c r="R240" s="30" t="n">
        <x:f>IF($A240=0,"",$G240-$Q240)</x:f>
        <x:v>165.46963326815217</x:v>
      </x:c>
      <x:c r="S240" s="30" t="n">
        <x:f>IF($A240=0,"",SUM($R$17:R240))</x:f>
        <x:v>23712.340621407402</x:v>
      </x:c>
      <x:c r="T240" s="30" t="n">
        <x:f>IF($A240=0,"",$S240-$H240)</x:f>
        <x:v>18252.840621407402</x:v>
      </x:c>
    </x:row>
    <x:row r="241">
      <x:c r="A241" s="40" t="n">
        <x:v>19</x:v>
      </x:c>
      <x:c r="B241" s="40" t="n">
        <x:v>30</x:v>
      </x:c>
      <x:c r="C241" s="40" t="n">
        <x:v>9</x:v>
      </x:c>
      <x:c r="D241" s="31" t="n">
        <x:f>INDEX(Assumptions!$D$24:$D$35,$C241)</x:f>
        <x:v>484.7338669519189</x:v>
      </x:c>
      <x:c r="E241" s="30" t="n">
        <x:f>$D241*Assumptions!$B$11*IF($A241=0,1,(1+Assumptions!$B$14)^($A241-1))</x:f>
        <x:v>242.31176429152515</x:v>
      </x:c>
      <x:c r="F241" s="30" t="n">
        <x:f>$B241*Assumptions!$B$13</x:f>
        <x:v>21</x:v>
      </x:c>
      <x:c r="G241" s="30" t="n">
        <x:f>$E241+$F241</x:f>
        <x:v>263.31176429152515</x:v>
      </x:c>
      <x:c r="H241" s="30" t="n">
        <x:f>IF($A241=0,"",Assumptions!$B$21)</x:f>
        <x:v>5459.5</x:v>
      </x:c>
      <x:c r="I241" s="31" t="n">
        <x:f>IF($A241=0,"",INDEX(Assumptions!$C$24:$C$35,$C241)*IF($A241=0,"",IF($A241=1,1-Assumptions!$B$16,(1-Assumptions!$B$16)*(1-Assumptions!$B$17)^($A241-1))))</x:f>
        <x:v>243.73092411177348</x:v>
      </x:c>
      <x:c r="J241" s="32" t="n">
        <x:f>IF($A241=0,"",IF($I241&gt;0,$K241/$I241,0))</x:f>
        <x:v>1</x:v>
      </x:c>
      <x:c r="K241" s="31" t="n">
        <x:f>IF($A241=0,"",LET(direct,MIN($I241,$D241),surplus,MAX(0,$I241-direct),deficit,MAX(0,$D241-direct),charge,MIN(surplus,Assumptions!$B$10,direct,deficit),direct+charge))</x:f>
        <x:v>243.73092411177348</x:v>
      </x:c>
      <x:c r="L241" s="31" t="n">
        <x:f>IF($A241=0,"",LET(direct,MIN($I241,$D241),surplus,MAX(0,$I241-direct),deficit,MAX(0,$D241-direct),charge,MIN(surplus,Assumptions!$B$10,direct,deficit),surplus-charge))</x:f>
        <x:v>0</x:v>
      </x:c>
      <x:c r="M241" s="31" t="n">
        <x:f>IF($A241=0,"",LET(direct,MIN($I241,$D241),surplus,MAX(0,$I241-direct),deficit,MAX(0,$D241-direct),charge,MIN(surplus,Assumptions!$B$10,direct,deficit),deficit-charge))</x:f>
        <x:v>241.00294284014544</x:v>
      </x:c>
      <x:c r="N241" s="30" t="n">
        <x:f>IF($A241=0,"",$M241*Assumptions!$B$11*IF($A241=0,1,(1+Assumptions!$B$14)^($A241-1)))</x:f>
        <x:v>120.4740420681969</x:v>
      </x:c>
      <x:c r="O241" s="30" t="n">
        <x:f>IF($A241=0,"",$B241*Assumptions!$B$13)</x:f>
        <x:v>21</x:v>
      </x:c>
      <x:c r="P241" s="30" t="n">
        <x:f>IF($A241=0,"",$L241*Assumptions!$B$12)</x:f>
        <x:v>0</x:v>
      </x:c>
      <x:c r="Q241" s="30" t="n">
        <x:f>IF($A241=0,"",$N241+$O241-$P241)</x:f>
        <x:v>141.4740420681969</x:v>
      </x:c>
      <x:c r="R241" s="30" t="n">
        <x:f>IF($A241=0,"",$G241-$Q241)</x:f>
        <x:v>121.83772222332826</x:v>
      </x:c>
      <x:c r="S241" s="30" t="n">
        <x:f>IF($A241=0,"",SUM($R$17:R241))</x:f>
        <x:v>23834.17834363073</x:v>
      </x:c>
      <x:c r="T241" s="30" t="n">
        <x:f>IF($A241=0,"",$S241-$H241)</x:f>
        <x:v>18374.67834363073</x:v>
      </x:c>
    </x:row>
    <x:row r="242">
      <x:c r="A242" s="40" t="n">
        <x:v>19</x:v>
      </x:c>
      <x:c r="B242" s="40" t="n">
        <x:v>31</x:v>
      </x:c>
      <x:c r="C242" s="40" t="n">
        <x:v>10</x:v>
      </x:c>
      <x:c r="D242" s="31" t="n">
        <x:f>INDEX(Assumptions!$D$24:$D$35,$C242)</x:f>
        <x:v>965.136511636476</x:v>
      </x:c>
      <x:c r="E242" s="30" t="n">
        <x:f>$D242*Assumptions!$B$11*IF($A242=0,1,(1+Assumptions!$B$14)^($A242-1))</x:f>
        <x:v>482.45841040027796</x:v>
      </x:c>
      <x:c r="F242" s="30" t="n">
        <x:f>$B242*Assumptions!$B$13</x:f>
        <x:v>21.7</x:v>
      </x:c>
      <x:c r="G242" s="30" t="n">
        <x:f>$E242+$F242</x:f>
        <x:v>504.15841040027794</x:v>
      </x:c>
      <x:c r="H242" s="30" t="n">
        <x:f>IF($A242=0,"",Assumptions!$B$21)</x:f>
        <x:v>5459.5</x:v>
      </x:c>
      <x:c r="I242" s="31" t="n">
        <x:f>IF($A242=0,"",INDEX(Assumptions!$C$24:$C$35,$C242)*IF($A242=0,"",IF($A242=1,1-Assumptions!$B$16,(1-Assumptions!$B$16)*(1-Assumptions!$B$17)^($A242-1))))</x:f>
        <x:v>170.65065415346243</x:v>
      </x:c>
      <x:c r="J242" s="32" t="n">
        <x:f>IF($A242=0,"",IF($I242&gt;0,$K242/$I242,0))</x:f>
        <x:v>1</x:v>
      </x:c>
      <x:c r="K242" s="31" t="n">
        <x:f>IF($A242=0,"",LET(direct,MIN($I242,$D242),surplus,MAX(0,$I242-direct),deficit,MAX(0,$D242-direct),charge,MIN(surplus,Assumptions!$B$10,direct,deficit),direct+charge))</x:f>
        <x:v>170.65065415346243</x:v>
      </x:c>
      <x:c r="L242" s="31" t="n">
        <x:f>IF($A242=0,"",LET(direct,MIN($I242,$D242),surplus,MAX(0,$I242-direct),deficit,MAX(0,$D242-direct),charge,MIN(surplus,Assumptions!$B$10,direct,deficit),surplus-charge))</x:f>
        <x:v>0</x:v>
      </x:c>
      <x:c r="M242" s="31" t="n">
        <x:f>IF($A242=0,"",LET(direct,MIN($I242,$D242),surplus,MAX(0,$I242-direct),deficit,MAX(0,$D242-direct),charge,MIN(surplus,Assumptions!$B$10,direct,deficit),deficit-charge))</x:f>
        <x:v>794.4858574830137</x:v>
      </x:c>
      <x:c r="N242" s="30" t="n">
        <x:f>IF($A242=0,"",$M242*Assumptions!$B$11*IF($A242=0,1,(1+Assumptions!$B$14)^($A242-1)))</x:f>
        <x:v>397.15250564588627</x:v>
      </x:c>
      <x:c r="O242" s="30" t="n">
        <x:f>IF($A242=0,"",$B242*Assumptions!$B$13)</x:f>
        <x:v>21.7</x:v>
      </x:c>
      <x:c r="P242" s="30" t="n">
        <x:f>IF($A242=0,"",$L242*Assumptions!$B$12)</x:f>
        <x:v>0</x:v>
      </x:c>
      <x:c r="Q242" s="30" t="n">
        <x:f>IF($A242=0,"",$N242+$O242-$P242)</x:f>
        <x:v>418.85250564588625</x:v>
      </x:c>
      <x:c r="R242" s="30" t="n">
        <x:f>IF($A242=0,"",$G242-$Q242)</x:f>
        <x:v>85.30590475439169</x:v>
      </x:c>
      <x:c r="S242" s="30" t="n">
        <x:f>IF($A242=0,"",SUM($R$17:R242))</x:f>
        <x:v>23919.48424838512</x:v>
      </x:c>
      <x:c r="T242" s="30" t="n">
        <x:f>IF($A242=0,"",$S242-$H242)</x:f>
        <x:v>18459.98424838512</x:v>
      </x:c>
    </x:row>
    <x:row r="243">
      <x:c r="A243" s="40" t="n">
        <x:v>19</x:v>
      </x:c>
      <x:c r="B243" s="40" t="n">
        <x:v>30</x:v>
      </x:c>
      <x:c r="C243" s="40" t="n">
        <x:v>11</x:v>
      </x:c>
      <x:c r="D243" s="31" t="n">
        <x:f>INDEX(Assumptions!$D$24:$D$35,$C243)</x:f>
        <x:v>948.3553735444794</x:v>
      </x:c>
      <x:c r="E243" s="30" t="n">
        <x:f>$D243*Assumptions!$B$11*IF($A243=0,1,(1+Assumptions!$B$14)^($A243-1))</x:f>
        <x:v>474.06975127179425</x:v>
      </x:c>
      <x:c r="F243" s="30" t="n">
        <x:f>$B243*Assumptions!$B$13</x:f>
        <x:v>21</x:v>
      </x:c>
      <x:c r="G243" s="30" t="n">
        <x:f>$E243+$F243</x:f>
        <x:v>495.06975127179425</x:v>
      </x:c>
      <x:c r="H243" s="30" t="n">
        <x:f>IF($A243=0,"",Assumptions!$B$21)</x:f>
        <x:v>5459.5</x:v>
      </x:c>
      <x:c r="I243" s="31" t="n">
        <x:f>IF($A243=0,"",INDEX(Assumptions!$C$24:$C$35,$C243)*IF($A243=0,"",IF($A243=1,1-Assumptions!$B$16,(1-Assumptions!$B$16)*(1-Assumptions!$B$17)^($A243-1))))</x:f>
        <x:v>101.32237667371083</x:v>
      </x:c>
      <x:c r="J243" s="32" t="n">
        <x:f>IF($A243=0,"",IF($I243&gt;0,$K243/$I243,0))</x:f>
        <x:v>1</x:v>
      </x:c>
      <x:c r="K243" s="31" t="n">
        <x:f>IF($A243=0,"",LET(direct,MIN($I243,$D243),surplus,MAX(0,$I243-direct),deficit,MAX(0,$D243-direct),charge,MIN(surplus,Assumptions!$B$10,direct,deficit),direct+charge))</x:f>
        <x:v>101.32237667371083</x:v>
      </x:c>
      <x:c r="L243" s="31" t="n">
        <x:f>IF($A243=0,"",LET(direct,MIN($I243,$D243),surplus,MAX(0,$I243-direct),deficit,MAX(0,$D243-direct),charge,MIN(surplus,Assumptions!$B$10,direct,deficit),surplus-charge))</x:f>
        <x:v>0</x:v>
      </x:c>
      <x:c r="M243" s="31" t="n">
        <x:f>IF($A243=0,"",LET(direct,MIN($I243,$D243),surplus,MAX(0,$I243-direct),deficit,MAX(0,$D243-direct),charge,MIN(surplus,Assumptions!$B$10,direct,deficit),deficit-charge))</x:f>
        <x:v>847.0329968707686</x:v>
      </x:c>
      <x:c r="N243" s="30" t="n">
        <x:f>IF($A243=0,"",$M243*Assumptions!$B$11*IF($A243=0,1,(1+Assumptions!$B$14)^($A243-1)))</x:f>
        <x:v>423.42009477388615</x:v>
      </x:c>
      <x:c r="O243" s="30" t="n">
        <x:f>IF($A243=0,"",$B243*Assumptions!$B$13)</x:f>
        <x:v>21</x:v>
      </x:c>
      <x:c r="P243" s="30" t="n">
        <x:f>IF($A243=0,"",$L243*Assumptions!$B$12)</x:f>
        <x:v>0</x:v>
      </x:c>
      <x:c r="Q243" s="30" t="n">
        <x:f>IF($A243=0,"",$N243+$O243-$P243)</x:f>
        <x:v>444.42009477388615</x:v>
      </x:c>
      <x:c r="R243" s="30" t="n">
        <x:f>IF($A243=0,"",$G243-$Q243)</x:f>
        <x:v>50.6496564979081</x:v>
      </x:c>
      <x:c r="S243" s="30" t="n">
        <x:f>IF($A243=0,"",SUM($R$17:R243))</x:f>
        <x:v>23970.13390488303</x:v>
      </x:c>
      <x:c r="T243" s="30" t="n">
        <x:f>IF($A243=0,"",$S243-$H243)</x:f>
        <x:v>18510.63390488303</x:v>
      </x:c>
    </x:row>
    <x:row r="244">
      <x:c r="A244" s="40" t="n">
        <x:v>19</x:v>
      </x:c>
      <x:c r="B244" s="40" t="n">
        <x:v>31</x:v>
      </x:c>
      <x:c r="C244" s="40" t="n">
        <x:v>12</x:v>
      </x:c>
      <x:c r="D244" s="31" t="n">
        <x:f>INDEX(Assumptions!$D$24:$D$35,$C244)</x:f>
        <x:v>928.0413642752205</x:v>
      </x:c>
      <x:c r="E244" s="30" t="n">
        <x:f>$D244*Assumptions!$B$11*IF($A244=0,1,(1+Assumptions!$B$14)^($A244-1))</x:f>
        <x:v>463.9150586425772</x:v>
      </x:c>
      <x:c r="F244" s="30" t="n">
        <x:f>$B244*Assumptions!$B$13</x:f>
        <x:v>21.7</x:v>
      </x:c>
      <x:c r="G244" s="30" t="n">
        <x:f>$E244+$F244</x:f>
        <x:v>485.6150586425772</x:v>
      </x:c>
      <x:c r="H244" s="30" t="n">
        <x:f>IF($A244=0,"",Assumptions!$B$21)</x:f>
        <x:v>5459.5</x:v>
      </x:c>
      <x:c r="I244" s="31" t="n">
        <x:f>IF($A244=0,"",INDEX(Assumptions!$C$24:$C$35,$C244)*IF($A244=0,"",IF($A244=1,1-Assumptions!$B$16,(1-Assumptions!$B$16)*(1-Assumptions!$B$17)^($A244-1))))</x:f>
        <x:v>74.70692927308582</x:v>
      </x:c>
      <x:c r="J244" s="32" t="n">
        <x:f>IF($A244=0,"",IF($I244&gt;0,$K244/$I244,0))</x:f>
        <x:v>1</x:v>
      </x:c>
      <x:c r="K244" s="31" t="n">
        <x:f>IF($A244=0,"",LET(direct,MIN($I244,$D244),surplus,MAX(0,$I244-direct),deficit,MAX(0,$D244-direct),charge,MIN(surplus,Assumptions!$B$10,direct,deficit),direct+charge))</x:f>
        <x:v>74.70692927308582</x:v>
      </x:c>
      <x:c r="L244" s="31" t="n">
        <x:f>IF($A244=0,"",LET(direct,MIN($I244,$D244),surplus,MAX(0,$I244-direct),deficit,MAX(0,$D244-direct),charge,MIN(surplus,Assumptions!$B$10,direct,deficit),surplus-charge))</x:f>
        <x:v>0</x:v>
      </x:c>
      <x:c r="M244" s="31" t="n">
        <x:f>IF($A244=0,"",LET(direct,MIN($I244,$D244),surplus,MAX(0,$I244-direct),deficit,MAX(0,$D244-direct),charge,MIN(surplus,Assumptions!$B$10,direct,deficit),deficit-charge))</x:f>
        <x:v>853.3344350021347</x:v>
      </x:c>
      <x:c r="N244" s="30" t="n">
        <x:f>IF($A244=0,"",$M244*Assumptions!$B$11*IF($A244=0,1,(1+Assumptions!$B$14)^($A244-1)))</x:f>
        <x:v>426.57009665179635</x:v>
      </x:c>
      <x:c r="O244" s="30" t="n">
        <x:f>IF($A244=0,"",$B244*Assumptions!$B$13)</x:f>
        <x:v>21.7</x:v>
      </x:c>
      <x:c r="P244" s="30" t="n">
        <x:f>IF($A244=0,"",$L244*Assumptions!$B$12)</x:f>
        <x:v>0</x:v>
      </x:c>
      <x:c r="Q244" s="30" t="n">
        <x:f>IF($A244=0,"",$N244+$O244-$P244)</x:f>
        <x:v>448.27009665179634</x:v>
      </x:c>
      <x:c r="R244" s="30" t="n">
        <x:f>IF($A244=0,"",$G244-$Q244)</x:f>
        <x:v>37.34496199078086</x:v>
      </x:c>
      <x:c r="S244" s="30" t="n">
        <x:f>IF($A244=0,"",SUM($R$17:R244))</x:f>
        <x:v>24007.47886687381</x:v>
      </x:c>
      <x:c r="T244" s="30" t="n">
        <x:f>IF($A244=0,"",$S244-$H244)</x:f>
        <x:v>18547.97886687381</x:v>
      </x:c>
    </x:row>
    <x:row r="245">
      <x:c r="A245" s="40" t="n">
        <x:v>20</x:v>
      </x:c>
      <x:c r="B245" s="40" t="n">
        <x:v>31</x:v>
      </x:c>
      <x:c r="C245" s="40" t="n">
        <x:v>1</x:v>
      </x:c>
      <x:c r="D245" s="31" t="n">
        <x:f>INDEX(Assumptions!$D$24:$D$35,$C245)</x:f>
        <x:v>921.8588397150115</x:v>
      </x:c>
      <x:c r="E245" s="30" t="n">
        <x:f>$D245*Assumptions!$B$11*IF($A245=0,1,(1+Assumptions!$B$14)^($A245-1))</x:f>
        <x:v>470.04099001661973</x:v>
      </x:c>
      <x:c r="F245" s="30" t="n">
        <x:f>$B245*Assumptions!$B$13</x:f>
        <x:v>21.7</x:v>
      </x:c>
      <x:c r="G245" s="30" t="n">
        <x:f>$E245+$F245</x:f>
        <x:v>491.7409900166197</x:v>
      </x:c>
      <x:c r="H245" s="30" t="n">
        <x:f>IF($A245=0,"",Assumptions!$B$21)</x:f>
        <x:v>5459.5</x:v>
      </x:c>
      <x:c r="I245" s="31" t="n">
        <x:f>IF($A245=0,"",INDEX(Assumptions!$C$24:$C$35,$C245)*IF($A245=0,"",IF($A245=1,1-Assumptions!$B$16,(1-Assumptions!$B$16)*(1-Assumptions!$B$17)^($A245-1))))</x:f>
        <x:v>90.57384374875421</x:v>
      </x:c>
      <x:c r="J245" s="32" t="n">
        <x:f>IF($A245=0,"",IF($I245&gt;0,$K245/$I245,0))</x:f>
        <x:v>1</x:v>
      </x:c>
      <x:c r="K245" s="31" t="n">
        <x:f>IF($A245=0,"",LET(direct,MIN($I245,$D245),surplus,MAX(0,$I245-direct),deficit,MAX(0,$D245-direct),charge,MIN(surplus,Assumptions!$B$10,direct,deficit),direct+charge))</x:f>
        <x:v>90.57384374875421</x:v>
      </x:c>
      <x:c r="L245" s="31" t="n">
        <x:f>IF($A245=0,"",LET(direct,MIN($I245,$D245),surplus,MAX(0,$I245-direct),deficit,MAX(0,$D245-direct),charge,MIN(surplus,Assumptions!$B$10,direct,deficit),surplus-charge))</x:f>
        <x:v>0</x:v>
      </x:c>
      <x:c r="M245" s="31" t="n">
        <x:f>IF($A245=0,"",LET(direct,MIN($I245,$D245),surplus,MAX(0,$I245-direct),deficit,MAX(0,$D245-direct),charge,MIN(surplus,Assumptions!$B$10,direct,deficit),deficit-charge))</x:f>
        <x:v>831.2849959662573</x:v>
      </x:c>
      <x:c r="N245" s="30" t="n">
        <x:f>IF($A245=0,"",$M245*Assumptions!$B$11*IF($A245=0,1,(1+Assumptions!$B$14)^($A245-1)))</x:f>
        <x:v>423.8588443874294</x:v>
      </x:c>
      <x:c r="O245" s="30" t="n">
        <x:f>IF($A245=0,"",$B245*Assumptions!$B$13)</x:f>
        <x:v>21.7</x:v>
      </x:c>
      <x:c r="P245" s="30" t="n">
        <x:f>IF($A245=0,"",$L245*Assumptions!$B$12)</x:f>
        <x:v>0</x:v>
      </x:c>
      <x:c r="Q245" s="30" t="n">
        <x:f>IF($A245=0,"",$N245+$O245-$P245)</x:f>
        <x:v>445.55884438742936</x:v>
      </x:c>
      <x:c r="R245" s="30" t="n">
        <x:f>IF($A245=0,"",$G245-$Q245)</x:f>
        <x:v>46.18214562919036</x:v>
      </x:c>
      <x:c r="S245" s="30" t="n">
        <x:f>IF($A245=0,"",SUM($R$17:R245))</x:f>
        <x:v>24053.661012503002</x:v>
      </x:c>
      <x:c r="T245" s="30" t="n">
        <x:f>IF($A245=0,"",$S245-$H245)</x:f>
        <x:v>18594.161012503002</x:v>
      </x:c>
    </x:row>
    <x:row r="246">
      <x:c r="A246" s="40" t="n">
        <x:v>20</x:v>
      </x:c>
      <x:c r="B246" s="40" t="n">
        <x:v>28</x:v>
      </x:c>
      <x:c r="C246" s="40" t="n">
        <x:v>2</x:v>
      </x:c>
      <x:c r="D246" s="31" t="n">
        <x:f>INDEX(Assumptions!$D$24:$D$35,$C246)</x:f>
        <x:v>923.6252753036425</x:v>
      </x:c>
      <x:c r="E246" s="30" t="n">
        <x:f>$D246*Assumptions!$B$11*IF($A246=0,1,(1+Assumptions!$B$14)^($A246-1))</x:f>
        <x:v>470.94166710199363</x:v>
      </x:c>
      <x:c r="F246" s="30" t="n">
        <x:f>$B246*Assumptions!$B$13</x:f>
        <x:v>19.599999999999998</x:v>
      </x:c>
      <x:c r="G246" s="30" t="n">
        <x:f>$E246+$F246</x:f>
        <x:v>490.54166710199365</x:v>
      </x:c>
      <x:c r="H246" s="30" t="n">
        <x:f>IF($A246=0,"",Assumptions!$B$21)</x:f>
        <x:v>5459.5</x:v>
      </x:c>
      <x:c r="I246" s="31" t="n">
        <x:f>IF($A246=0,"",INDEX(Assumptions!$C$24:$C$35,$C246)*IF($A246=0,"",IF($A246=1,1-Assumptions!$B$16,(1-Assumptions!$B$16)*(1-Assumptions!$B$17)^($A246-1))))</x:f>
        <x:v>143.18959018712357</x:v>
      </x:c>
      <x:c r="J246" s="32" t="n">
        <x:f>IF($A246=0,"",IF($I246&gt;0,$K246/$I246,0))</x:f>
        <x:v>1</x:v>
      </x:c>
      <x:c r="K246" s="31" t="n">
        <x:f>IF($A246=0,"",LET(direct,MIN($I246,$D246),surplus,MAX(0,$I246-direct),deficit,MAX(0,$D246-direct),charge,MIN(surplus,Assumptions!$B$10,direct,deficit),direct+charge))</x:f>
        <x:v>143.18959018712357</x:v>
      </x:c>
      <x:c r="L246" s="31" t="n">
        <x:f>IF($A246=0,"",LET(direct,MIN($I246,$D246),surplus,MAX(0,$I246-direct),deficit,MAX(0,$D246-direct),charge,MIN(surplus,Assumptions!$B$10,direct,deficit),surplus-charge))</x:f>
        <x:v>0</x:v>
      </x:c>
      <x:c r="M246" s="31" t="n">
        <x:f>IF($A246=0,"",LET(direct,MIN($I246,$D246),surplus,MAX(0,$I246-direct),deficit,MAX(0,$D246-direct),charge,MIN(surplus,Assumptions!$B$10,direct,deficit),deficit-charge))</x:f>
        <x:v>780.4356851165189</x:v>
      </x:c>
      <x:c r="N246" s="30" t="n">
        <x:f>IF($A246=0,"",$M246*Assumptions!$B$11*IF($A246=0,1,(1+Assumptions!$B$14)^($A246-1)))</x:f>
        <x:v>397.93159893099613</x:v>
      </x:c>
      <x:c r="O246" s="30" t="n">
        <x:f>IF($A246=0,"",$B246*Assumptions!$B$13)</x:f>
        <x:v>19.599999999999998</x:v>
      </x:c>
      <x:c r="P246" s="30" t="n">
        <x:f>IF($A246=0,"",$L246*Assumptions!$B$12)</x:f>
        <x:v>0</x:v>
      </x:c>
      <x:c r="Q246" s="30" t="n">
        <x:f>IF($A246=0,"",$N246+$O246-$P246)</x:f>
        <x:v>417.53159893099615</x:v>
      </x:c>
      <x:c r="R246" s="30" t="n">
        <x:f>IF($A246=0,"",$G246-$Q246)</x:f>
        <x:v>73.0100681709975</x:v>
      </x:c>
      <x:c r="S246" s="30" t="n">
        <x:f>IF($A246=0,"",SUM($R$17:R246))</x:f>
        <x:v>24126.671080674</x:v>
      </x:c>
      <x:c r="T246" s="30" t="n">
        <x:f>IF($A246=0,"",$S246-$H246)</x:f>
        <x:v>18667.171080674</x:v>
      </x:c>
    </x:row>
    <x:row r="247">
      <x:c r="A247" s="40" t="n">
        <x:v>20</x:v>
      </x:c>
      <x:c r="B247" s="40" t="n">
        <x:v>31</x:v>
      </x:c>
      <x:c r="C247" s="40" t="n">
        <x:v>3</x:v>
      </x:c>
      <x:c r="D247" s="31" t="n">
        <x:f>INDEX(Assumptions!$D$24:$D$35,$C247)</x:f>
        <x:v>907.7273550059616</x:v>
      </x:c>
      <x:c r="E247" s="30" t="n">
        <x:f>$D247*Assumptions!$B$11*IF($A247=0,1,(1+Assumptions!$B$14)^($A247-1))</x:f>
        <x:v>462.83557333362734</x:v>
      </x:c>
      <x:c r="F247" s="30" t="n">
        <x:f>$B247*Assumptions!$B$13</x:f>
        <x:v>21.7</x:v>
      </x:c>
      <x:c r="G247" s="30" t="n">
        <x:f>$E247+$F247</x:f>
        <x:v>484.5355733336273</x:v>
      </x:c>
      <x:c r="H247" s="30" t="n">
        <x:f>IF($A247=0,"",Assumptions!$B$21)</x:f>
        <x:v>5459.5</x:v>
      </x:c>
      <x:c r="I247" s="31" t="n">
        <x:f>IF($A247=0,"",INDEX(Assumptions!$C$24:$C$35,$C247)*IF($A247=0,"",IF($A247=1,1-Assumptions!$B$16,(1-Assumptions!$B$16)*(1-Assumptions!$B$17)^($A247-1))))</x:f>
        <x:v>252.7600474045993</x:v>
      </x:c>
      <x:c r="J247" s="32" t="n">
        <x:f>IF($A247=0,"",IF($I247&gt;0,$K247/$I247,0))</x:f>
        <x:v>1</x:v>
      </x:c>
      <x:c r="K247" s="31" t="n">
        <x:f>IF($A247=0,"",LET(direct,MIN($I247,$D247),surplus,MAX(0,$I247-direct),deficit,MAX(0,$D247-direct),charge,MIN(surplus,Assumptions!$B$10,direct,deficit),direct+charge))</x:f>
        <x:v>252.7600474045993</x:v>
      </x:c>
      <x:c r="L247" s="31" t="n">
        <x:f>IF($A247=0,"",LET(direct,MIN($I247,$D247),surplus,MAX(0,$I247-direct),deficit,MAX(0,$D247-direct),charge,MIN(surplus,Assumptions!$B$10,direct,deficit),surplus-charge))</x:f>
        <x:v>0</x:v>
      </x:c>
      <x:c r="M247" s="31" t="n">
        <x:f>IF($A247=0,"",LET(direct,MIN($I247,$D247),surplus,MAX(0,$I247-direct),deficit,MAX(0,$D247-direct),charge,MIN(surplus,Assumptions!$B$10,direct,deficit),deficit-charge))</x:f>
        <x:v>654.9673076013623</x:v>
      </x:c>
      <x:c r="N247" s="30" t="n">
        <x:f>IF($A247=0,"",$M247*Assumptions!$B$11*IF($A247=0,1,(1+Assumptions!$B$14)^($A247-1)))</x:f>
        <x:v>333.95729197394064</x:v>
      </x:c>
      <x:c r="O247" s="30" t="n">
        <x:f>IF($A247=0,"",$B247*Assumptions!$B$13)</x:f>
        <x:v>21.7</x:v>
      </x:c>
      <x:c r="P247" s="30" t="n">
        <x:f>IF($A247=0,"",$L247*Assumptions!$B$12)</x:f>
        <x:v>0</x:v>
      </x:c>
      <x:c r="Q247" s="30" t="n">
        <x:f>IF($A247=0,"",$N247+$O247-$P247)</x:f>
        <x:v>355.65729197394063</x:v>
      </x:c>
      <x:c r="R247" s="30" t="n">
        <x:f>IF($A247=0,"",$G247-$Q247)</x:f>
        <x:v>128.8782813596867</x:v>
      </x:c>
      <x:c r="S247" s="30" t="n">
        <x:f>IF($A247=0,"",SUM($R$17:R247))</x:f>
        <x:v>24255.54936203369</x:v>
      </x:c>
      <x:c r="T247" s="30" t="n">
        <x:f>IF($A247=0,"",$S247-$H247)</x:f>
        <x:v>18796.04936203369</x:v>
      </x:c>
    </x:row>
    <x:row r="248">
      <x:c r="A248" s="40" t="n">
        <x:v>20</x:v>
      </x:c>
      <x:c r="B248" s="40" t="n">
        <x:v>30</x:v>
      </x:c>
      <x:c r="C248" s="40" t="n">
        <x:v>4</x:v>
      </x:c>
      <x:c r="D248" s="31" t="n">
        <x:f>INDEX(Assumptions!$D$24:$D$35,$C248)</x:f>
        <x:v>951.0050269274262</x:v>
      </x:c>
      <x:c r="E248" s="30" t="n">
        <x:f>$D248*Assumptions!$B$11*IF($A248=0,1,(1+Assumptions!$B$14)^($A248-1))</x:f>
        <x:v>484.90216192529107</x:v>
      </x:c>
      <x:c r="F248" s="30" t="n">
        <x:f>$B248*Assumptions!$B$13</x:f>
        <x:v>21</x:v>
      </x:c>
      <x:c r="G248" s="30" t="n">
        <x:f>$E248+$F248</x:f>
        <x:v>505.90216192529107</x:v>
      </x:c>
      <x:c r="H248" s="30" t="n">
        <x:f>IF($A248=0,"",Assumptions!$B$21)</x:f>
        <x:v>5459.5</x:v>
      </x:c>
      <x:c r="I248" s="31" t="n">
        <x:f>IF($A248=0,"",INDEX(Assumptions!$C$24:$C$35,$C248)*IF($A248=0,"",IF($A248=1,1-Assumptions!$B$16,(1-Assumptions!$B$16)*(1-Assumptions!$B$17)^($A248-1))))</x:f>
        <x:v>336.6001162545595</x:v>
      </x:c>
      <x:c r="J248" s="32" t="n">
        <x:f>IF($A248=0,"",IF($I248&gt;0,$K248/$I248,0))</x:f>
        <x:v>1</x:v>
      </x:c>
      <x:c r="K248" s="31" t="n">
        <x:f>IF($A248=0,"",LET(direct,MIN($I248,$D248),surplus,MAX(0,$I248-direct),deficit,MAX(0,$D248-direct),charge,MIN(surplus,Assumptions!$B$10,direct,deficit),direct+charge))</x:f>
        <x:v>336.6001162545595</x:v>
      </x:c>
      <x:c r="L248" s="31" t="n">
        <x:f>IF($A248=0,"",LET(direct,MIN($I248,$D248),surplus,MAX(0,$I248-direct),deficit,MAX(0,$D248-direct),charge,MIN(surplus,Assumptions!$B$10,direct,deficit),surplus-charge))</x:f>
        <x:v>0</x:v>
      </x:c>
      <x:c r="M248" s="31" t="n">
        <x:f>IF($A248=0,"",LET(direct,MIN($I248,$D248),surplus,MAX(0,$I248-direct),deficit,MAX(0,$D248-direct),charge,MIN(surplus,Assumptions!$B$10,direct,deficit),deficit-charge))</x:f>
        <x:v>614.4049106728667</x:v>
      </x:c>
      <x:c r="N248" s="30" t="n">
        <x:f>IF($A248=0,"",$M248*Assumptions!$B$11*IF($A248=0,1,(1+Assumptions!$B$14)^($A248-1)))</x:f>
        <x:v>313.2751784134617</x:v>
      </x:c>
      <x:c r="O248" s="30" t="n">
        <x:f>IF($A248=0,"",$B248*Assumptions!$B$13)</x:f>
        <x:v>21</x:v>
      </x:c>
      <x:c r="P248" s="30" t="n">
        <x:f>IF($A248=0,"",$L248*Assumptions!$B$12)</x:f>
        <x:v>0</x:v>
      </x:c>
      <x:c r="Q248" s="30" t="n">
        <x:f>IF($A248=0,"",$N248+$O248-$P248)</x:f>
        <x:v>334.2751784134617</x:v>
      </x:c>
      <x:c r="R248" s="30" t="n">
        <x:f>IF($A248=0,"",$G248-$Q248)</x:f>
        <x:v>171.6269835118294</x:v>
      </x:c>
      <x:c r="S248" s="30" t="n">
        <x:f>IF($A248=0,"",SUM($R$17:R248))</x:f>
        <x:v>24427.17634554552</x:v>
      </x:c>
      <x:c r="T248" s="30" t="n">
        <x:f>IF($A248=0,"",$S248-$H248)</x:f>
        <x:v>18967.67634554552</x:v>
      </x:c>
    </x:row>
    <x:row r="249">
      <x:c r="A249" s="40" t="n">
        <x:v>20</x:v>
      </x:c>
      <x:c r="B249" s="40" t="n">
        <x:v>31</x:v>
      </x:c>
      <x:c r="C249" s="40" t="n">
        <x:v>5</x:v>
      </x:c>
      <x:c r="D249" s="31" t="n">
        <x:f>INDEX(Assumptions!$D$24:$D$35,$C249)</x:f>
        <x:v>480.47094299256736</x:v>
      </x:c>
      <x:c r="E249" s="30" t="n">
        <x:f>$D249*Assumptions!$B$11*IF($A249=0,1,(1+Assumptions!$B$14)^($A249-1))</x:f>
        <x:v>244.98440323928872</x:v>
      </x:c>
      <x:c r="F249" s="30" t="n">
        <x:f>$B249*Assumptions!$B$13</x:f>
        <x:v>21.7</x:v>
      </x:c>
      <x:c r="G249" s="30" t="n">
        <x:f>$E249+$F249</x:f>
        <x:v>266.6844032392887</x:v>
      </x:c>
      <x:c r="H249" s="30" t="n">
        <x:f>IF($A249=0,"",Assumptions!$B$21)</x:f>
        <x:v>5459.5</x:v>
      </x:c>
      <x:c r="I249" s="31" t="n">
        <x:f>IF($A249=0,"",INDEX(Assumptions!$C$24:$C$35,$C249)*IF($A249=0,"",IF($A249=1,1-Assumptions!$B$16,(1-Assumptions!$B$16)*(1-Assumptions!$B$17)^($A249-1))))</x:f>
        <x:v>372.91913735149166</x:v>
      </x:c>
      <x:c r="J249" s="32" t="n">
        <x:f>IF($A249=0,"",IF($I249&gt;0,$K249/$I249,0))</x:f>
        <x:v>1</x:v>
      </x:c>
      <x:c r="K249" s="31" t="n">
        <x:f>IF($A249=0,"",LET(direct,MIN($I249,$D249),surplus,MAX(0,$I249-direct),deficit,MAX(0,$D249-direct),charge,MIN(surplus,Assumptions!$B$10,direct,deficit),direct+charge))</x:f>
        <x:v>372.91913735149166</x:v>
      </x:c>
      <x:c r="L249" s="31" t="n">
        <x:f>IF($A249=0,"",LET(direct,MIN($I249,$D249),surplus,MAX(0,$I249-direct),deficit,MAX(0,$D249-direct),charge,MIN(surplus,Assumptions!$B$10,direct,deficit),surplus-charge))</x:f>
        <x:v>0</x:v>
      </x:c>
      <x:c r="M249" s="31" t="n">
        <x:f>IF($A249=0,"",LET(direct,MIN($I249,$D249),surplus,MAX(0,$I249-direct),deficit,MAX(0,$D249-direct),charge,MIN(surplus,Assumptions!$B$10,direct,deficit),deficit-charge))</x:f>
        <x:v>107.5518056410757</x:v>
      </x:c>
      <x:c r="N249" s="30" t="n">
        <x:f>IF($A249=0,"",$M249*Assumptions!$B$11*IF($A249=0,1,(1+Assumptions!$B$14)^($A249-1)))</x:f>
        <x:v>54.838935229210094</x:v>
      </x:c>
      <x:c r="O249" s="30" t="n">
        <x:f>IF($A249=0,"",$B249*Assumptions!$B$13)</x:f>
        <x:v>21.7</x:v>
      </x:c>
      <x:c r="P249" s="30" t="n">
        <x:f>IF($A249=0,"",$L249*Assumptions!$B$12)</x:f>
        <x:v>0</x:v>
      </x:c>
      <x:c r="Q249" s="30" t="n">
        <x:f>IF($A249=0,"",$N249+$O249-$P249)</x:f>
        <x:v>76.5389352292101</x:v>
      </x:c>
      <x:c r="R249" s="30" t="n">
        <x:f>IF($A249=0,"",$G249-$Q249)</x:f>
        <x:v>190.14546801007862</x:v>
      </x:c>
      <x:c r="S249" s="30" t="n">
        <x:f>IF($A249=0,"",SUM($R$17:R249))</x:f>
        <x:v>24617.321813555598</x:v>
      </x:c>
      <x:c r="T249" s="30" t="n">
        <x:f>IF($A249=0,"",$S249-$H249)</x:f>
        <x:v>19157.821813555598</x:v>
      </x:c>
    </x:row>
    <x:row r="250">
      <x:c r="A250" s="40" t="n">
        <x:v>20</x:v>
      </x:c>
      <x:c r="B250" s="40" t="n">
        <x:v>30</x:v>
      </x:c>
      <x:c r="C250" s="40" t="n">
        <x:v>6</x:v>
      </x:c>
      <x:c r="D250" s="31" t="n">
        <x:f>INDEX(Assumptions!$D$24:$D$35,$C250)</x:f>
        <x:v>491.73724202799656</x:v>
      </x:c>
      <x:c r="E250" s="30" t="n">
        <x:f>$D250*Assumptions!$B$11*IF($A250=0,1,(1+Assumptions!$B$14)^($A250-1))</x:f>
        <x:v>250.72890784703705</x:v>
      </x:c>
      <x:c r="F250" s="30" t="n">
        <x:f>$B250*Assumptions!$B$13</x:f>
        <x:v>21</x:v>
      </x:c>
      <x:c r="G250" s="30" t="n">
        <x:f>$E250+$F250</x:f>
        <x:v>271.728907847037</x:v>
      </x:c>
      <x:c r="H250" s="30" t="n">
        <x:f>IF($A250=0,"",Assumptions!$B$21)</x:f>
        <x:v>5459.5</x:v>
      </x:c>
      <x:c r="I250" s="31" t="n">
        <x:f>IF($A250=0,"",INDEX(Assumptions!$C$24:$C$35,$C250)*IF($A250=0,"",IF($A250=1,1-Assumptions!$B$16,(1-Assumptions!$B$16)*(1-Assumptions!$B$17)^($A250-1))))</x:f>
        <x:v>382.3932530088964</x:v>
      </x:c>
      <x:c r="J250" s="32" t="n">
        <x:f>IF($A250=0,"",IF($I250&gt;0,$K250/$I250,0))</x:f>
        <x:v>1</x:v>
      </x:c>
      <x:c r="K250" s="31" t="n">
        <x:f>IF($A250=0,"",LET(direct,MIN($I250,$D250),surplus,MAX(0,$I250-direct),deficit,MAX(0,$D250-direct),charge,MIN(surplus,Assumptions!$B$10,direct,deficit),direct+charge))</x:f>
        <x:v>382.3932530088964</x:v>
      </x:c>
      <x:c r="L250" s="31" t="n">
        <x:f>IF($A250=0,"",LET(direct,MIN($I250,$D250),surplus,MAX(0,$I250-direct),deficit,MAX(0,$D250-direct),charge,MIN(surplus,Assumptions!$B$10,direct,deficit),surplus-charge))</x:f>
        <x:v>0</x:v>
      </x:c>
      <x:c r="M250" s="31" t="n">
        <x:f>IF($A250=0,"",LET(direct,MIN($I250,$D250),surplus,MAX(0,$I250-direct),deficit,MAX(0,$D250-direct),charge,MIN(surplus,Assumptions!$B$10,direct,deficit),deficit-charge))</x:f>
        <x:v>109.34398901910015</x:v>
      </x:c>
      <x:c r="N250" s="30" t="n">
        <x:f>IF($A250=0,"",$M250*Assumptions!$B$11*IF($A250=0,1,(1+Assumptions!$B$14)^($A250-1)))</x:f>
        <x:v>55.752740698123716</x:v>
      </x:c>
      <x:c r="O250" s="30" t="n">
        <x:f>IF($A250=0,"",$B250*Assumptions!$B$13)</x:f>
        <x:v>21</x:v>
      </x:c>
      <x:c r="P250" s="30" t="n">
        <x:f>IF($A250=0,"",$L250*Assumptions!$B$12)</x:f>
        <x:v>0</x:v>
      </x:c>
      <x:c r="Q250" s="30" t="n">
        <x:f>IF($A250=0,"",$N250+$O250-$P250)</x:f>
        <x:v>76.75274069812372</x:v>
      </x:c>
      <x:c r="R250" s="30" t="n">
        <x:f>IF($A250=0,"",$G250-$Q250)</x:f>
        <x:v>194.9761671489133</x:v>
      </x:c>
      <x:c r="S250" s="30" t="n">
        <x:f>IF($A250=0,"",SUM($R$17:R250))</x:f>
        <x:v>24812.297980704512</x:v>
      </x:c>
      <x:c r="T250" s="30" t="n">
        <x:f>IF($A250=0,"",$S250-$H250)</x:f>
        <x:v>19352.797980704512</x:v>
      </x:c>
    </x:row>
    <x:row r="251">
      <x:c r="A251" s="40" t="n">
        <x:v>20</x:v>
      </x:c>
      <x:c r="B251" s="40" t="n">
        <x:v>31</x:v>
      </x:c>
      <x:c r="C251" s="40" t="n">
        <x:v>7</x:v>
      </x:c>
      <x:c r="D251" s="31" t="n">
        <x:f>INDEX(Assumptions!$D$24:$D$35,$C251)</x:f>
        <x:v>504.2215193375261</x:v>
      </x:c>
      <x:c r="E251" s="30" t="n">
        <x:f>$D251*Assumptions!$B$11*IF($A251=0,1,(1+Assumptions!$B$14)^($A251-1))</x:f>
        <x:v>257.09443997994737</x:v>
      </x:c>
      <x:c r="F251" s="30" t="n">
        <x:f>$B251*Assumptions!$B$13</x:f>
        <x:v>21.7</x:v>
      </x:c>
      <x:c r="G251" s="30" t="n">
        <x:f>$E251+$F251</x:f>
        <x:v>278.79443997994736</x:v>
      </x:c>
      <x:c r="H251" s="30" t="n">
        <x:f>IF($A251=0,"",Assumptions!$B$21)</x:f>
        <x:v>5459.5</x:v>
      </x:c>
      <x:c r="I251" s="31" t="n">
        <x:f>IF($A251=0,"",INDEX(Assumptions!$C$24:$C$35,$C251)*IF($A251=0,"",IF($A251=1,1-Assumptions!$B$16,(1-Assumptions!$B$16)*(1-Assumptions!$B$17)^($A251-1))))</x:f>
        <x:v>395.12198189008143</x:v>
      </x:c>
      <x:c r="J251" s="32" t="n">
        <x:f>IF($A251=0,"",IF($I251&gt;0,$K251/$I251,0))</x:f>
        <x:v>1</x:v>
      </x:c>
      <x:c r="K251" s="31" t="n">
        <x:f>IF($A251=0,"",LET(direct,MIN($I251,$D251),surplus,MAX(0,$I251-direct),deficit,MAX(0,$D251-direct),charge,MIN(surplus,Assumptions!$B$10,direct,deficit),direct+charge))</x:f>
        <x:v>395.12198189008143</x:v>
      </x:c>
      <x:c r="L251" s="31" t="n">
        <x:f>IF($A251=0,"",LET(direct,MIN($I251,$D251),surplus,MAX(0,$I251-direct),deficit,MAX(0,$D251-direct),charge,MIN(surplus,Assumptions!$B$10,direct,deficit),surplus-charge))</x:f>
        <x:v>0</x:v>
      </x:c>
      <x:c r="M251" s="31" t="n">
        <x:f>IF($A251=0,"",LET(direct,MIN($I251,$D251),surplus,MAX(0,$I251-direct),deficit,MAX(0,$D251-direct),charge,MIN(surplus,Assumptions!$B$10,direct,deficit),deficit-charge))</x:f>
        <x:v>109.09953744744467</x:v>
      </x:c>
      <x:c r="N251" s="30" t="n">
        <x:f>IF($A251=0,"",$M251*Assumptions!$B$11*IF($A251=0,1,(1+Assumptions!$B$14)^($A251-1)))</x:f>
        <x:v>55.62809877486832</x:v>
      </x:c>
      <x:c r="O251" s="30" t="n">
        <x:f>IF($A251=0,"",$B251*Assumptions!$B$13)</x:f>
        <x:v>21.7</x:v>
      </x:c>
      <x:c r="P251" s="30" t="n">
        <x:f>IF($A251=0,"",$L251*Assumptions!$B$12)</x:f>
        <x:v>0</x:v>
      </x:c>
      <x:c r="Q251" s="30" t="n">
        <x:f>IF($A251=0,"",$N251+$O251-$P251)</x:f>
        <x:v>77.32809877486832</x:v>
      </x:c>
      <x:c r="R251" s="30" t="n">
        <x:f>IF($A251=0,"",$G251-$Q251)</x:f>
        <x:v>201.46634120507903</x:v>
      </x:c>
      <x:c r="S251" s="30" t="n">
        <x:f>IF($A251=0,"",SUM($R$17:R251))</x:f>
        <x:v>25013.76432190959</x:v>
      </x:c>
      <x:c r="T251" s="30" t="n">
        <x:f>IF($A251=0,"",$S251-$H251)</x:f>
        <x:v>19554.26432190959</x:v>
      </x:c>
    </x:row>
    <x:row r="252">
      <x:c r="A252" s="40" t="n">
        <x:v>20</x:v>
      </x:c>
      <x:c r="B252" s="40" t="n">
        <x:v>31</x:v>
      </x:c>
      <x:c r="C252" s="40" t="n">
        <x:v>8</x:v>
      </x:c>
      <x:c r="D252" s="31" t="n">
        <x:f>INDEX(Assumptions!$D$24:$D$35,$C252)</x:f>
        <x:v>495.0866822817727</x:v>
      </x:c>
      <x:c r="E252" s="30" t="n">
        <x:f>$D252*Assumptions!$B$11*IF($A252=0,1,(1+Assumptions!$B$14)^($A252-1))</x:f>
        <x:v>252.43673354123248</x:v>
      </x:c>
      <x:c r="F252" s="30" t="n">
        <x:f>$B252*Assumptions!$B$13</x:f>
        <x:v>21.7</x:v>
      </x:c>
      <x:c r="G252" s="30" t="n">
        <x:f>$E252+$F252</x:f>
        <x:v>274.1367335412325</x:v>
      </x:c>
      <x:c r="H252" s="30" t="n">
        <x:f>IF($A252=0,"",Assumptions!$B$21)</x:f>
        <x:v>5459.5</x:v>
      </x:c>
      <x:c r="I252" s="31" t="n">
        <x:f>IF($A252=0,"",INDEX(Assumptions!$C$24:$C$35,$C252)*IF($A252=0,"",IF($A252=1,1-Assumptions!$B$16,(1-Assumptions!$B$16)*(1-Assumptions!$B$17)^($A252-1))))</x:f>
        <x:v>329.6905558422885</x:v>
      </x:c>
      <x:c r="J252" s="32" t="n">
        <x:f>IF($A252=0,"",IF($I252&gt;0,$K252/$I252,0))</x:f>
        <x:v>1</x:v>
      </x:c>
      <x:c r="K252" s="31" t="n">
        <x:f>IF($A252=0,"",LET(direct,MIN($I252,$D252),surplus,MAX(0,$I252-direct),deficit,MAX(0,$D252-direct),charge,MIN(surplus,Assumptions!$B$10,direct,deficit),direct+charge))</x:f>
        <x:v>329.6905558422885</x:v>
      </x:c>
      <x:c r="L252" s="31" t="n">
        <x:f>IF($A252=0,"",LET(direct,MIN($I252,$D252),surplus,MAX(0,$I252-direct),deficit,MAX(0,$D252-direct),charge,MIN(surplus,Assumptions!$B$10,direct,deficit),surplus-charge))</x:f>
        <x:v>0</x:v>
      </x:c>
      <x:c r="M252" s="31" t="n">
        <x:f>IF($A252=0,"",LET(direct,MIN($I252,$D252),surplus,MAX(0,$I252-direct),deficit,MAX(0,$D252-direct),charge,MIN(surplus,Assumptions!$B$10,direct,deficit),deficit-charge))</x:f>
        <x:v>165.3961264394842</x:v>
      </x:c>
      <x:c r="N252" s="30" t="n">
        <x:f>IF($A252=0,"",$M252*Assumptions!$B$11*IF($A252=0,1,(1+Assumptions!$B$14)^($A252-1)))</x:f>
        <x:v>84.33282371145135</x:v>
      </x:c>
      <x:c r="O252" s="30" t="n">
        <x:f>IF($A252=0,"",$B252*Assumptions!$B$13)</x:f>
        <x:v>21.7</x:v>
      </x:c>
      <x:c r="P252" s="30" t="n">
        <x:f>IF($A252=0,"",$L252*Assumptions!$B$12)</x:f>
        <x:v>0</x:v>
      </x:c>
      <x:c r="Q252" s="30" t="n">
        <x:f>IF($A252=0,"",$N252+$O252-$P252)</x:f>
        <x:v>106.03282371145136</x:v>
      </x:c>
      <x:c r="R252" s="30" t="n">
        <x:f>IF($A252=0,"",$G252-$Q252)</x:f>
        <x:v>168.10390982978114</x:v>
      </x:c>
      <x:c r="S252" s="30" t="n">
        <x:f>IF($A252=0,"",SUM($R$17:R252))</x:f>
        <x:v>25181.868231739372</x:v>
      </x:c>
      <x:c r="T252" s="30" t="n">
        <x:f>IF($A252=0,"",$S252-$H252)</x:f>
        <x:v>19722.368231739372</x:v>
      </x:c>
    </x:row>
    <x:row r="253">
      <x:c r="A253" s="40" t="n">
        <x:v>20</x:v>
      </x:c>
      <x:c r="B253" s="40" t="n">
        <x:v>30</x:v>
      </x:c>
      <x:c r="C253" s="40" t="n">
        <x:v>9</x:v>
      </x:c>
      <x:c r="D253" s="31" t="n">
        <x:f>INDEX(Assumptions!$D$24:$D$35,$C253)</x:f>
        <x:v>484.7338669519189</x:v>
      </x:c>
      <x:c r="E253" s="30" t="n">
        <x:f>$D253*Assumptions!$B$11*IF($A253=0,1,(1+Assumptions!$B$14)^($A253-1))</x:f>
        <x:v>247.15799957735564</x:v>
      </x:c>
      <x:c r="F253" s="30" t="n">
        <x:f>$B253*Assumptions!$B$13</x:f>
        <x:v>21</x:v>
      </x:c>
      <x:c r="G253" s="30" t="n">
        <x:f>$E253+$F253</x:f>
        <x:v>268.15799957735567</x:v>
      </x:c>
      <x:c r="H253" s="30" t="n">
        <x:f>IF($A253=0,"",Assumptions!$B$21)</x:f>
        <x:v>5459.5</x:v>
      </x:c>
      <x:c r="I253" s="31" t="n">
        <x:f>IF($A253=0,"",INDEX(Assumptions!$C$24:$C$35,$C253)*IF($A253=0,"",IF($A253=1,1-Assumptions!$B$16,(1-Assumptions!$B$16)*(1-Assumptions!$B$17)^($A253-1))))</x:f>
        <x:v>242.75600041532638</x:v>
      </x:c>
      <x:c r="J253" s="32" t="n">
        <x:f>IF($A253=0,"",IF($I253&gt;0,$K253/$I253,0))</x:f>
        <x:v>1</x:v>
      </x:c>
      <x:c r="K253" s="31" t="n">
        <x:f>IF($A253=0,"",LET(direct,MIN($I253,$D253),surplus,MAX(0,$I253-direct),deficit,MAX(0,$D253-direct),charge,MIN(surplus,Assumptions!$B$10,direct,deficit),direct+charge))</x:f>
        <x:v>242.75600041532638</x:v>
      </x:c>
      <x:c r="L253" s="31" t="n">
        <x:f>IF($A253=0,"",LET(direct,MIN($I253,$D253),surplus,MAX(0,$I253-direct),deficit,MAX(0,$D253-direct),charge,MIN(surplus,Assumptions!$B$10,direct,deficit),surplus-charge))</x:f>
        <x:v>0</x:v>
      </x:c>
      <x:c r="M253" s="31" t="n">
        <x:f>IF($A253=0,"",LET(direct,MIN($I253,$D253),surplus,MAX(0,$I253-direct),deficit,MAX(0,$D253-direct),charge,MIN(surplus,Assumptions!$B$10,direct,deficit),deficit-charge))</x:f>
        <x:v>241.97786653659253</x:v>
      </x:c>
      <x:c r="N253" s="30" t="n">
        <x:f>IF($A253=0,"",$M253*Assumptions!$B$11*IF($A253=0,1,(1+Assumptions!$B$14)^($A253-1)))</x:f>
        <x:v>123.38062081623198</x:v>
      </x:c>
      <x:c r="O253" s="30" t="n">
        <x:f>IF($A253=0,"",$B253*Assumptions!$B$13)</x:f>
        <x:v>21</x:v>
      </x:c>
      <x:c r="P253" s="30" t="n">
        <x:f>IF($A253=0,"",$L253*Assumptions!$B$12)</x:f>
        <x:v>0</x:v>
      </x:c>
      <x:c r="Q253" s="30" t="n">
        <x:f>IF($A253=0,"",$N253+$O253-$P253)</x:f>
        <x:v>144.38062081623198</x:v>
      </x:c>
      <x:c r="R253" s="30" t="n">
        <x:f>IF($A253=0,"",$G253-$Q253)</x:f>
        <x:v>123.77737876112369</x:v>
      </x:c>
      <x:c r="S253" s="30" t="n">
        <x:f>IF($A253=0,"",SUM($R$17:R253))</x:f>
        <x:v>25305.645610500495</x:v>
      </x:c>
      <x:c r="T253" s="30" t="n">
        <x:f>IF($A253=0,"",$S253-$H253)</x:f>
        <x:v>19846.145610500495</x:v>
      </x:c>
    </x:row>
    <x:row r="254">
      <x:c r="A254" s="40" t="n">
        <x:v>20</x:v>
      </x:c>
      <x:c r="B254" s="40" t="n">
        <x:v>31</x:v>
      </x:c>
      <x:c r="C254" s="40" t="n">
        <x:v>10</x:v>
      </x:c>
      <x:c r="D254" s="31" t="n">
        <x:f>INDEX(Assumptions!$D$24:$D$35,$C254)</x:f>
        <x:v>965.136511636476</x:v>
      </x:c>
      <x:c r="E254" s="30" t="n">
        <x:f>$D254*Assumptions!$B$11*IF($A254=0,1,(1+Assumptions!$B$14)^($A254-1))</x:f>
        <x:v>492.10757860828346</x:v>
      </x:c>
      <x:c r="F254" s="30" t="n">
        <x:f>$B254*Assumptions!$B$13</x:f>
        <x:v>21.7</x:v>
      </x:c>
      <x:c r="G254" s="30" t="n">
        <x:f>$E254+$F254</x:f>
        <x:v>513.8075786082835</x:v>
      </x:c>
      <x:c r="H254" s="30" t="n">
        <x:f>IF($A254=0,"",Assumptions!$B$21)</x:f>
        <x:v>5459.5</x:v>
      </x:c>
      <x:c r="I254" s="31" t="n">
        <x:f>IF($A254=0,"",INDEX(Assumptions!$C$24:$C$35,$C254)*IF($A254=0,"",IF($A254=1,1-Assumptions!$B$16,(1-Assumptions!$B$16)*(1-Assumptions!$B$17)^($A254-1))))</x:f>
        <x:v>169.96805153684858</x:v>
      </x:c>
      <x:c r="J254" s="32" t="n">
        <x:f>IF($A254=0,"",IF($I254&gt;0,$K254/$I254,0))</x:f>
        <x:v>1</x:v>
      </x:c>
      <x:c r="K254" s="31" t="n">
        <x:f>IF($A254=0,"",LET(direct,MIN($I254,$D254),surplus,MAX(0,$I254-direct),deficit,MAX(0,$D254-direct),charge,MIN(surplus,Assumptions!$B$10,direct,deficit),direct+charge))</x:f>
        <x:v>169.96805153684858</x:v>
      </x:c>
      <x:c r="L254" s="31" t="n">
        <x:f>IF($A254=0,"",LET(direct,MIN($I254,$D254),surplus,MAX(0,$I254-direct),deficit,MAX(0,$D254-direct),charge,MIN(surplus,Assumptions!$B$10,direct,deficit),surplus-charge))</x:f>
        <x:v>0</x:v>
      </x:c>
      <x:c r="M254" s="31" t="n">
        <x:f>IF($A254=0,"",LET(direct,MIN($I254,$D254),surplus,MAX(0,$I254-direct),deficit,MAX(0,$D254-direct),charge,MIN(surplus,Assumptions!$B$10,direct,deficit),deficit-charge))</x:f>
        <x:v>795.1684600996275</x:v>
      </x:c>
      <x:c r="N254" s="30" t="n">
        <x:f>IF($A254=0,"",$M254*Assumptions!$B$11*IF($A254=0,1,(1+Assumptions!$B$14)^($A254-1)))</x:f>
        <x:v>405.44360385020184</x:v>
      </x:c>
      <x:c r="O254" s="30" t="n">
        <x:f>IF($A254=0,"",$B254*Assumptions!$B$13)</x:f>
        <x:v>21.7</x:v>
      </x:c>
      <x:c r="P254" s="30" t="n">
        <x:f>IF($A254=0,"",$L254*Assumptions!$B$12)</x:f>
        <x:v>0</x:v>
      </x:c>
      <x:c r="Q254" s="30" t="n">
        <x:f>IF($A254=0,"",$N254+$O254-$P254)</x:f>
        <x:v>427.1436038502018</x:v>
      </x:c>
      <x:c r="R254" s="30" t="n">
        <x:f>IF($A254=0,"",$G254-$Q254)</x:f>
        <x:v>86.66397475808168</x:v>
      </x:c>
      <x:c r="S254" s="30" t="n">
        <x:f>IF($A254=0,"",SUM($R$17:R254))</x:f>
        <x:v>25392.309585258576</x:v>
      </x:c>
      <x:c r="T254" s="30" t="n">
        <x:f>IF($A254=0,"",$S254-$H254)</x:f>
        <x:v>19932.809585258576</x:v>
      </x:c>
    </x:row>
    <x:row r="255">
      <x:c r="A255" s="40" t="n">
        <x:v>20</x:v>
      </x:c>
      <x:c r="B255" s="40" t="n">
        <x:v>30</x:v>
      </x:c>
      <x:c r="C255" s="40" t="n">
        <x:v>11</x:v>
      </x:c>
      <x:c r="D255" s="31" t="n">
        <x:f>INDEX(Assumptions!$D$24:$D$35,$C255)</x:f>
        <x:v>948.3553735444794</x:v>
      </x:c>
      <x:c r="E255" s="30" t="n">
        <x:f>$D255*Assumptions!$B$11*IF($A255=0,1,(1+Assumptions!$B$14)^($A255-1))</x:f>
        <x:v>483.5511462972301</x:v>
      </x:c>
      <x:c r="F255" s="30" t="n">
        <x:f>$B255*Assumptions!$B$13</x:f>
        <x:v>21</x:v>
      </x:c>
      <x:c r="G255" s="30" t="n">
        <x:f>$E255+$F255</x:f>
        <x:v>504.5511462972301</x:v>
      </x:c>
      <x:c r="H255" s="30" t="n">
        <x:f>IF($A255=0,"",Assumptions!$B$21)</x:f>
        <x:v>5459.5</x:v>
      </x:c>
      <x:c r="I255" s="31" t="n">
        <x:f>IF($A255=0,"",INDEX(Assumptions!$C$24:$C$35,$C255)*IF($A255=0,"",IF($A255=1,1-Assumptions!$B$16,(1-Assumptions!$B$16)*(1-Assumptions!$B$17)^($A255-1))))</x:f>
        <x:v>100.91708716701599</x:v>
      </x:c>
      <x:c r="J255" s="32" t="n">
        <x:f>IF($A255=0,"",IF($I255&gt;0,$K255/$I255,0))</x:f>
        <x:v>1</x:v>
      </x:c>
      <x:c r="K255" s="31" t="n">
        <x:f>IF($A255=0,"",LET(direct,MIN($I255,$D255),surplus,MAX(0,$I255-direct),deficit,MAX(0,$D255-direct),charge,MIN(surplus,Assumptions!$B$10,direct,deficit),direct+charge))</x:f>
        <x:v>100.91708716701599</x:v>
      </x:c>
      <x:c r="L255" s="31" t="n">
        <x:f>IF($A255=0,"",LET(direct,MIN($I255,$D255),surplus,MAX(0,$I255-direct),deficit,MAX(0,$D255-direct),charge,MIN(surplus,Assumptions!$B$10,direct,deficit),surplus-charge))</x:f>
        <x:v>0</x:v>
      </x:c>
      <x:c r="M255" s="31" t="n">
        <x:f>IF($A255=0,"",LET(direct,MIN($I255,$D255),surplus,MAX(0,$I255-direct),deficit,MAX(0,$D255-direct),charge,MIN(surplus,Assumptions!$B$10,direct,deficit),deficit-charge))</x:f>
        <x:v>847.4382863774634</x:v>
      </x:c>
      <x:c r="N255" s="30" t="n">
        <x:f>IF($A255=0,"",$M255*Assumptions!$B$11*IF($A255=0,1,(1+Assumptions!$B$14)^($A255-1)))</x:f>
        <x:v>432.0951472678753</x:v>
      </x:c>
      <x:c r="O255" s="30" t="n">
        <x:f>IF($A255=0,"",$B255*Assumptions!$B$13)</x:f>
        <x:v>21</x:v>
      </x:c>
      <x:c r="P255" s="30" t="n">
        <x:f>IF($A255=0,"",$L255*Assumptions!$B$12)</x:f>
        <x:v>0</x:v>
      </x:c>
      <x:c r="Q255" s="30" t="n">
        <x:f>IF($A255=0,"",$N255+$O255-$P255)</x:f>
        <x:v>453.0951472678753</x:v>
      </x:c>
      <x:c r="R255" s="30" t="n">
        <x:f>IF($A255=0,"",$G255-$Q255)</x:f>
        <x:v>51.455999029354814</x:v>
      </x:c>
      <x:c r="S255" s="30" t="n">
        <x:f>IF($A255=0,"",SUM($R$17:R255))</x:f>
        <x:v>25443.765584287932</x:v>
      </x:c>
      <x:c r="T255" s="30" t="n">
        <x:f>IF($A255=0,"",$S255-$H255)</x:f>
        <x:v>19984.265584287932</x:v>
      </x:c>
    </x:row>
    <x:row r="256">
      <x:c r="A256" s="40" t="n">
        <x:v>20</x:v>
      </x:c>
      <x:c r="B256" s="40" t="n">
        <x:v>31</x:v>
      </x:c>
      <x:c r="C256" s="40" t="n">
        <x:v>12</x:v>
      </x:c>
      <x:c r="D256" s="31" t="n">
        <x:f>INDEX(Assumptions!$D$24:$D$35,$C256)</x:f>
        <x:v>928.0413642752205</x:v>
      </x:c>
      <x:c r="E256" s="30" t="n">
        <x:f>$D256*Assumptions!$B$11*IF($A256=0,1,(1+Assumptions!$B$14)^($A256-1))</x:f>
        <x:v>473.1933598154287</x:v>
      </x:c>
      <x:c r="F256" s="30" t="n">
        <x:f>$B256*Assumptions!$B$13</x:f>
        <x:v>21.7</x:v>
      </x:c>
      <x:c r="G256" s="30" t="n">
        <x:f>$E256+$F256</x:f>
        <x:v>494.8933598154287</x:v>
      </x:c>
      <x:c r="H256" s="30" t="n">
        <x:f>IF($A256=0,"",Assumptions!$B$21)</x:f>
        <x:v>5459.5</x:v>
      </x:c>
      <x:c r="I256" s="31" t="n">
        <x:f>IF($A256=0,"",INDEX(Assumptions!$C$24:$C$35,$C256)*IF($A256=0,"",IF($A256=1,1-Assumptions!$B$16,(1-Assumptions!$B$16)*(1-Assumptions!$B$17)^($A256-1))))</x:f>
        <x:v>74.40810155599347</x:v>
      </x:c>
      <x:c r="J256" s="32" t="n">
        <x:f>IF($A256=0,"",IF($I256&gt;0,$K256/$I256,0))</x:f>
        <x:v>1</x:v>
      </x:c>
      <x:c r="K256" s="31" t="n">
        <x:f>IF($A256=0,"",LET(direct,MIN($I256,$D256),surplus,MAX(0,$I256-direct),deficit,MAX(0,$D256-direct),charge,MIN(surplus,Assumptions!$B$10,direct,deficit),direct+charge))</x:f>
        <x:v>74.40810155599347</x:v>
      </x:c>
      <x:c r="L256" s="31" t="n">
        <x:f>IF($A256=0,"",LET(direct,MIN($I256,$D256),surplus,MAX(0,$I256-direct),deficit,MAX(0,$D256-direct),charge,MIN(surplus,Assumptions!$B$10,direct,deficit),surplus-charge))</x:f>
        <x:v>0</x:v>
      </x:c>
      <x:c r="M256" s="31" t="n">
        <x:f>IF($A256=0,"",LET(direct,MIN($I256,$D256),surplus,MAX(0,$I256-direct),deficit,MAX(0,$D256-direct),charge,MIN(surplus,Assumptions!$B$10,direct,deficit),deficit-charge))</x:f>
        <x:v>853.6332627192271</x:v>
      </x:c>
      <x:c r="N256" s="30" t="n">
        <x:f>IF($A256=0,"",$M256*Assumptions!$B$11*IF($A256=0,1,(1+Assumptions!$B$14)^($A256-1)))</x:f>
        <x:v>435.2538660297547</x:v>
      </x:c>
      <x:c r="O256" s="30" t="n">
        <x:f>IF($A256=0,"",$B256*Assumptions!$B$13)</x:f>
        <x:v>21.7</x:v>
      </x:c>
      <x:c r="P256" s="30" t="n">
        <x:f>IF($A256=0,"",$L256*Assumptions!$B$12)</x:f>
        <x:v>0</x:v>
      </x:c>
      <x:c r="Q256" s="30" t="n">
        <x:f>IF($A256=0,"",$N256+$O256-$P256)</x:f>
        <x:v>456.9538660297547</x:v>
      </x:c>
      <x:c r="R256" s="30" t="n">
        <x:f>IF($A256=0,"",$G256-$Q256)</x:f>
        <x:v>37.93949378567402</x:v>
      </x:c>
      <x:c r="S256" s="30" t="n">
        <x:f>IF($A256=0,"",SUM($R$17:R256))</x:f>
        <x:v>25481.705078073606</x:v>
      </x:c>
      <x:c r="T256" s="30" t="n">
        <x:f>IF($A256=0,"",$S256-$H256)</x:f>
        <x:v>20022.205078073606</x:v>
      </x:c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</x:row>
  </x:sheetData>
  <x:conditionalFormatting sqref="T5:T256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pageMargins left="0.7" right="0.7" top="0.75" bottom="0.75" header="0.3" footer="0.3"/>
</x:worksheet>
</file>