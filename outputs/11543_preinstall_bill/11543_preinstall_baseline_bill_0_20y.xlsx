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99549939f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df801587c4c17"/>
    <x:sheet xmlns:r="http://schemas.openxmlformats.org/officeDocument/2006/relationships" name="Parameters" sheetId="2" r:id="Ra9c7dba910bc4ad0"/>
    <x:sheet xmlns:r="http://schemas.openxmlformats.org/officeDocument/2006/relationships" name="Baseline_Bill" sheetId="3" r:id="Rd9d3b11704b5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e0fb440104998" /><Relationship Type="http://schemas.openxmlformats.org/officeDocument/2006/relationships/theme" Target="/xl/theme/theme1.xml" Id="Rc8d9affc243a43eb" /><Relationship Type="http://schemas.openxmlformats.org/officeDocument/2006/relationships/sharedStrings" Target="/xl/sharedStrings.xml" Id="R986c686b24fb4b36" /><Relationship Type="http://schemas.openxmlformats.org/officeDocument/2006/relationships/worksheet" Target="/xl/worksheets/sheet1.xml" Id="R6b3df801587c4c17" /><Relationship Type="http://schemas.openxmlformats.org/officeDocument/2006/relationships/worksheet" Target="/xl/worksheets/sheet2.xml" Id="Ra9c7dba910bc4ad0" /><Relationship Type="http://schemas.openxmlformats.org/officeDocument/2006/relationships/worksheet" Target="/xl/worksheets/sheet3.xml" Id="Rd9d3b11704b5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Project 11543 - Pre-install Electricity Bill</x:v>
      </x:c>
      <x:c r="B1" t="str"/>
      <x:c r="C1" t="str"/>
      <x:c r="D1" t="str"/>
    </x:row>
    <x:row r="3">
      <x:c r="A3" s="1" t="str">
        <x:v>Item</x:v>
      </x:c>
      <x:c r="B3" s="1" t="str">
        <x:v>Value</x:v>
      </x:c>
      <x:c r="C3" s="1" t="str">
        <x:v>Formula / Meaning</x:v>
      </x:c>
      <x:c r="D3" s="1" t="str">
        <x:v>Code口径</x:v>
      </x:c>
    </x:row>
    <x:row r="4">
      <x:c r="A4" t="str">
        <x:v>Monthly bill</x:v>
      </x:c>
      <x:c r="B4" t="n">
        <x:f>Baseline_Bill!I14</x:f>
        <x:v>344.350593900254</x:v>
      </x:c>
      <x:c r="C4" t="str">
        <x:v>Buy cost + fixed cost</x:v>
      </x:c>
      <x:c r="D4" t="str">
        <x:v>账单名义金额不使用贴现率</x:v>
      </x:c>
    </x:row>
    <x:row r="5">
      <x:c r="A5" t="str">
        <x:v>Buy cost</x:v>
      </x:c>
      <x:c r="B5" t="n">
        <x:f>Baseline_Bill!G14</x:f>
        <x:v>322.650593900254</x:v>
      </x:c>
      <x:c r="C5" t="str">
        <x:v>Load kWh x grid_buy x inflation factor</x:v>
      </x:c>
      <x:c r="D5" t="str">
        <x:v>grid_buy = 0.35 EUR/kWh</x:v>
      </x:c>
    </x:row>
    <x:row r="6">
      <x:c r="A6" t="str">
        <x:v>Fixed cost</x:v>
      </x:c>
      <x:c r="B6" t="n">
        <x:f>Baseline_Bill!H14</x:f>
        <x:v>21.7</x:v>
      </x:c>
      <x:c r="C6" t="str">
        <x:v>Days x daily_fixed</x:v>
      </x:c>
      <x:c r="D6" t="str">
        <x:v>daily_fixed = 0.70 EUR/day</x:v>
      </x:c>
    </x:row>
    <x:row r="7">
      <x:c r="A7" t="str">
        <x:v>Inflation factor</x:v>
      </x:c>
      <x:c r="B7" t="n">
        <x:f>Baseline_Bill!E14</x:f>
        <x:v>1</x:v>
      </x:c>
      <x:c r="C7" t="str">
        <x:v>Year 0/1 = 1; Year y&gt;=2 = (1+2%)^(y-1)</x:v>
      </x:c>
      <x:c r="D7" t="str">
        <x:v>只作用于买电单价</x:v>
      </x:c>
    </x:row>
    <x:row r="8">
      <x:c r="A8" t="str">
        <x:v>Discount factor</x:v>
      </x:c>
      <x:c r="B8" t="str"/>
      <x:c r="C8" t="str">
        <x:v>(1+3.5%)^(month_index/12)</x:v>
      </x:c>
      <x:c r="D8" t="str">
        <x:v>只用于现值/NPV，不改变账单</x:v>
      </x:c>
    </x:row>
    <x:row r="9">
      <x:c r="A9" t="str">
        <x:v>Year 0 nominal total</x:v>
      </x:c>
      <x:c r="B9" t="n">
        <x:f>SUM(Baseline_Bill!I2:I13)</x:f>
        <x:v>3406.200069643592</x:v>
      </x:c>
      <x:c r="C9" t="str">
        <x:v>SUM year 0 monthly bills</x:v>
      </x:c>
      <x:c r="D9" t="str"/>
    </x:row>
    <x:row r="10">
      <x:c r="A10" t="str">
        <x:v>Year 1 nominal total</x:v>
      </x:c>
      <x:c r="B10" t="n">
        <x:f>SUM(Baseline_Bill!I14:I25)</x:f>
        <x:v>3406.200069643592</x:v>
      </x:c>
      <x:c r="C10" t="str">
        <x:v>SUM year 1 monthly bills</x:v>
      </x:c>
      <x:c r="D10" t="str"/>
    </x:row>
    <x:row r="11">
      <x:c r="A11" t="str">
        <x:v>Years 1-20 PV total</x:v>
      </x:c>
      <x:c r="B11" t="n">
        <x:f>SUM(Baseline_Bill!L14:L253)</x:f>
        <x:v>57737.57865104288</x:v>
      </x:c>
      <x:c r="C11" t="str">
        <x:v>SUM discounted monthly bills, excluding year 0 reference</x:v>
      </x:c>
      <x:c r="D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Parameter</x:v>
      </x:c>
      <x:c r="B1" s="1" t="str">
        <x:v>Value</x:v>
      </x:c>
      <x:c r="C1" s="1" t="str">
        <x:v>Note</x:v>
      </x:c>
    </x:row>
    <x:row r="2">
      <x:c r="A2" t="str">
        <x:v>grid_buy</x:v>
      </x:c>
      <x:c r="B2" t="n">
        <x:v>0.35</x:v>
      </x:c>
      <x:c r="C2" t="str">
        <x:v>EUR/kWh, year 1 base price</x:v>
      </x:c>
    </x:row>
    <x:row r="3">
      <x:c r="A3" t="str">
        <x:v>grid_sell</x:v>
      </x:c>
      <x:c r="B3" t="n">
        <x:v>0.07</x:v>
      </x:c>
      <x:c r="C3" t="str">
        <x:v>Not used in pre-install bill</x:v>
      </x:c>
    </x:row>
    <x:row r="4">
      <x:c r="A4" t="str">
        <x:v>daily_fixed</x:v>
      </x:c>
      <x:c r="B4" t="n">
        <x:v>0.7</x:v>
      </x:c>
      <x:c r="C4" t="str">
        <x:v>EUR/day</x:v>
      </x:c>
    </x:row>
    <x:row r="5">
      <x:c r="A5" t="str">
        <x:v>electricity_inflation</x:v>
      </x:c>
      <x:c r="B5" t="n">
        <x:v>0.02</x:v>
      </x:c>
      <x:c r="C5" t="str">
        <x:v>Applied to grid_buy only</x:v>
      </x:c>
    </x:row>
    <x:row r="6">
      <x:c r="A6" t="str">
        <x:v>cash_discount_rate</x:v>
      </x:c>
      <x:c r="B6" t="n">
        <x:v>0.035</x:v>
      </x:c>
      <x:c r="C6" t="str">
        <x:v>Annual discount rate for present value</x:v>
      </x:c>
    </x:row>
    <x:row r="7">
      <x:c r="A7" t="str">
        <x:v>pv_degradation</x:v>
      </x:c>
      <x:c r="B7" t="n">
        <x:v>0.004</x:v>
      </x:c>
      <x:c r="C7" t="str">
        <x:v>Not used before installation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Year</x:v>
      </x:c>
      <x:c r="B1" s="1" t="str">
        <x:v>Month</x:v>
      </x:c>
      <x:c r="C1" s="1" t="str">
        <x:v>Days</x:v>
      </x:c>
      <x:c r="D1" s="1" t="str">
        <x:v>Load kWh</x:v>
      </x:c>
      <x:c r="E1" s="1" t="str">
        <x:v>Inflation Factor</x:v>
      </x:c>
      <x:c r="F1" s="1" t="str">
        <x:v>Grid Buy Rate</x:v>
      </x:c>
      <x:c r="G1" s="1" t="str">
        <x:v>Buy Cost</x:v>
      </x:c>
      <x:c r="H1" s="1" t="str">
        <x:v>Fixed Cost</x:v>
      </x:c>
      <x:c r="I1" s="1" t="str">
        <x:v>Monthly Bill Nominal</x:v>
      </x:c>
      <x:c r="J1" s="1" t="str">
        <x:v>Discount Month Index</x:v>
      </x:c>
      <x:c r="K1" s="1" t="str">
        <x:v>Discount Factor</x:v>
      </x:c>
      <x:c r="L1" s="1" t="str">
        <x:v>Present Value</x:v>
      </x:c>
    </x:row>
    <x:row r="2">
      <x:c r="A2" t="n">
        <x:v>0</x:v>
      </x:c>
      <x:c r="B2" t="n">
        <x:v>1</x:v>
      </x:c>
      <x:c r="C2" t="n">
        <x:v>31</x:v>
      </x:c>
      <x:c r="D2" t="n">
        <x:v>921.8588397150115</x:v>
      </x:c>
      <x:c r="E2" t="n">
        <x:f>IF(A2=0,1,(1+Parameters!$B$5)^(A2-1))</x:f>
        <x:v>1</x:v>
      </x:c>
      <x:c r="F2" t="n">
        <x:f>Parameters!$B$2*E2</x:f>
        <x:v>0.35</x:v>
      </x:c>
      <x:c r="G2" t="n">
        <x:f>D2*F2</x:f>
        <x:v>322.650593900254</x:v>
      </x:c>
      <x:c r="H2" t="n">
        <x:f>C2*Parameters!$B$4</x:f>
        <x:v>21.7</x:v>
      </x:c>
      <x:c r="I2" t="n">
        <x:f>G2+H2</x:f>
        <x:v>344.350593900254</x:v>
      </x:c>
      <x:c r="J2" t="n">
        <x:f>IF(A2=0,0,(A2-1)*12+B2)</x:f>
        <x:v>0</x:v>
      </x:c>
      <x:c r="K2" t="n">
        <x:f>(1+Parameters!$B$6)^(J2/12)</x:f>
        <x:v>1</x:v>
      </x:c>
      <x:c r="L2" t="n">
        <x:f>I2/K2</x:f>
        <x:v>344.350593900254</x:v>
      </x:c>
    </x:row>
    <x:row r="3">
      <x:c r="A3" t="n">
        <x:v>0</x:v>
      </x:c>
      <x:c r="B3" t="n">
        <x:v>2</x:v>
      </x:c>
      <x:c r="C3" t="n">
        <x:v>28</x:v>
      </x:c>
      <x:c r="D3" t="n">
        <x:v>923.6252753036425</x:v>
      </x:c>
      <x:c r="E3" t="n">
        <x:f>IF(A3=0,1,(1+Parameters!$B$5)^(A3-1))</x:f>
        <x:v>1</x:v>
      </x:c>
      <x:c r="F3" t="n">
        <x:f>Parameters!$B$2*E3</x:f>
        <x:v>0.35</x:v>
      </x:c>
      <x:c r="G3" t="n">
        <x:f>D3*F3</x:f>
        <x:v>323.2688463562749</x:v>
      </x:c>
      <x:c r="H3" t="n">
        <x:f>C3*Parameters!$B$4</x:f>
        <x:v>19.599999999999998</x:v>
      </x:c>
      <x:c r="I3" t="n">
        <x:f>G3+H3</x:f>
        <x:v>342.8688463562749</x:v>
      </x:c>
      <x:c r="J3" t="n">
        <x:f>IF(A3=0,0,(A3-1)*12+B3)</x:f>
        <x:v>0</x:v>
      </x:c>
      <x:c r="K3" t="n">
        <x:f>(1+Parameters!$B$6)^(J3/12)</x:f>
        <x:v>1</x:v>
      </x:c>
      <x:c r="L3" t="n">
        <x:f>I3/K3</x:f>
        <x:v>342.8688463562749</x:v>
      </x:c>
    </x:row>
    <x:row r="4">
      <x:c r="A4" t="n">
        <x:v>0</x:v>
      </x:c>
      <x:c r="B4" t="n">
        <x:v>3</x:v>
      </x:c>
      <x:c r="C4" t="n">
        <x:v>31</x:v>
      </x:c>
      <x:c r="D4" t="n">
        <x:v>907.7273550059616</x:v>
      </x:c>
      <x:c r="E4" t="n">
        <x:f>IF(A4=0,1,(1+Parameters!$B$5)^(A4-1))</x:f>
        <x:v>1</x:v>
      </x:c>
      <x:c r="F4" t="n">
        <x:f>Parameters!$B$2*E4</x:f>
        <x:v>0.35</x:v>
      </x:c>
      <x:c r="G4" t="n">
        <x:f>D4*F4</x:f>
        <x:v>317.70457425208656</x:v>
      </x:c>
      <x:c r="H4" t="n">
        <x:f>C4*Parameters!$B$4</x:f>
        <x:v>21.7</x:v>
      </x:c>
      <x:c r="I4" t="n">
        <x:f>G4+H4</x:f>
        <x:v>339.40457425208655</x:v>
      </x:c>
      <x:c r="J4" t="n">
        <x:f>IF(A4=0,0,(A4-1)*12+B4)</x:f>
        <x:v>0</x:v>
      </x:c>
      <x:c r="K4" t="n">
        <x:f>(1+Parameters!$B$6)^(J4/12)</x:f>
        <x:v>1</x:v>
      </x:c>
      <x:c r="L4" t="n">
        <x:f>I4/K4</x:f>
        <x:v>339.40457425208655</x:v>
      </x:c>
    </x:row>
    <x:row r="5">
      <x:c r="A5" t="n">
        <x:v>0</x:v>
      </x:c>
      <x:c r="B5" t="n">
        <x:v>4</x:v>
      </x:c>
      <x:c r="C5" t="n">
        <x:v>30</x:v>
      </x:c>
      <x:c r="D5" t="n">
        <x:v>951.0096133576476</x:v>
      </x:c>
      <x:c r="E5" t="n">
        <x:f>IF(A5=0,1,(1+Parameters!$B$5)^(A5-1))</x:f>
        <x:v>1</x:v>
      </x:c>
      <x:c r="F5" t="n">
        <x:f>Parameters!$B$2*E5</x:f>
        <x:v>0.35</x:v>
      </x:c>
      <x:c r="G5" t="n">
        <x:f>D5*F5</x:f>
        <x:v>332.85336467517664</x:v>
      </x:c>
      <x:c r="H5" t="n">
        <x:f>C5*Parameters!$B$4</x:f>
        <x:v>21</x:v>
      </x:c>
      <x:c r="I5" t="n">
        <x:f>G5+H5</x:f>
        <x:v>353.85336467517664</x:v>
      </x:c>
      <x:c r="J5" t="n">
        <x:f>IF(A5=0,0,(A5-1)*12+B5)</x:f>
        <x:v>0</x:v>
      </x:c>
      <x:c r="K5" t="n">
        <x:f>(1+Parameters!$B$6)^(J5/12)</x:f>
        <x:v>1</x:v>
      </x:c>
      <x:c r="L5" t="n">
        <x:f>I5/K5</x:f>
        <x:v>353.85336467517664</x:v>
      </x:c>
    </x:row>
    <x:row r="6">
      <x:c r="A6" t="n">
        <x:v>0</x:v>
      </x:c>
      <x:c r="B6" t="n">
        <x:v>5</x:v>
      </x:c>
      <x:c r="C6" t="n">
        <x:v>31</x:v>
      </x:c>
      <x:c r="D6" t="n">
        <x:v>480.47</x:v>
      </x:c>
      <x:c r="E6" t="n">
        <x:f>IF(A6=0,1,(1+Parameters!$B$5)^(A6-1))</x:f>
        <x:v>1</x:v>
      </x:c>
      <x:c r="F6" t="n">
        <x:f>Parameters!$B$2*E6</x:f>
        <x:v>0.35</x:v>
      </x:c>
      <x:c r="G6" t="n">
        <x:f>D6*F6</x:f>
        <x:v>168.1645</x:v>
      </x:c>
      <x:c r="H6" t="n">
        <x:f>C6*Parameters!$B$4</x:f>
        <x:v>21.7</x:v>
      </x:c>
      <x:c r="I6" t="n">
        <x:f>G6+H6</x:f>
        <x:v>189.8645</x:v>
      </x:c>
      <x:c r="J6" t="n">
        <x:f>IF(A6=0,0,(A6-1)*12+B6)</x:f>
        <x:v>0</x:v>
      </x:c>
      <x:c r="K6" t="n">
        <x:f>(1+Parameters!$B$6)^(J6/12)</x:f>
        <x:v>1</x:v>
      </x:c>
      <x:c r="L6" t="n">
        <x:f>I6/K6</x:f>
        <x:v>189.8645</x:v>
      </x:c>
    </x:row>
    <x:row r="7">
      <x:c r="A7" t="n">
        <x:v>0</x:v>
      </x:c>
      <x:c r="B7" t="n">
        <x:v>6</x:v>
      </x:c>
      <x:c r="C7" t="n">
        <x:v>30</x:v>
      </x:c>
      <x:c r="D7" t="n">
        <x:v>491.73604926348474</x:v>
      </x:c>
      <x:c r="E7" t="n">
        <x:f>IF(A7=0,1,(1+Parameters!$B$5)^(A7-1))</x:f>
        <x:v>1</x:v>
      </x:c>
      <x:c r="F7" t="n">
        <x:f>Parameters!$B$2*E7</x:f>
        <x:v>0.35</x:v>
      </x:c>
      <x:c r="G7" t="n">
        <x:f>D7*F7</x:f>
        <x:v>172.10761724221965</x:v>
      </x:c>
      <x:c r="H7" t="n">
        <x:f>C7*Parameters!$B$4</x:f>
        <x:v>21</x:v>
      </x:c>
      <x:c r="I7" t="n">
        <x:f>G7+H7</x:f>
        <x:v>193.10761724221965</x:v>
      </x:c>
      <x:c r="J7" t="n">
        <x:f>IF(A7=0,0,(A7-1)*12+B7)</x:f>
        <x:v>0</x:v>
      </x:c>
      <x:c r="K7" t="n">
        <x:f>(1+Parameters!$B$6)^(J7/12)</x:f>
        <x:v>1</x:v>
      </x:c>
      <x:c r="L7" t="n">
        <x:f>I7/K7</x:f>
        <x:v>193.10761724221965</x:v>
      </x:c>
    </x:row>
    <x:row r="8">
      <x:c r="A8" t="n">
        <x:v>0</x:v>
      </x:c>
      <x:c r="B8" t="n">
        <x:v>7</x:v>
      </x:c>
      <x:c r="C8" t="n">
        <x:v>31</x:v>
      </x:c>
      <x:c r="D8" t="n">
        <x:v>504.2151798375662</x:v>
      </x:c>
      <x:c r="E8" t="n">
        <x:f>IF(A8=0,1,(1+Parameters!$B$5)^(A8-1))</x:f>
        <x:v>1</x:v>
      </x:c>
      <x:c r="F8" t="n">
        <x:f>Parameters!$B$2*E8</x:f>
        <x:v>0.35</x:v>
      </x:c>
      <x:c r="G8" t="n">
        <x:f>D8*F8</x:f>
        <x:v>176.47531294314817</x:v>
      </x:c>
      <x:c r="H8" t="n">
        <x:f>C8*Parameters!$B$4</x:f>
        <x:v>21.7</x:v>
      </x:c>
      <x:c r="I8" t="n">
        <x:f>G8+H8</x:f>
        <x:v>198.17531294314816</x:v>
      </x:c>
      <x:c r="J8" t="n">
        <x:f>IF(A8=0,0,(A8-1)*12+B8)</x:f>
        <x:v>0</x:v>
      </x:c>
      <x:c r="K8" t="n">
        <x:f>(1+Parameters!$B$6)^(J8/12)</x:f>
        <x:v>1</x:v>
      </x:c>
      <x:c r="L8" t="n">
        <x:f>I8/K8</x:f>
        <x:v>198.17531294314816</x:v>
      </x:c>
    </x:row>
    <x:row r="9">
      <x:c r="A9" t="n">
        <x:v>0</x:v>
      </x:c>
      <x:c r="B9" t="n">
        <x:v>8</x:v>
      </x:c>
      <x:c r="C9" t="n">
        <x:v>31</x:v>
      </x:c>
      <x:c r="D9" t="n">
        <x:v>495.0866822817727</x:v>
      </x:c>
      <x:c r="E9" t="n">
        <x:f>IF(A9=0,1,(1+Parameters!$B$5)^(A9-1))</x:f>
        <x:v>1</x:v>
      </x:c>
      <x:c r="F9" t="n">
        <x:f>Parameters!$B$2*E9</x:f>
        <x:v>0.35</x:v>
      </x:c>
      <x:c r="G9" t="n">
        <x:f>D9*F9</x:f>
        <x:v>173.28033879862045</x:v>
      </x:c>
      <x:c r="H9" t="n">
        <x:f>C9*Parameters!$B$4</x:f>
        <x:v>21.7</x:v>
      </x:c>
      <x:c r="I9" t="n">
        <x:f>G9+H9</x:f>
        <x:v>194.98033879862044</x:v>
      </x:c>
      <x:c r="J9" t="n">
        <x:f>IF(A9=0,0,(A9-1)*12+B9)</x:f>
        <x:v>0</x:v>
      </x:c>
      <x:c r="K9" t="n">
        <x:f>(1+Parameters!$B$6)^(J9/12)</x:f>
        <x:v>1</x:v>
      </x:c>
      <x:c r="L9" t="n">
        <x:f>I9/K9</x:f>
        <x:v>194.98033879862044</x:v>
      </x:c>
    </x:row>
    <x:row r="10">
      <x:c r="A10" t="n">
        <x:v>0</x:v>
      </x:c>
      <x:c r="B10" t="n">
        <x:v>9</x:v>
      </x:c>
      <x:c r="C10" t="n">
        <x:v>30</x:v>
      </x:c>
      <x:c r="D10" t="n">
        <x:v>484.7338669519189</x:v>
      </x:c>
      <x:c r="E10" t="n">
        <x:f>IF(A10=0,1,(1+Parameters!$B$5)^(A10-1))</x:f>
        <x:v>1</x:v>
      </x:c>
      <x:c r="F10" t="n">
        <x:f>Parameters!$B$2*E10</x:f>
        <x:v>0.35</x:v>
      </x:c>
      <x:c r="G10" t="n">
        <x:f>D10*F10</x:f>
        <x:v>169.65685343317162</x:v>
      </x:c>
      <x:c r="H10" t="n">
        <x:f>C10*Parameters!$B$4</x:f>
        <x:v>21</x:v>
      </x:c>
      <x:c r="I10" t="n">
        <x:f>G10+H10</x:f>
        <x:v>190.65685343317162</x:v>
      </x:c>
      <x:c r="J10" t="n">
        <x:f>IF(A10=0,0,(A10-1)*12+B10)</x:f>
        <x:v>0</x:v>
      </x:c>
      <x:c r="K10" t="n">
        <x:f>(1+Parameters!$B$6)^(J10/12)</x:f>
        <x:v>1</x:v>
      </x:c>
      <x:c r="L10" t="n">
        <x:f>I10/K10</x:f>
        <x:v>190.65685343317162</x:v>
      </x:c>
    </x:row>
    <x:row r="11">
      <x:c r="A11" t="n">
        <x:v>0</x:v>
      </x:c>
      <x:c r="B11" t="n">
        <x:v>10</x:v>
      </x:c>
      <x:c r="C11" t="n">
        <x:v>31</x:v>
      </x:c>
      <x:c r="D11" t="n">
        <x:v>965.136511636476</x:v>
      </x:c>
      <x:c r="E11" t="n">
        <x:f>IF(A11=0,1,(1+Parameters!$B$5)^(A11-1))</x:f>
        <x:v>1</x:v>
      </x:c>
      <x:c r="F11" t="n">
        <x:f>Parameters!$B$2*E11</x:f>
        <x:v>0.35</x:v>
      </x:c>
      <x:c r="G11" t="n">
        <x:f>D11*F11</x:f>
        <x:v>337.7977790727666</x:v>
      </x:c>
      <x:c r="H11" t="n">
        <x:f>C11*Parameters!$B$4</x:f>
        <x:v>21.7</x:v>
      </x:c>
      <x:c r="I11" t="n">
        <x:f>G11+H11</x:f>
        <x:v>359.4977790727666</x:v>
      </x:c>
      <x:c r="J11" t="n">
        <x:f>IF(A11=0,0,(A11-1)*12+B11)</x:f>
        <x:v>0</x:v>
      </x:c>
      <x:c r="K11" t="n">
        <x:f>(1+Parameters!$B$6)^(J11/12)</x:f>
        <x:v>1</x:v>
      </x:c>
      <x:c r="L11" t="n">
        <x:f>I11/K11</x:f>
        <x:v>359.4977790727666</x:v>
      </x:c>
    </x:row>
    <x:row r="12">
      <x:c r="A12" t="n">
        <x:v>0</x:v>
      </x:c>
      <x:c r="B12" t="n">
        <x:v>11</x:v>
      </x:c>
      <x:c r="C12" t="n">
        <x:v>30</x:v>
      </x:c>
      <x:c r="D12" t="n">
        <x:v>948.3641557590579</x:v>
      </x:c>
      <x:c r="E12" t="n">
        <x:f>IF(A12=0,1,(1+Parameters!$B$5)^(A12-1))</x:f>
        <x:v>1</x:v>
      </x:c>
      <x:c r="F12" t="n">
        <x:f>Parameters!$B$2*E12</x:f>
        <x:v>0.35</x:v>
      </x:c>
      <x:c r="G12" t="n">
        <x:f>D12*F12</x:f>
        <x:v>331.92745451567026</x:v>
      </x:c>
      <x:c r="H12" t="n">
        <x:f>C12*Parameters!$B$4</x:f>
        <x:v>21</x:v>
      </x:c>
      <x:c r="I12" t="n">
        <x:f>G12+H12</x:f>
        <x:v>352.92745451567026</x:v>
      </x:c>
      <x:c r="J12" t="n">
        <x:f>IF(A12=0,0,(A12-1)*12+B12)</x:f>
        <x:v>0</x:v>
      </x:c>
      <x:c r="K12" t="n">
        <x:f>(1+Parameters!$B$6)^(J12/12)</x:f>
        <x:v>1</x:v>
      </x:c>
      <x:c r="L12" t="n">
        <x:f>I12/K12</x:f>
        <x:v>352.92745451567026</x:v>
      </x:c>
    </x:row>
    <x:row r="13">
      <x:c r="A13" t="n">
        <x:v>0</x:v>
      </x:c>
      <x:c r="B13" t="n">
        <x:v>12</x:v>
      </x:c>
      <x:c r="C13" t="n">
        <x:v>31</x:v>
      </x:c>
      <x:c r="D13" t="n">
        <x:v>928.0366698691505</x:v>
      </x:c>
      <x:c r="E13" t="n">
        <x:f>IF(A13=0,1,(1+Parameters!$B$5)^(A13-1))</x:f>
        <x:v>1</x:v>
      </x:c>
      <x:c r="F13" t="n">
        <x:f>Parameters!$B$2*E13</x:f>
        <x:v>0.35</x:v>
      </x:c>
      <x:c r="G13" t="n">
        <x:f>D13*F13</x:f>
        <x:v>324.81283445420263</x:v>
      </x:c>
      <x:c r="H13" t="n">
        <x:f>C13*Parameters!$B$4</x:f>
        <x:v>21.7</x:v>
      </x:c>
      <x:c r="I13" t="n">
        <x:f>G13+H13</x:f>
        <x:v>346.5128344542026</x:v>
      </x:c>
      <x:c r="J13" t="n">
        <x:f>IF(A13=0,0,(A13-1)*12+B13)</x:f>
        <x:v>0</x:v>
      </x:c>
      <x:c r="K13" t="n">
        <x:f>(1+Parameters!$B$6)^(J13/12)</x:f>
        <x:v>1</x:v>
      </x:c>
      <x:c r="L13" t="n">
        <x:f>I13/K13</x:f>
        <x:v>346.5128344542026</x:v>
      </x:c>
    </x:row>
    <x:row r="14">
      <x:c r="A14" t="n">
        <x:v>1</x:v>
      </x:c>
      <x:c r="B14" t="n">
        <x:v>1</x:v>
      </x:c>
      <x:c r="C14" t="n">
        <x:v>31</x:v>
      </x:c>
      <x:c r="D14" t="n">
        <x:v>921.8588397150115</x:v>
      </x:c>
      <x:c r="E14" t="n">
        <x:f>IF(A14=0,1,(1+Parameters!$B$5)^(A14-1))</x:f>
        <x:v>1</x:v>
      </x:c>
      <x:c r="F14" t="n">
        <x:f>Parameters!$B$2*E14</x:f>
        <x:v>0.35</x:v>
      </x:c>
      <x:c r="G14" t="n">
        <x:f>D14*F14</x:f>
        <x:v>322.650593900254</x:v>
      </x:c>
      <x:c r="H14" t="n">
        <x:f>C14*Parameters!$B$4</x:f>
        <x:v>21.7</x:v>
      </x:c>
      <x:c r="I14" t="n">
        <x:f>G14+H14</x:f>
        <x:v>344.350593900254</x:v>
      </x:c>
      <x:c r="J14" t="n">
        <x:f>IF(A14=0,0,(A14-1)*12+B14)</x:f>
        <x:v>1</x:v>
      </x:c>
      <x:c r="K14" t="n">
        <x:f>(1+Parameters!$B$6)^(J14/12)</x:f>
        <x:v>1.0028708987190766</x:v>
      </x:c>
      <x:c r="L14" t="n">
        <x:f>I14/K14</x:f>
        <x:v>343.3648282546418</x:v>
      </x:c>
    </x:row>
    <x:row r="15">
      <x:c r="A15" t="n">
        <x:v>1</x:v>
      </x:c>
      <x:c r="B15" t="n">
        <x:v>2</x:v>
      </x:c>
      <x:c r="C15" t="n">
        <x:v>28</x:v>
      </x:c>
      <x:c r="D15" t="n">
        <x:v>923.6252753036425</x:v>
      </x:c>
      <x:c r="E15" t="n">
        <x:f>IF(A15=0,1,(1+Parameters!$B$5)^(A15-1))</x:f>
        <x:v>1</x:v>
      </x:c>
      <x:c r="F15" t="n">
        <x:f>Parameters!$B$2*E15</x:f>
        <x:v>0.35</x:v>
      </x:c>
      <x:c r="G15" t="n">
        <x:f>D15*F15</x:f>
        <x:v>323.2688463562749</x:v>
      </x:c>
      <x:c r="H15" t="n">
        <x:f>C15*Parameters!$B$4</x:f>
        <x:v>19.599999999999998</x:v>
      </x:c>
      <x:c r="I15" t="n">
        <x:f>G15+H15</x:f>
        <x:v>342.8688463562749</x:v>
      </x:c>
      <x:c r="J15" t="n">
        <x:f>IF(A15=0,0,(A15-1)*12+B15)</x:f>
        <x:v>2</x:v>
      </x:c>
      <x:c r="K15" t="n">
        <x:f>(1+Parameters!$B$6)^(J15/12)</x:f>
        <x:v>1.0057500394976084</x:v>
      </x:c>
      <x:c r="L15" t="n">
        <x:f>I15/K15</x:f>
        <x:v>340.9086083929408</x:v>
      </x:c>
    </x:row>
    <x:row r="16">
      <x:c r="A16" t="n">
        <x:v>1</x:v>
      </x:c>
      <x:c r="B16" t="n">
        <x:v>3</x:v>
      </x:c>
      <x:c r="C16" t="n">
        <x:v>31</x:v>
      </x:c>
      <x:c r="D16" t="n">
        <x:v>907.7273550059616</x:v>
      </x:c>
      <x:c r="E16" t="n">
        <x:f>IF(A16=0,1,(1+Parameters!$B$5)^(A16-1))</x:f>
        <x:v>1</x:v>
      </x:c>
      <x:c r="F16" t="n">
        <x:f>Parameters!$B$2*E16</x:f>
        <x:v>0.35</x:v>
      </x:c>
      <x:c r="G16" t="n">
        <x:f>D16*F16</x:f>
        <x:v>317.70457425208656</x:v>
      </x:c>
      <x:c r="H16" t="n">
        <x:f>C16*Parameters!$B$4</x:f>
        <x:v>21.7</x:v>
      </x:c>
      <x:c r="I16" t="n">
        <x:f>G16+H16</x:f>
        <x:v>339.40457425208655</x:v>
      </x:c>
      <x:c r="J16" t="n">
        <x:f>IF(A16=0,0,(A16-1)*12+B16)</x:f>
        <x:v>3</x:v>
      </x:c>
      <x:c r="K16" t="n">
        <x:f>(1+Parameters!$B$6)^(J16/12)</x:f>
        <x:v>1.0086374459977134</x:v>
      </x:c>
      <x:c r="L16" t="n">
        <x:f>I16/K16</x:f>
        <x:v>336.49809016991026</x:v>
      </x:c>
    </x:row>
    <x:row r="17">
      <x:c r="A17" t="n">
        <x:v>1</x:v>
      </x:c>
      <x:c r="B17" t="n">
        <x:v>4</x:v>
      </x:c>
      <x:c r="C17" t="n">
        <x:v>30</x:v>
      </x:c>
      <x:c r="D17" t="n">
        <x:v>951.0096133576476</x:v>
      </x:c>
      <x:c r="E17" t="n">
        <x:f>IF(A17=0,1,(1+Parameters!$B$5)^(A17-1))</x:f>
        <x:v>1</x:v>
      </x:c>
      <x:c r="F17" t="n">
        <x:f>Parameters!$B$2*E17</x:f>
        <x:v>0.35</x:v>
      </x:c>
      <x:c r="G17" t="n">
        <x:f>D17*F17</x:f>
        <x:v>332.85336467517664</x:v>
      </x:c>
      <x:c r="H17" t="n">
        <x:f>C17*Parameters!$B$4</x:f>
        <x:v>21</x:v>
      </x:c>
      <x:c r="I17" t="n">
        <x:f>G17+H17</x:f>
        <x:v>353.85336467517664</x:v>
      </x:c>
      <x:c r="J17" t="n">
        <x:f>IF(A17=0,0,(A17-1)*12+B17)</x:f>
        <x:v>4</x:v>
      </x:c>
      <x:c r="K17" t="n">
        <x:f>(1+Parameters!$B$6)^(J17/12)</x:f>
        <x:v>1.0115331419494409</x:v>
      </x:c>
      <x:c r="L17" t="n">
        <x:f>I17/K17</x:f>
        <x:v>349.818854173404</x:v>
      </x:c>
    </x:row>
    <x:row r="18">
      <x:c r="A18" t="n">
        <x:v>1</x:v>
      </x:c>
      <x:c r="B18" t="n">
        <x:v>5</x:v>
      </x:c>
      <x:c r="C18" t="n">
        <x:v>31</x:v>
      </x:c>
      <x:c r="D18" t="n">
        <x:v>480.47</x:v>
      </x:c>
      <x:c r="E18" t="n">
        <x:f>IF(A18=0,1,(1+Parameters!$B$5)^(A18-1))</x:f>
        <x:v>1</x:v>
      </x:c>
      <x:c r="F18" t="n">
        <x:f>Parameters!$B$2*E18</x:f>
        <x:v>0.35</x:v>
      </x:c>
      <x:c r="G18" t="n">
        <x:f>D18*F18</x:f>
        <x:v>168.1645</x:v>
      </x:c>
      <x:c r="H18" t="n">
        <x:f>C18*Parameters!$B$4</x:f>
        <x:v>21.7</x:v>
      </x:c>
      <x:c r="I18" t="n">
        <x:f>G18+H18</x:f>
        <x:v>189.8645</x:v>
      </x:c>
      <x:c r="J18" t="n">
        <x:f>IF(A18=0,0,(A18-1)*12+B18)</x:f>
        <x:v>5</x:v>
      </x:c>
      <x:c r="K18" t="n">
        <x:f>(1+Parameters!$B$6)^(J18/12)</x:f>
        <x:v>1.014437151150967</x:v>
      </x:c>
      <x:c r="L18" t="n">
        <x:f>I18/K18</x:f>
        <x:v>187.16240802555606</x:v>
      </x:c>
    </x:row>
    <x:row r="19">
      <x:c r="A19" t="n">
        <x:v>1</x:v>
      </x:c>
      <x:c r="B19" t="n">
        <x:v>6</x:v>
      </x:c>
      <x:c r="C19" t="n">
        <x:v>30</x:v>
      </x:c>
      <x:c r="D19" t="n">
        <x:v>491.73604926348474</x:v>
      </x:c>
      <x:c r="E19" t="n">
        <x:f>IF(A19=0,1,(1+Parameters!$B$5)^(A19-1))</x:f>
        <x:v>1</x:v>
      </x:c>
      <x:c r="F19" t="n">
        <x:f>Parameters!$B$2*E19</x:f>
        <x:v>0.35</x:v>
      </x:c>
      <x:c r="G19" t="n">
        <x:f>D19*F19</x:f>
        <x:v>172.10761724221965</x:v>
      </x:c>
      <x:c r="H19" t="n">
        <x:f>C19*Parameters!$B$4</x:f>
        <x:v>21</x:v>
      </x:c>
      <x:c r="I19" t="n">
        <x:f>G19+H19</x:f>
        <x:v>193.10761724221965</x:v>
      </x:c>
      <x:c r="J19" t="n">
        <x:f>IF(A19=0,0,(A19-1)*12+B19)</x:f>
        <x:v>6</x:v>
      </x:c>
      <x:c r="K19" t="n">
        <x:f>(1+Parameters!$B$6)^(J19/12)</x:f>
        <x:v>1.0173494974687902</x:v>
      </x:c>
      <x:c r="L19" t="n">
        <x:f>I19/K19</x:f>
        <x:v>189.81443223069337</x:v>
      </x:c>
    </x:row>
    <x:row r="20">
      <x:c r="A20" t="n">
        <x:v>1</x:v>
      </x:c>
      <x:c r="B20" t="n">
        <x:v>7</x:v>
      </x:c>
      <x:c r="C20" t="n">
        <x:v>31</x:v>
      </x:c>
      <x:c r="D20" t="n">
        <x:v>504.2151798375662</x:v>
      </x:c>
      <x:c r="E20" t="n">
        <x:f>IF(A20=0,1,(1+Parameters!$B$5)^(A20-1))</x:f>
        <x:v>1</x:v>
      </x:c>
      <x:c r="F20" t="n">
        <x:f>Parameters!$B$2*E20</x:f>
        <x:v>0.35</x:v>
      </x:c>
      <x:c r="G20" t="n">
        <x:f>D20*F20</x:f>
        <x:v>176.47531294314817</x:v>
      </x:c>
      <x:c r="H20" t="n">
        <x:f>C20*Parameters!$B$4</x:f>
        <x:v>21.7</x:v>
      </x:c>
      <x:c r="I20" t="n">
        <x:f>G20+H20</x:f>
        <x:v>198.17531294314816</x:v>
      </x:c>
      <x:c r="J20" t="n">
        <x:f>IF(A20=0,0,(A20-1)*12+B20)</x:f>
        <x:v>7</x:v>
      </x:c>
      <x:c r="K20" t="n">
        <x:f>(1+Parameters!$B$6)^(J20/12)</x:f>
        <x:v>1.0202702048379266</x:v>
      </x:c>
      <x:c r="L20" t="n">
        <x:f>I20/K20</x:f>
        <x:v>194.23806752705178</x:v>
      </x:c>
    </x:row>
    <x:row r="21">
      <x:c r="A21" t="n">
        <x:v>1</x:v>
      </x:c>
      <x:c r="B21" t="n">
        <x:v>8</x:v>
      </x:c>
      <x:c r="C21" t="n">
        <x:v>31</x:v>
      </x:c>
      <x:c r="D21" t="n">
        <x:v>495.0866822817727</x:v>
      </x:c>
      <x:c r="E21" t="n">
        <x:f>IF(A21=0,1,(1+Parameters!$B$5)^(A21-1))</x:f>
        <x:v>1</x:v>
      </x:c>
      <x:c r="F21" t="n">
        <x:f>Parameters!$B$2*E21</x:f>
        <x:v>0.35</x:v>
      </x:c>
      <x:c r="G21" t="n">
        <x:f>D21*F21</x:f>
        <x:v>173.28033879862045</x:v>
      </x:c>
      <x:c r="H21" t="n">
        <x:f>C21*Parameters!$B$4</x:f>
        <x:v>21.7</x:v>
      </x:c>
      <x:c r="I21" t="n">
        <x:f>G21+H21</x:f>
        <x:v>194.98033879862044</x:v>
      </x:c>
      <x:c r="J21" t="n">
        <x:f>IF(A21=0,0,(A21-1)*12+B21)</x:f>
        <x:v>8</x:v>
      </x:c>
      <x:c r="K21" t="n">
        <x:f>(1+Parameters!$B$6)^(J21/12)</x:f>
        <x:v>1.0231992972621078</x:v>
      </x:c>
      <x:c r="L21" t="n">
        <x:f>I21/K21</x:f>
        <x:v>190.55949248631404</x:v>
      </x:c>
    </x:row>
    <x:row r="22">
      <x:c r="A22" t="n">
        <x:v>1</x:v>
      </x:c>
      <x:c r="B22" t="n">
        <x:v>9</x:v>
      </x:c>
      <x:c r="C22" t="n">
        <x:v>30</x:v>
      </x:c>
      <x:c r="D22" t="n">
        <x:v>484.7338669519189</x:v>
      </x:c>
      <x:c r="E22" t="n">
        <x:f>IF(A22=0,1,(1+Parameters!$B$5)^(A22-1))</x:f>
        <x:v>1</x:v>
      </x:c>
      <x:c r="F22" t="n">
        <x:f>Parameters!$B$2*E22</x:f>
        <x:v>0.35</x:v>
      </x:c>
      <x:c r="G22" t="n">
        <x:f>D22*F22</x:f>
        <x:v>169.65685343317162</x:v>
      </x:c>
      <x:c r="H22" t="n">
        <x:f>C22*Parameters!$B$4</x:f>
        <x:v>21</x:v>
      </x:c>
      <x:c r="I22" t="n">
        <x:f>G22+H22</x:f>
        <x:v>190.65685343317162</x:v>
      </x:c>
      <x:c r="J22" t="n">
        <x:f>IF(A22=0,0,(A22-1)*12+B22)</x:f>
        <x:v>9</x:v>
      </x:c>
      <x:c r="K22" t="n">
        <x:f>(1+Parameters!$B$6)^(J22/12)</x:f>
        <x:v>1.0261367988139778</x:v>
      </x:c>
      <x:c r="L22" t="n">
        <x:f>I22/K22</x:f>
        <x:v>185.8006200084972</x:v>
      </x:c>
    </x:row>
    <x:row r="23">
      <x:c r="A23" t="n">
        <x:v>1</x:v>
      </x:c>
      <x:c r="B23" t="n">
        <x:v>10</x:v>
      </x:c>
      <x:c r="C23" t="n">
        <x:v>31</x:v>
      </x:c>
      <x:c r="D23" t="n">
        <x:v>965.136511636476</x:v>
      </x:c>
      <x:c r="E23" t="n">
        <x:f>IF(A23=0,1,(1+Parameters!$B$5)^(A23-1))</x:f>
        <x:v>1</x:v>
      </x:c>
      <x:c r="F23" t="n">
        <x:f>Parameters!$B$2*E23</x:f>
        <x:v>0.35</x:v>
      </x:c>
      <x:c r="G23" t="n">
        <x:f>D23*F23</x:f>
        <x:v>337.7977790727666</x:v>
      </x:c>
      <x:c r="H23" t="n">
        <x:f>C23*Parameters!$B$4</x:f>
        <x:v>21.7</x:v>
      </x:c>
      <x:c r="I23" t="n">
        <x:f>G23+H23</x:f>
        <x:v>359.4977790727666</x:v>
      </x:c>
      <x:c r="J23" t="n">
        <x:f>IF(A23=0,0,(A23-1)*12+B23)</x:f>
        <x:v>10</x:v>
      </x:c>
      <x:c r="K23" t="n">
        <x:f>(1+Parameters!$B$6)^(J23/12)</x:f>
        <x:v>1.0290827336352901</x:v>
      </x:c>
      <x:c r="L23" t="n">
        <x:f>I23/K23</x:f>
        <x:v>349.3380729485387</x:v>
      </x:c>
    </x:row>
    <x:row r="24">
      <x:c r="A24" t="n">
        <x:v>1</x:v>
      </x:c>
      <x:c r="B24" t="n">
        <x:v>11</x:v>
      </x:c>
      <x:c r="C24" t="n">
        <x:v>30</x:v>
      </x:c>
      <x:c r="D24" t="n">
        <x:v>948.3641557590579</x:v>
      </x:c>
      <x:c r="E24" t="n">
        <x:f>IF(A24=0,1,(1+Parameters!$B$5)^(A24-1))</x:f>
        <x:v>1</x:v>
      </x:c>
      <x:c r="F24" t="n">
        <x:f>Parameters!$B$2*E24</x:f>
        <x:v>0.35</x:v>
      </x:c>
      <x:c r="G24" t="n">
        <x:f>D24*F24</x:f>
        <x:v>331.92745451567026</x:v>
      </x:c>
      <x:c r="H24" t="n">
        <x:f>C24*Parameters!$B$4</x:f>
        <x:v>21</x:v>
      </x:c>
      <x:c r="I24" t="n">
        <x:f>G24+H24</x:f>
        <x:v>352.92745451567026</x:v>
      </x:c>
      <x:c r="J24" t="n">
        <x:f>IF(A24=0,0,(A24-1)*12+B24)</x:f>
        <x:v>11</x:v>
      </x:c>
      <x:c r="K24" t="n">
        <x:f>(1+Parameters!$B$6)^(J24/12)</x:f>
        <x:v>1.0320371259371075</x:v>
      </x:c>
      <x:c r="L24" t="n">
        <x:f>I24/K24</x:f>
        <x:v>341.97166521040225</x:v>
      </x:c>
    </x:row>
    <x:row r="25">
      <x:c r="A25" t="n">
        <x:v>1</x:v>
      </x:c>
      <x:c r="B25" t="n">
        <x:v>12</x:v>
      </x:c>
      <x:c r="C25" t="n">
        <x:v>31</x:v>
      </x:c>
      <x:c r="D25" t="n">
        <x:v>928.0366698691505</x:v>
      </x:c>
      <x:c r="E25" t="n">
        <x:f>IF(A25=0,1,(1+Parameters!$B$5)^(A25-1))</x:f>
        <x:v>1</x:v>
      </x:c>
      <x:c r="F25" t="n">
        <x:f>Parameters!$B$2*E25</x:f>
        <x:v>0.35</x:v>
      </x:c>
      <x:c r="G25" t="n">
        <x:f>D25*F25</x:f>
        <x:v>324.81283445420263</x:v>
      </x:c>
      <x:c r="H25" t="n">
        <x:f>C25*Parameters!$B$4</x:f>
        <x:v>21.7</x:v>
      </x:c>
      <x:c r="I25" t="n">
        <x:f>G25+H25</x:f>
        <x:v>346.5128344542026</x:v>
      </x:c>
      <x:c r="J25" t="n">
        <x:f>IF(A25=0,0,(A25-1)*12+B25)</x:f>
        <x:v>12</x:v>
      </x:c>
      <x:c r="K25" t="n">
        <x:f>(1+Parameters!$B$6)^(J25/12)</x:f>
        <x:v>1.035</x:v>
      </x:c>
      <x:c r="L25" t="n">
        <x:f>I25/K25</x:f>
        <x:v>334.79500913449533</x:v>
      </x:c>
    </x:row>
    <x:row r="26">
      <x:c r="A26" t="n">
        <x:v>2</x:v>
      </x:c>
      <x:c r="B26" t="n">
        <x:v>1</x:v>
      </x:c>
      <x:c r="C26" t="n">
        <x:v>31</x:v>
      </x:c>
      <x:c r="D26" t="n">
        <x:v>921.8588397150115</x:v>
      </x:c>
      <x:c r="E26" t="n">
        <x:f>IF(A26=0,1,(1+Parameters!$B$5)^(A26-1))</x:f>
        <x:v>1.02</x:v>
      </x:c>
      <x:c r="F26" t="n">
        <x:f>Parameters!$B$2*E26</x:f>
        <x:v>0.357</x:v>
      </x:c>
      <x:c r="G26" t="n">
        <x:f>D26*F26</x:f>
        <x:v>329.1036057782591</x:v>
      </x:c>
      <x:c r="H26" t="n">
        <x:f>C26*Parameters!$B$4</x:f>
        <x:v>21.7</x:v>
      </x:c>
      <x:c r="I26" t="n">
        <x:f>G26+H26</x:f>
        <x:v>350.8036057782591</x:v>
      </x:c>
      <x:c r="J26" t="n">
        <x:f>IF(A26=0,0,(A26-1)*12+B26)</x:f>
        <x:v>13</x:v>
      </x:c>
      <x:c r="K26" t="n">
        <x:f>(1+Parameters!$B$6)^(J26/12)</x:f>
        <x:v>1.0379713801742443</x:v>
      </x:c>
      <x:c r="L26" t="n">
        <x:f>I26/K26</x:f>
        <x:v>337.97040311397575</x:v>
      </x:c>
    </x:row>
    <x:row r="27">
      <x:c r="A27" t="n">
        <x:v>2</x:v>
      </x:c>
      <x:c r="B27" t="n">
        <x:v>2</x:v>
      </x:c>
      <x:c r="C27" t="n">
        <x:v>28</x:v>
      </x:c>
      <x:c r="D27" t="n">
        <x:v>923.6252753036425</x:v>
      </x:c>
      <x:c r="E27" t="n">
        <x:f>IF(A27=0,1,(1+Parameters!$B$5)^(A27-1))</x:f>
        <x:v>1.02</x:v>
      </x:c>
      <x:c r="F27" t="n">
        <x:f>Parameters!$B$2*E27</x:f>
        <x:v>0.357</x:v>
      </x:c>
      <x:c r="G27" t="n">
        <x:f>D27*F27</x:f>
        <x:v>329.73422328340035</x:v>
      </x:c>
      <x:c r="H27" t="n">
        <x:f>C27*Parameters!$B$4</x:f>
        <x:v>19.599999999999998</x:v>
      </x:c>
      <x:c r="I27" t="n">
        <x:f>G27+H27</x:f>
        <x:v>349.3342232834004</x:v>
      </x:c>
      <x:c r="J27" t="n">
        <x:f>IF(A27=0,0,(A27-1)*12+B27)</x:f>
        <x:v>14</x:v>
      </x:c>
      <x:c r="K27" t="n">
        <x:f>(1+Parameters!$B$6)^(J27/12)</x:f>
        <x:v>1.0409512908800247</x:v>
      </x:c>
      <x:c r="L27" t="n">
        <x:f>I27/K27</x:f>
        <x:v>335.5913253040608</x:v>
      </x:c>
    </x:row>
    <x:row r="28">
      <x:c r="A28" t="n">
        <x:v>2</x:v>
      </x:c>
      <x:c r="B28" t="n">
        <x:v>3</x:v>
      </x:c>
      <x:c r="C28" t="n">
        <x:v>31</x:v>
      </x:c>
      <x:c r="D28" t="n">
        <x:v>907.7273550059616</x:v>
      </x:c>
      <x:c r="E28" t="n">
        <x:f>IF(A28=0,1,(1+Parameters!$B$5)^(A28-1))</x:f>
        <x:v>1.02</x:v>
      </x:c>
      <x:c r="F28" t="n">
        <x:f>Parameters!$B$2*E28</x:f>
        <x:v>0.357</x:v>
      </x:c>
      <x:c r="G28" t="n">
        <x:f>D28*F28</x:f>
        <x:v>324.0586657371283</x:v>
      </x:c>
      <x:c r="H28" t="n">
        <x:f>C28*Parameters!$B$4</x:f>
        <x:v>21.7</x:v>
      </x:c>
      <x:c r="I28" t="n">
        <x:f>G28+H28</x:f>
        <x:v>345.7586657371283</x:v>
      </x:c>
      <x:c r="J28" t="n">
        <x:f>IF(A28=0,0,(A28-1)*12+B28)</x:f>
        <x:v>15</x:v>
      </x:c>
      <x:c r="K28" t="n">
        <x:f>(1+Parameters!$B$6)^(J28/12)</x:f>
        <x:v>1.0439397566076332</x:v>
      </x:c>
      <x:c r="L28" t="n">
        <x:f>I28/K28</x:f>
        <x:v>331.20557345253246</x:v>
      </x:c>
    </x:row>
    <x:row r="29">
      <x:c r="A29" t="n">
        <x:v>2</x:v>
      </x:c>
      <x:c r="B29" t="n">
        <x:v>4</x:v>
      </x:c>
      <x:c r="C29" t="n">
        <x:v>30</x:v>
      </x:c>
      <x:c r="D29" t="n">
        <x:v>951.0096133576476</x:v>
      </x:c>
      <x:c r="E29" t="n">
        <x:f>IF(A29=0,1,(1+Parameters!$B$5)^(A29-1))</x:f>
        <x:v>1.02</x:v>
      </x:c>
      <x:c r="F29" t="n">
        <x:f>Parameters!$B$2*E29</x:f>
        <x:v>0.357</x:v>
      </x:c>
      <x:c r="G29" t="n">
        <x:f>D29*F29</x:f>
        <x:v>339.51043196868017</x:v>
      </x:c>
      <x:c r="H29" t="n">
        <x:f>C29*Parameters!$B$4</x:f>
        <x:v>21</x:v>
      </x:c>
      <x:c r="I29" t="n">
        <x:f>G29+H29</x:f>
        <x:v>360.51043196868017</x:v>
      </x:c>
      <x:c r="J29" t="n">
        <x:f>IF(A29=0,0,(A29-1)*12+B29)</x:f>
        <x:v>16</x:v>
      </x:c>
      <x:c r="K29" t="n">
        <x:f>(1+Parameters!$B$6)^(J29/12)</x:f>
        <x:v>1.0469368019176712</x:v>
      </x:c>
      <x:c r="L29" t="n">
        <x:f>I29/K29</x:f>
        <x:v>344.34784536023017</x:v>
      </x:c>
    </x:row>
    <x:row r="30">
      <x:c r="A30" t="n">
        <x:v>2</x:v>
      </x:c>
      <x:c r="B30" t="n">
        <x:v>5</x:v>
      </x:c>
      <x:c r="C30" t="n">
        <x:v>31</x:v>
      </x:c>
      <x:c r="D30" t="n">
        <x:v>480.47</x:v>
      </x:c>
      <x:c r="E30" t="n">
        <x:f>IF(A30=0,1,(1+Parameters!$B$5)^(A30-1))</x:f>
        <x:v>1.02</x:v>
      </x:c>
      <x:c r="F30" t="n">
        <x:f>Parameters!$B$2*E30</x:f>
        <x:v>0.357</x:v>
      </x:c>
      <x:c r="G30" t="n">
        <x:f>D30*F30</x:f>
        <x:v>171.52779</x:v>
      </x:c>
      <x:c r="H30" t="n">
        <x:f>C30*Parameters!$B$4</x:f>
        <x:v>21.7</x:v>
      </x:c>
      <x:c r="I30" t="n">
        <x:f>G30+H30</x:f>
        <x:v>193.22779</x:v>
      </x:c>
      <x:c r="J30" t="n">
        <x:f>IF(A30=0,0,(A30-1)*12+B30)</x:f>
        <x:v>17</x:v>
      </x:c>
      <x:c r="K30" t="n">
        <x:f>(1+Parameters!$B$6)^(J30/12)</x:f>
        <x:v>1.049942451441251</x:v>
      </x:c>
      <x:c r="L30" t="n">
        <x:f>I30/K30</x:f>
        <x:v>184.03655336990818</x:v>
      </x:c>
    </x:row>
    <x:row r="31">
      <x:c r="A31" t="n">
        <x:v>2</x:v>
      </x:c>
      <x:c r="B31" t="n">
        <x:v>6</x:v>
      </x:c>
      <x:c r="C31" t="n">
        <x:v>30</x:v>
      </x:c>
      <x:c r="D31" t="n">
        <x:v>491.73604926348474</x:v>
      </x:c>
      <x:c r="E31" t="n">
        <x:f>IF(A31=0,1,(1+Parameters!$B$5)^(A31-1))</x:f>
        <x:v>1.02</x:v>
      </x:c>
      <x:c r="F31" t="n">
        <x:f>Parameters!$B$2*E31</x:f>
        <x:v>0.357</x:v>
      </x:c>
      <x:c r="G31" t="n">
        <x:f>D31*F31</x:f>
        <x:v>175.54976958706405</x:v>
      </x:c>
      <x:c r="H31" t="n">
        <x:f>C31*Parameters!$B$4</x:f>
        <x:v>21</x:v>
      </x:c>
      <x:c r="I31" t="n">
        <x:f>G31+H31</x:f>
        <x:v>196.54976958706405</x:v>
      </x:c>
      <x:c r="J31" t="n">
        <x:f>IF(A31=0,0,(A31-1)*12+B31)</x:f>
        <x:v>18</x:v>
      </x:c>
      <x:c r="K31" t="n">
        <x:f>(1+Parameters!$B$6)^(J31/12)</x:f>
        <x:v>1.0529567298801978</x:v>
      </x:c>
      <x:c r="L31" t="n">
        <x:f>I31/K31</x:f>
        <x:v>186.66462164065078</x:v>
      </x:c>
    </x:row>
    <x:row r="32">
      <x:c r="A32" t="n">
        <x:v>2</x:v>
      </x:c>
      <x:c r="B32" t="n">
        <x:v>7</x:v>
      </x:c>
      <x:c r="C32" t="n">
        <x:v>31</x:v>
      </x:c>
      <x:c r="D32" t="n">
        <x:v>504.2151798375662</x:v>
      </x:c>
      <x:c r="E32" t="n">
        <x:f>IF(A32=0,1,(1+Parameters!$B$5)^(A32-1))</x:f>
        <x:v>1.02</x:v>
      </x:c>
      <x:c r="F32" t="n">
        <x:f>Parameters!$B$2*E32</x:f>
        <x:v>0.357</x:v>
      </x:c>
      <x:c r="G32" t="n">
        <x:f>D32*F32</x:f>
        <x:v>180.00481920201113</x:v>
      </x:c>
      <x:c r="H32" t="n">
        <x:f>C32*Parameters!$B$4</x:f>
        <x:v>21.7</x:v>
      </x:c>
      <x:c r="I32" t="n">
        <x:f>G32+H32</x:f>
        <x:v>201.70481920201112</x:v>
      </x:c>
      <x:c r="J32" t="n">
        <x:f>IF(A32=0,0,(A32-1)*12+B32)</x:f>
        <x:v>19</x:v>
      </x:c>
      <x:c r="K32" t="n">
        <x:f>(1+Parameters!$B$6)^(J32/12)</x:f>
        <x:v>1.055979662007254</x:v>
      </x:c>
      <x:c r="L32" t="n">
        <x:f>I32/K32</x:f>
        <x:v>191.01203030615332</x:v>
      </x:c>
    </x:row>
    <x:row r="33">
      <x:c r="A33" t="n">
        <x:v>2</x:v>
      </x:c>
      <x:c r="B33" t="n">
        <x:v>8</x:v>
      </x:c>
      <x:c r="C33" t="n">
        <x:v>31</x:v>
      </x:c>
      <x:c r="D33" t="n">
        <x:v>495.0866822817727</x:v>
      </x:c>
      <x:c r="E33" t="n">
        <x:f>IF(A33=0,1,(1+Parameters!$B$5)^(A33-1))</x:f>
        <x:v>1.02</x:v>
      </x:c>
      <x:c r="F33" t="n">
        <x:f>Parameters!$B$2*E33</x:f>
        <x:v>0.357</x:v>
      </x:c>
      <x:c r="G33" t="n">
        <x:f>D33*F33</x:f>
        <x:v>176.74594557459284</x:v>
      </x:c>
      <x:c r="H33" t="n">
        <x:f>C33*Parameters!$B$4</x:f>
        <x:v>21.7</x:v>
      </x:c>
      <x:c r="I33" t="n">
        <x:f>G33+H33</x:f>
        <x:v>198.44594557459283</x:v>
      </x:c>
      <x:c r="J33" t="n">
        <x:f>IF(A33=0,0,(A33-1)*12+B33)</x:f>
        <x:v>20</x:v>
      </x:c>
      <x:c r="K33" t="n">
        <x:f>(1+Parameters!$B$6)^(J33/12)</x:f>
        <x:v>1.0590112726662815</x:v>
      </x:c>
      <x:c r="L33" t="n">
        <x:f>I33/K33</x:f>
        <x:v>187.38794448803534</x:v>
      </x:c>
    </x:row>
    <x:row r="34">
      <x:c r="A34" t="n">
        <x:v>2</x:v>
      </x:c>
      <x:c r="B34" t="n">
        <x:v>9</x:v>
      </x:c>
      <x:c r="C34" t="n">
        <x:v>30</x:v>
      </x:c>
      <x:c r="D34" t="n">
        <x:v>484.7338669519189</x:v>
      </x:c>
      <x:c r="E34" t="n">
        <x:f>IF(A34=0,1,(1+Parameters!$B$5)^(A34-1))</x:f>
        <x:v>1.02</x:v>
      </x:c>
      <x:c r="F34" t="n">
        <x:f>Parameters!$B$2*E34</x:f>
        <x:v>0.357</x:v>
      </x:c>
      <x:c r="G34" t="n">
        <x:f>D34*F34</x:f>
        <x:v>173.04999050183505</x:v>
      </x:c>
      <x:c r="H34" t="n">
        <x:f>C34*Parameters!$B$4</x:f>
        <x:v>21</x:v>
      </x:c>
      <x:c r="I34" t="n">
        <x:f>G34+H34</x:f>
        <x:v>194.04999050183505</x:v>
      </x:c>
      <x:c r="J34" t="n">
        <x:f>IF(A34=0,0,(A34-1)*12+B34)</x:f>
        <x:v>21</x:v>
      </x:c>
      <x:c r="K34" t="n">
        <x:f>(1+Parameters!$B$6)^(J34/12)</x:f>
        <x:v>1.062051586772467</x:v>
      </x:c>
      <x:c r="L34" t="n">
        <x:f>I34/K34</x:f>
        <x:v>182.71239638325417</x:v>
      </x:c>
    </x:row>
    <x:row r="35">
      <x:c r="A35" t="n">
        <x:v>2</x:v>
      </x:c>
      <x:c r="B35" t="n">
        <x:v>10</x:v>
      </x:c>
      <x:c r="C35" t="n">
        <x:v>31</x:v>
      </x:c>
      <x:c r="D35" t="n">
        <x:v>965.136511636476</x:v>
      </x:c>
      <x:c r="E35" t="n">
        <x:f>IF(A35=0,1,(1+Parameters!$B$5)^(A35-1))</x:f>
        <x:v>1.02</x:v>
      </x:c>
      <x:c r="F35" t="n">
        <x:f>Parameters!$B$2*E35</x:f>
        <x:v>0.357</x:v>
      </x:c>
      <x:c r="G35" t="n">
        <x:f>D35*F35</x:f>
        <x:v>344.55373465422196</x:v>
      </x:c>
      <x:c r="H35" t="n">
        <x:f>C35*Parameters!$B$4</x:f>
        <x:v>21.7</x:v>
      </x:c>
      <x:c r="I35" t="n">
        <x:f>G35+H35</x:f>
        <x:v>366.25373465422194</x:v>
      </x:c>
      <x:c r="J35" t="n">
        <x:f>IF(A35=0,0,(A35-1)*12+B35)</x:f>
        <x:v>22</x:v>
      </x:c>
      <x:c r="K35" t="n">
        <x:f>(1+Parameters!$B$6)^(J35/12)</x:f>
        <x:v>1.0651006293125251</x:v>
      </x:c>
      <x:c r="L35" t="n">
        <x:f>I35/K35</x:f>
        <x:v>343.8677290901822</x:v>
      </x:c>
    </x:row>
    <x:row r="36">
      <x:c r="A36" t="n">
        <x:v>2</x:v>
      </x:c>
      <x:c r="B36" t="n">
        <x:v>11</x:v>
      </x:c>
      <x:c r="C36" t="n">
        <x:v>30</x:v>
      </x:c>
      <x:c r="D36" t="n">
        <x:v>948.3641557590579</x:v>
      </x:c>
      <x:c r="E36" t="n">
        <x:f>IF(A36=0,1,(1+Parameters!$B$5)^(A36-1))</x:f>
        <x:v>1.02</x:v>
      </x:c>
      <x:c r="F36" t="n">
        <x:f>Parameters!$B$2*E36</x:f>
        <x:v>0.357</x:v>
      </x:c>
      <x:c r="G36" t="n">
        <x:f>D36*F36</x:f>
        <x:v>338.56600360598367</x:v>
      </x:c>
      <x:c r="H36" t="n">
        <x:f>C36*Parameters!$B$4</x:f>
        <x:v>21</x:v>
      </x:c>
      <x:c r="I36" t="n">
        <x:f>G36+H36</x:f>
        <x:v>359.56600360598367</x:v>
      </x:c>
      <x:c r="J36" t="n">
        <x:f>IF(A36=0,0,(A36-1)*12+B36)</x:f>
        <x:v>23</x:v>
      </x:c>
      <x:c r="K36" t="n">
        <x:f>(1+Parameters!$B$6)^(J36/12)</x:f>
        <x:v>1.0681584253449063</x:v>
      </x:c>
      <x:c r="L36" t="n">
        <x:f>I36/K36</x:f>
        <x:v>336.62235402007946</x:v>
      </x:c>
    </x:row>
    <x:row r="37">
      <x:c r="A37" t="n">
        <x:v>2</x:v>
      </x:c>
      <x:c r="B37" t="n">
        <x:v>12</x:v>
      </x:c>
      <x:c r="C37" t="n">
        <x:v>31</x:v>
      </x:c>
      <x:c r="D37" t="n">
        <x:v>928.0366698691505</x:v>
      </x:c>
      <x:c r="E37" t="n">
        <x:f>IF(A37=0,1,(1+Parameters!$B$5)^(A37-1))</x:f>
        <x:v>1.02</x:v>
      </x:c>
      <x:c r="F37" t="n">
        <x:f>Parameters!$B$2*E37</x:f>
        <x:v>0.357</x:v>
      </x:c>
      <x:c r="G37" t="n">
        <x:f>D37*F37</x:f>
        <x:v>331.3090911432867</x:v>
      </x:c>
      <x:c r="H37" t="n">
        <x:f>C37*Parameters!$B$4</x:f>
        <x:v>21.7</x:v>
      </x:c>
      <x:c r="I37" t="n">
        <x:f>G37+H37</x:f>
        <x:v>353.0090911432867</x:v>
      </x:c>
      <x:c r="J37" t="n">
        <x:f>IF(A37=0,0,(A37-1)*12+B37)</x:f>
        <x:v>24</x:v>
      </x:c>
      <x:c r="K37" t="n">
        <x:f>(1+Parameters!$B$6)^(J37/12)</x:f>
        <x:v>1.0712249999999999</x:v>
      </x:c>
      <x:c r="L37" t="n">
        <x:f>I37/K37</x:f>
        <x:v>329.53776390887697</x:v>
      </x:c>
    </x:row>
    <x:row r="38">
      <x:c r="A38" t="n">
        <x:v>3</x:v>
      </x:c>
      <x:c r="B38" t="n">
        <x:v>1</x:v>
      </x:c>
      <x:c r="C38" t="n">
        <x:v>31</x:v>
      </x:c>
      <x:c r="D38" t="n">
        <x:v>921.8588397150115</x:v>
      </x:c>
      <x:c r="E38" t="n">
        <x:f>IF(A38=0,1,(1+Parameters!$B$5)^(A38-1))</x:f>
        <x:v>1.0404</x:v>
      </x:c>
      <x:c r="F38" t="n">
        <x:f>Parameters!$B$2*E38</x:f>
        <x:v>0.36413999999999996</x:v>
      </x:c>
      <x:c r="G38" t="n">
        <x:f>D38*F38</x:f>
        <x:v>335.6856778938243</x:v>
      </x:c>
      <x:c r="H38" t="n">
        <x:f>C38*Parameters!$B$4</x:f>
        <x:v>21.7</x:v>
      </x:c>
      <x:c r="I38" t="n">
        <x:f>G38+H38</x:f>
        <x:v>357.38567789382427</x:v>
      </x:c>
      <x:c r="J38" t="n">
        <x:f>IF(A38=0,0,(A38-1)*12+B38)</x:f>
        <x:v>25</x:v>
      </x:c>
      <x:c r="K38" t="n">
        <x:f>(1+Parameters!$B$6)^(J38/12)</x:f>
        <x:v>1.0743003784803427</x:v>
      </x:c>
      <x:c r="L38" t="n">
        <x:f>I38/K38</x:f>
        <x:v>332.66829748246585</x:v>
      </x:c>
    </x:row>
    <x:row r="39">
      <x:c r="A39" t="n">
        <x:v>3</x:v>
      </x:c>
      <x:c r="B39" t="n">
        <x:v>2</x:v>
      </x:c>
      <x:c r="C39" t="n">
        <x:v>28</x:v>
      </x:c>
      <x:c r="D39" t="n">
        <x:v>923.6252753036425</x:v>
      </x:c>
      <x:c r="E39" t="n">
        <x:f>IF(A39=0,1,(1+Parameters!$B$5)^(A39-1))</x:f>
        <x:v>1.0404</x:v>
      </x:c>
      <x:c r="F39" t="n">
        <x:f>Parameters!$B$2*E39</x:f>
        <x:v>0.36413999999999996</x:v>
      </x:c>
      <x:c r="G39" t="n">
        <x:f>D39*F39</x:f>
        <x:v>336.3289077490684</x:v>
      </x:c>
      <x:c r="H39" t="n">
        <x:f>C39*Parameters!$B$4</x:f>
        <x:v>19.599999999999998</x:v>
      </x:c>
      <x:c r="I39" t="n">
        <x:f>G39+H39</x:f>
        <x:v>355.9289077490684</x:v>
      </x:c>
      <x:c r="J39" t="n">
        <x:f>IF(A39=0,0,(A39-1)*12+B39)</x:f>
        <x:v>26</x:v>
      </x:c>
      <x:c r="K39" t="n">
        <x:f>(1+Parameters!$B$6)^(J39/12)</x:f>
        <x:v>1.0773845860608253</x:v>
      </x:c>
      <x:c r="L39" t="n">
        <x:f>I39/K39</x:f>
        <x:v>330.3638388316184</x:v>
      </x:c>
    </x:row>
    <x:row r="40">
      <x:c r="A40" t="n">
        <x:v>3</x:v>
      </x:c>
      <x:c r="B40" t="n">
        <x:v>3</x:v>
      </x:c>
      <x:c r="C40" t="n">
        <x:v>31</x:v>
      </x:c>
      <x:c r="D40" t="n">
        <x:v>907.7273550059616</x:v>
      </x:c>
      <x:c r="E40" t="n">
        <x:f>IF(A40=0,1,(1+Parameters!$B$5)^(A40-1))</x:f>
        <x:v>1.0404</x:v>
      </x:c>
      <x:c r="F40" t="n">
        <x:f>Parameters!$B$2*E40</x:f>
        <x:v>0.36413999999999996</x:v>
      </x:c>
      <x:c r="G40" t="n">
        <x:f>D40*F40</x:f>
        <x:v>330.53983905187084</x:v>
      </x:c>
      <x:c r="H40" t="n">
        <x:f>C40*Parameters!$B$4</x:f>
        <x:v>21.7</x:v>
      </x:c>
      <x:c r="I40" t="n">
        <x:f>G40+H40</x:f>
        <x:v>352.23983905187083</x:v>
      </x:c>
      <x:c r="J40" t="n">
        <x:f>IF(A40=0,0,(A40-1)*12+B40)</x:f>
        <x:v>27</x:v>
      </x:c>
      <x:c r="K40" t="n">
        <x:f>(1+Parameters!$B$6)^(J40/12)</x:f>
        <x:v>1.0804776480889005</x:v>
      </x:c>
      <x:c r="L40" t="n">
        <x:f>I40/K40</x:f>
        <x:v>326.00381847315083</x:v>
      </x:c>
    </x:row>
    <x:row r="41">
      <x:c r="A41" t="n">
        <x:v>3</x:v>
      </x:c>
      <x:c r="B41" t="n">
        <x:v>4</x:v>
      </x:c>
      <x:c r="C41" t="n">
        <x:v>30</x:v>
      </x:c>
      <x:c r="D41" t="n">
        <x:v>951.0096133576476</x:v>
      </x:c>
      <x:c r="E41" t="n">
        <x:f>IF(A41=0,1,(1+Parameters!$B$5)^(A41-1))</x:f>
        <x:v>1.0404</x:v>
      </x:c>
      <x:c r="F41" t="n">
        <x:f>Parameters!$B$2*E41</x:f>
        <x:v>0.36413999999999996</x:v>
      </x:c>
      <x:c r="G41" t="n">
        <x:f>D41*F41</x:f>
        <x:v>346.30064060805375</x:v>
      </x:c>
      <x:c r="H41" t="n">
        <x:f>C41*Parameters!$B$4</x:f>
        <x:v>21</x:v>
      </x:c>
      <x:c r="I41" t="n">
        <x:f>G41+H41</x:f>
        <x:v>367.30064060805375</x:v>
      </x:c>
      <x:c r="J41" t="n">
        <x:f>IF(A41=0,0,(A41-1)*12+B41)</x:f>
        <x:v>28</x:v>
      </x:c>
      <x:c r="K41" t="n">
        <x:f>(1+Parameters!$B$6)^(J41/12)</x:f>
        <x:v>1.0835795899847898</x:v>
      </x:c>
      <x:c r="L41" t="n">
        <x:f>I41/K41</x:f>
        <x:v>338.9696926768523</x:v>
      </x:c>
    </x:row>
    <x:row r="42">
      <x:c r="A42" t="n">
        <x:v>3</x:v>
      </x:c>
      <x:c r="B42" t="n">
        <x:v>5</x:v>
      </x:c>
      <x:c r="C42" t="n">
        <x:v>31</x:v>
      </x:c>
      <x:c r="D42" t="n">
        <x:v>480.47</x:v>
      </x:c>
      <x:c r="E42" t="n">
        <x:f>IF(A42=0,1,(1+Parameters!$B$5)^(A42-1))</x:f>
        <x:v>1.0404</x:v>
      </x:c>
      <x:c r="F42" t="n">
        <x:f>Parameters!$B$2*E42</x:f>
        <x:v>0.36413999999999996</x:v>
      </x:c>
      <x:c r="G42" t="n">
        <x:f>D42*F42</x:f>
        <x:v>174.9583458</x:v>
      </x:c>
      <x:c r="H42" t="n">
        <x:f>C42*Parameters!$B$4</x:f>
        <x:v>21.7</x:v>
      </x:c>
      <x:c r="I42" t="n">
        <x:f>G42+H42</x:f>
        <x:v>196.65834579999998</x:v>
      </x:c>
      <x:c r="J42" t="n">
        <x:f>IF(A42=0,0,(A42-1)*12+B42)</x:f>
        <x:v>29</x:v>
      </x:c>
      <x:c r="K42" t="n">
        <x:f>(1+Parameters!$B$6)^(J42/12)</x:f>
        <x:v>1.0866904372416946</x:v>
      </x:c>
      <x:c r="L42" t="n">
        <x:f>I42/K42</x:f>
        <x:v>180.96997917748357</x:v>
      </x:c>
    </x:row>
    <x:row r="43">
      <x:c r="A43" t="n">
        <x:v>3</x:v>
      </x:c>
      <x:c r="B43" t="n">
        <x:v>6</x:v>
      </x:c>
      <x:c r="C43" t="n">
        <x:v>30</x:v>
      </x:c>
      <x:c r="D43" t="n">
        <x:v>491.73604926348474</x:v>
      </x:c>
      <x:c r="E43" t="n">
        <x:f>IF(A43=0,1,(1+Parameters!$B$5)^(A43-1))</x:f>
        <x:v>1.0404</x:v>
      </x:c>
      <x:c r="F43" t="n">
        <x:f>Parameters!$B$2*E43</x:f>
        <x:v>0.36413999999999996</x:v>
      </x:c>
      <x:c r="G43" t="n">
        <x:f>D43*F43</x:f>
        <x:v>179.0607649788053</x:v>
      </x:c>
      <x:c r="H43" t="n">
        <x:f>C43*Parameters!$B$4</x:f>
        <x:v>21</x:v>
      </x:c>
      <x:c r="I43" t="n">
        <x:f>G43+H43</x:f>
        <x:v>200.0607649788053</x:v>
      </x:c>
      <x:c r="J43" t="n">
        <x:f>IF(A43=0,0,(A43-1)*12+B43)</x:f>
        <x:v>30</x:v>
      </x:c>
      <x:c r="K43" t="n">
        <x:f>(1+Parameters!$B$6)^(J43/12)</x:f>
        <x:v>1.0898102154260045</x:v>
      </x:c>
      <x:c r="L43" t="n">
        <x:f>I43/K43</x:f>
        <x:v>183.5739490665372</x:v>
      </x:c>
    </x:row>
    <x:row r="44">
      <x:c r="A44" t="n">
        <x:v>3</x:v>
      </x:c>
      <x:c r="B44" t="n">
        <x:v>7</x:v>
      </x:c>
      <x:c r="C44" t="n">
        <x:v>31</x:v>
      </x:c>
      <x:c r="D44" t="n">
        <x:v>504.2151798375662</x:v>
      </x:c>
      <x:c r="E44" t="n">
        <x:f>IF(A44=0,1,(1+Parameters!$B$5)^(A44-1))</x:f>
        <x:v>1.0404</x:v>
      </x:c>
      <x:c r="F44" t="n">
        <x:f>Parameters!$B$2*E44</x:f>
        <x:v>0.36413999999999996</x:v>
      </x:c>
      <x:c r="G44" t="n">
        <x:f>D44*F44</x:f>
        <x:v>183.60491558605133</x:v>
      </x:c>
      <x:c r="H44" t="n">
        <x:f>C44*Parameters!$B$4</x:f>
        <x:v>21.7</x:v>
      </x:c>
      <x:c r="I44" t="n">
        <x:f>G44+H44</x:f>
        <x:v>205.30491558605132</x:v>
      </x:c>
      <x:c r="J44" t="n">
        <x:f>IF(A44=0,0,(A44-1)*12+B44)</x:f>
        <x:v>31</x:v>
      </x:c>
      <x:c r="K44" t="n">
        <x:f>(1+Parameters!$B$6)^(J44/12)</x:f>
        <x:v>1.0929389501775078</x:v>
      </x:c>
      <x:c r="L44" t="n">
        <x:f>I44/K44</x:f>
        <x:v>187.84664555390498</x:v>
      </x:c>
    </x:row>
    <x:row r="45">
      <x:c r="A45" t="n">
        <x:v>3</x:v>
      </x:c>
      <x:c r="B45" t="n">
        <x:v>8</x:v>
      </x:c>
      <x:c r="C45" t="n">
        <x:v>31</x:v>
      </x:c>
      <x:c r="D45" t="n">
        <x:v>495.0866822817727</x:v>
      </x:c>
      <x:c r="E45" t="n">
        <x:f>IF(A45=0,1,(1+Parameters!$B$5)^(A45-1))</x:f>
        <x:v>1.0404</x:v>
      </x:c>
      <x:c r="F45" t="n">
        <x:f>Parameters!$B$2*E45</x:f>
        <x:v>0.36413999999999996</x:v>
      </x:c>
      <x:c r="G45" t="n">
        <x:f>D45*F45</x:f>
        <x:v>180.2808644860847</x:v>
      </x:c>
      <x:c r="H45" t="n">
        <x:f>C45*Parameters!$B$4</x:f>
        <x:v>21.7</x:v>
      </x:c>
      <x:c r="I45" t="n">
        <x:f>G45+H45</x:f>
        <x:v>201.9808644860847</x:v>
      </x:c>
      <x:c r="J45" t="n">
        <x:f>IF(A45=0,0,(A45-1)*12+B45)</x:f>
        <x:v>32</x:v>
      </x:c>
      <x:c r="K45" t="n">
        <x:f>(1+Parameters!$B$6)^(J45/12)</x:f>
        <x:v>1.0960766672096012</x:v>
      </x:c>
      <x:c r="L45" t="n">
        <x:f>I45/K45</x:f>
        <x:v>184.27621947312213</x:v>
      </x:c>
    </x:row>
    <x:row r="46">
      <x:c r="A46" t="n">
        <x:v>3</x:v>
      </x:c>
      <x:c r="B46" t="n">
        <x:v>9</x:v>
      </x:c>
      <x:c r="C46" t="n">
        <x:v>30</x:v>
      </x:c>
      <x:c r="D46" t="n">
        <x:v>484.7338669519189</x:v>
      </x:c>
      <x:c r="E46" t="n">
        <x:f>IF(A46=0,1,(1+Parameters!$B$5)^(A46-1))</x:f>
        <x:v>1.0404</x:v>
      </x:c>
      <x:c r="F46" t="n">
        <x:f>Parameters!$B$2*E46</x:f>
        <x:v>0.36413999999999996</x:v>
      </x:c>
      <x:c r="G46" t="n">
        <x:f>D46*F46</x:f>
        <x:v>176.51099031187172</x:v>
      </x:c>
      <x:c r="H46" t="n">
        <x:f>C46*Parameters!$B$4</x:f>
        <x:v>21</x:v>
      </x:c>
      <x:c r="I46" t="n">
        <x:f>G46+H46</x:f>
        <x:v>197.51099031187172</x:v>
      </x:c>
      <x:c r="J46" t="n">
        <x:f>IF(A46=0,0,(A46-1)*12+B46)</x:f>
        <x:v>33</x:v>
      </x:c>
      <x:c r="K46" t="n">
        <x:f>(1+Parameters!$B$6)^(J46/12)</x:f>
        <x:v>1.0992233923095032</x:v>
      </x:c>
      <x:c r="L46" t="n">
        <x:f>I46/K46</x:f>
        <x:v>179.6823026999952</x:v>
      </x:c>
    </x:row>
    <x:row r="47">
      <x:c r="A47" t="n">
        <x:v>3</x:v>
      </x:c>
      <x:c r="B47" t="n">
        <x:v>10</x:v>
      </x:c>
      <x:c r="C47" t="n">
        <x:v>31</x:v>
      </x:c>
      <x:c r="D47" t="n">
        <x:v>965.136511636476</x:v>
      </x:c>
      <x:c r="E47" t="n">
        <x:f>IF(A47=0,1,(1+Parameters!$B$5)^(A47-1))</x:f>
        <x:v>1.0404</x:v>
      </x:c>
      <x:c r="F47" t="n">
        <x:f>Parameters!$B$2*E47</x:f>
        <x:v>0.36413999999999996</x:v>
      </x:c>
      <x:c r="G47" t="n">
        <x:f>D47*F47</x:f>
        <x:v>351.4448093473063</x:v>
      </x:c>
      <x:c r="H47" t="n">
        <x:f>C47*Parameters!$B$4</x:f>
        <x:v>21.7</x:v>
      </x:c>
      <x:c r="I47" t="n">
        <x:f>G47+H47</x:f>
        <x:v>373.1448093473063</x:v>
      </x:c>
      <x:c r="J47" t="n">
        <x:f>IF(A47=0,0,(A47-1)*12+B47)</x:f>
        <x:v>34</x:v>
      </x:c>
      <x:c r="K47" t="n">
        <x:f>(1+Parameters!$B$6)^(J47/12)</x:f>
        <x:v>1.1023791513384635</x:v>
      </x:c>
      <x:c r="L47" t="n">
        <x:f>I47/K47</x:f>
        <x:v>338.4904448657698</x:v>
      </x:c>
    </x:row>
    <x:row r="48">
      <x:c r="A48" t="n">
        <x:v>3</x:v>
      </x:c>
      <x:c r="B48" t="n">
        <x:v>11</x:v>
      </x:c>
      <x:c r="C48" t="n">
        <x:v>30</x:v>
      </x:c>
      <x:c r="D48" t="n">
        <x:v>948.3641557590579</x:v>
      </x:c>
      <x:c r="E48" t="n">
        <x:f>IF(A48=0,1,(1+Parameters!$B$5)^(A48-1))</x:f>
        <x:v>1.0404</x:v>
      </x:c>
      <x:c r="F48" t="n">
        <x:f>Parameters!$B$2*E48</x:f>
        <x:v>0.36413999999999996</x:v>
      </x:c>
      <x:c r="G48" t="n">
        <x:f>D48*F48</x:f>
        <x:v>345.3373236781033</x:v>
      </x:c>
      <x:c r="H48" t="n">
        <x:f>C48*Parameters!$B$4</x:f>
        <x:v>21</x:v>
      </x:c>
      <x:c r="I48" t="n">
        <x:f>G48+H48</x:f>
        <x:v>366.3373236781033</x:v>
      </x:c>
      <x:c r="J48" t="n">
        <x:f>IF(A48=0,0,(A48-1)*12+B48)</x:f>
        <x:v>35</x:v>
      </x:c>
      <x:c r="K48" t="n">
        <x:f>(1+Parameters!$B$6)^(J48/12)</x:f>
        <x:v>1.1055439702319778</x:v>
      </x:c>
      <x:c r="L48" t="n">
        <x:f>I48/K48</x:f>
        <x:v>331.36386570064167</x:v>
      </x:c>
    </x:row>
    <x:row r="49">
      <x:c r="A49" t="n">
        <x:v>3</x:v>
      </x:c>
      <x:c r="B49" t="n">
        <x:v>12</x:v>
      </x:c>
      <x:c r="C49" t="n">
        <x:v>31</x:v>
      </x:c>
      <x:c r="D49" t="n">
        <x:v>928.0366698691505</x:v>
      </x:c>
      <x:c r="E49" t="n">
        <x:f>IF(A49=0,1,(1+Parameters!$B$5)^(A49-1))</x:f>
        <x:v>1.0404</x:v>
      </x:c>
      <x:c r="F49" t="n">
        <x:f>Parameters!$B$2*E49</x:f>
        <x:v>0.36413999999999996</x:v>
      </x:c>
      <x:c r="G49" t="n">
        <x:f>D49*F49</x:f>
        <x:v>337.9352729661524</x:v>
      </x:c>
      <x:c r="H49" t="n">
        <x:f>C49*Parameters!$B$4</x:f>
        <x:v>21.7</x:v>
      </x:c>
      <x:c r="I49" t="n">
        <x:f>G49+H49</x:f>
        <x:v>359.6352729661524</x:v>
      </x:c>
      <x:c r="J49" t="n">
        <x:f>IF(A49=0,0,(A49-1)*12+B49)</x:f>
        <x:v>36</x:v>
      </x:c>
      <x:c r="K49" t="n">
        <x:f>(1+Parameters!$B$6)^(J49/12)</x:f>
        <x:v>1.1087178749999997</x:v>
      </x:c>
      <x:c r="L49" t="n">
        <x:f>I49/K49</x:f>
        <x:v>324.3704111527493</x:v>
      </x:c>
    </x:row>
    <x:row r="50">
      <x:c r="A50" t="n">
        <x:v>4</x:v>
      </x:c>
      <x:c r="B50" t="n">
        <x:v>1</x:v>
      </x:c>
      <x:c r="C50" t="n">
        <x:v>31</x:v>
      </x:c>
      <x:c r="D50" t="n">
        <x:v>921.8588397150115</x:v>
      </x:c>
      <x:c r="E50" t="n">
        <x:f>IF(A50=0,1,(1+Parameters!$B$5)^(A50-1))</x:f>
        <x:v>1.0612080000000002</x:v>
      </x:c>
      <x:c r="F50" t="n">
        <x:f>Parameters!$B$2*E50</x:f>
        <x:v>0.37142280000000005</x:v>
      </x:c>
      <x:c r="G50" t="n">
        <x:f>D50*F50</x:f>
        <x:v>342.3993914517008</x:v>
      </x:c>
      <x:c r="H50" t="n">
        <x:f>C50*Parameters!$B$4</x:f>
        <x:v>21.7</x:v>
      </x:c>
      <x:c r="I50" t="n">
        <x:f>G50+H50</x:f>
        <x:v>364.0993914517008</x:v>
      </x:c>
      <x:c r="J50" t="n">
        <x:f>IF(A50=0,0,(A50-1)*12+B50)</x:f>
        <x:v>37</x:v>
      </x:c>
      <x:c r="K50" t="n">
        <x:f>(1+Parameters!$B$6)^(J50/12)</x:f>
        <x:v>1.1119008917271547</x:v>
      </x:c>
      <x:c r="L50" t="n">
        <x:f>I50/K50</x:f>
        <x:v>327.45669525107803</x:v>
      </x:c>
    </x:row>
    <x:row r="51">
      <x:c r="A51" t="n">
        <x:v>4</x:v>
      </x:c>
      <x:c r="B51" t="n">
        <x:v>2</x:v>
      </x:c>
      <x:c r="C51" t="n">
        <x:v>28</x:v>
      </x:c>
      <x:c r="D51" t="n">
        <x:v>923.6252753036425</x:v>
      </x:c>
      <x:c r="E51" t="n">
        <x:f>IF(A51=0,1,(1+Parameters!$B$5)^(A51-1))</x:f>
        <x:v>1.0612080000000002</x:v>
      </x:c>
      <x:c r="F51" t="n">
        <x:f>Parameters!$B$2*E51</x:f>
        <x:v>0.37142280000000005</x:v>
      </x:c>
      <x:c r="G51" t="n">
        <x:f>D51*F51</x:f>
        <x:v>343.0554859040498</x:v>
      </x:c>
      <x:c r="H51" t="n">
        <x:f>C51*Parameters!$B$4</x:f>
        <x:v>19.599999999999998</x:v>
      </x:c>
      <x:c r="I51" t="n">
        <x:f>G51+H51</x:f>
        <x:v>362.65548590404984</x:v>
      </x:c>
      <x:c r="J51" t="n">
        <x:f>IF(A51=0,0,(A51-1)*12+B51)</x:f>
        <x:v>38</x:v>
      </x:c>
      <x:c r="K51" t="n">
        <x:f>(1+Parameters!$B$6)^(J51/12)</x:f>
        <x:v>1.1150930465729543</x:v>
      </x:c>
      <x:c r="L51" t="n">
        <x:f>I51/K51</x:f>
        <x:v>325.224416938666</x:v>
      </x:c>
    </x:row>
    <x:row r="52">
      <x:c r="A52" t="n">
        <x:v>4</x:v>
      </x:c>
      <x:c r="B52" t="n">
        <x:v>3</x:v>
      </x:c>
      <x:c r="C52" t="n">
        <x:v>31</x:v>
      </x:c>
      <x:c r="D52" t="n">
        <x:v>907.7273550059616</x:v>
      </x:c>
      <x:c r="E52" t="n">
        <x:f>IF(A52=0,1,(1+Parameters!$B$5)^(A52-1))</x:f>
        <x:v>1.0612080000000002</x:v>
      </x:c>
      <x:c r="F52" t="n">
        <x:f>Parameters!$B$2*E52</x:f>
        <x:v>0.37142280000000005</x:v>
      </x:c>
      <x:c r="G52" t="n">
        <x:f>D52*F52</x:f>
        <x:v>337.15063583290834</x:v>
      </x:c>
      <x:c r="H52" t="n">
        <x:f>C52*Parameters!$B$4</x:f>
        <x:v>21.7</x:v>
      </x:c>
      <x:c r="I52" t="n">
        <x:f>G52+H52</x:f>
        <x:v>358.8506358329083</x:v>
      </x:c>
      <x:c r="J52" t="n">
        <x:f>IF(A52=0,0,(A52-1)*12+B52)</x:f>
        <x:v>39</x:v>
      </x:c>
      <x:c r="K52" t="n">
        <x:f>(1+Parameters!$B$6)^(J52/12)</x:f>
        <x:v>1.1182943657720117</x:v>
      </x:c>
      <x:c r="L52" t="n">
        <x:f>I52/K52</x:f>
        <x:v>320.8910344327602</x:v>
      </x:c>
    </x:row>
    <x:row r="53">
      <x:c r="A53" t="n">
        <x:v>4</x:v>
      </x:c>
      <x:c r="B53" t="n">
        <x:v>4</x:v>
      </x:c>
      <x:c r="C53" t="n">
        <x:v>30</x:v>
      </x:c>
      <x:c r="D53" t="n">
        <x:v>951.0096133576476</x:v>
      </x:c>
      <x:c r="E53" t="n">
        <x:f>IF(A53=0,1,(1+Parameters!$B$5)^(A53-1))</x:f>
        <x:v>1.0612080000000002</x:v>
      </x:c>
      <x:c r="F53" t="n">
        <x:f>Parameters!$B$2*E53</x:f>
        <x:v>0.37142280000000005</x:v>
      </x:c>
      <x:c r="G53" t="n">
        <x:f>D53*F53</x:f>
        <x:v>353.2266534202149</x:v>
      </x:c>
      <x:c r="H53" t="n">
        <x:f>C53*Parameters!$B$4</x:f>
        <x:v>21</x:v>
      </x:c>
      <x:c r="I53" t="n">
        <x:f>G53+H53</x:f>
        <x:v>374.2266534202149</x:v>
      </x:c>
      <x:c r="J53" t="n">
        <x:f>IF(A53=0,0,(A53-1)*12+B53)</x:f>
        <x:v>40</x:v>
      </x:c>
      <x:c r="K53" t="n">
        <x:f>(1+Parameters!$B$6)^(J53/12)</x:f>
        <x:v>1.1215048756342572</x:v>
      </x:c>
      <x:c r="L53" t="n">
        <x:f>I53/K53</x:f>
        <x:v>333.6825916236649</x:v>
      </x:c>
    </x:row>
    <x:row r="54">
      <x:c r="A54" t="n">
        <x:v>4</x:v>
      </x:c>
      <x:c r="B54" t="n">
        <x:v>5</x:v>
      </x:c>
      <x:c r="C54" t="n">
        <x:v>31</x:v>
      </x:c>
      <x:c r="D54" t="n">
        <x:v>480.47</x:v>
      </x:c>
      <x:c r="E54" t="n">
        <x:f>IF(A54=0,1,(1+Parameters!$B$5)^(A54-1))</x:f>
        <x:v>1.0612080000000002</x:v>
      </x:c>
      <x:c r="F54" t="n">
        <x:f>Parameters!$B$2*E54</x:f>
        <x:v>0.37142280000000005</x:v>
      </x:c>
      <x:c r="G54" t="n">
        <x:f>D54*F54</x:f>
        <x:v>178.45751271600002</x:v>
      </x:c>
      <x:c r="H54" t="n">
        <x:f>C54*Parameters!$B$4</x:f>
        <x:v>21.7</x:v>
      </x:c>
      <x:c r="I54" t="n">
        <x:f>G54+H54</x:f>
        <x:v>200.157512716</x:v>
      </x:c>
      <x:c r="J54" t="n">
        <x:f>IF(A54=0,0,(A54-1)*12+B54)</x:f>
        <x:v>41</x:v>
      </x:c>
      <x:c r="K54" t="n">
        <x:f>(1+Parameters!$B$6)^(J54/12)</x:f>
        <x:v>1.1247246025451538</x:v>
      </x:c>
      <x:c r="L54" t="n">
        <x:f>I54/K54</x:f>
        <x:v>177.96135361764203</x:v>
      </x:c>
    </x:row>
    <x:row r="55">
      <x:c r="A55" t="n">
        <x:v>4</x:v>
      </x:c>
      <x:c r="B55" t="n">
        <x:v>6</x:v>
      </x:c>
      <x:c r="C55" t="n">
        <x:v>30</x:v>
      </x:c>
      <x:c r="D55" t="n">
        <x:v>491.73604926348474</x:v>
      </x:c>
      <x:c r="E55" t="n">
        <x:f>IF(A55=0,1,(1+Parameters!$B$5)^(A55-1))</x:f>
        <x:v>1.0612080000000002</x:v>
      </x:c>
      <x:c r="F55" t="n">
        <x:f>Parameters!$B$2*E55</x:f>
        <x:v>0.37142280000000005</x:v>
      </x:c>
      <x:c r="G55" t="n">
        <x:f>D55*F55</x:f>
        <x:v>182.64198027838148</x:v>
      </x:c>
      <x:c r="H55" t="n">
        <x:f>C55*Parameters!$B$4</x:f>
        <x:v>21</x:v>
      </x:c>
      <x:c r="I55" t="n">
        <x:f>G55+H55</x:f>
        <x:v>203.64198027838148</x:v>
      </x:c>
      <x:c r="J55" t="n">
        <x:f>IF(A55=0,0,(A55-1)*12+B55)</x:f>
        <x:v>42</x:v>
      </x:c>
      <x:c r="K55" t="n">
        <x:f>(1+Parameters!$B$6)^(J55/12)</x:f>
        <x:v>1.1279535729659147</x:v>
      </x:c>
      <x:c r="L55" t="n">
        <x:f>I55/K55</x:f>
        <x:v>180.54110129986287</x:v>
      </x:c>
    </x:row>
    <x:row r="56">
      <x:c r="A56" t="n">
        <x:v>4</x:v>
      </x:c>
      <x:c r="B56" t="n">
        <x:v>7</x:v>
      </x:c>
      <x:c r="C56" t="n">
        <x:v>31</x:v>
      </x:c>
      <x:c r="D56" t="n">
        <x:v>504.2151798375662</x:v>
      </x:c>
      <x:c r="E56" t="n">
        <x:f>IF(A56=0,1,(1+Parameters!$B$5)^(A56-1))</x:f>
        <x:v>1.0612080000000002</x:v>
      </x:c>
      <x:c r="F56" t="n">
        <x:f>Parameters!$B$2*E56</x:f>
        <x:v>0.37142280000000005</x:v>
      </x:c>
      <x:c r="G56" t="n">
        <x:f>D56*F56</x:f>
        <x:v>187.2770138977724</x:v>
      </x:c>
      <x:c r="H56" t="n">
        <x:f>C56*Parameters!$B$4</x:f>
        <x:v>21.7</x:v>
      </x:c>
      <x:c r="I56" t="n">
        <x:f>G56+H56</x:f>
        <x:v>208.9770138977724</x:v>
      </x:c>
      <x:c r="J56" t="n">
        <x:f>IF(A56=0,0,(A56-1)*12+B56)</x:f>
        <x:v>43</x:v>
      </x:c>
      <x:c r="K56" t="n">
        <x:f>(1+Parameters!$B$6)^(J56/12)</x:f>
        <x:v>1.1311918134337204</x:v>
      </x:c>
      <x:c r="L56" t="n">
        <x:f>I56/K56</x:f>
        <x:v>184.74056425799702</x:v>
      </x:c>
    </x:row>
    <x:row r="57">
      <x:c r="A57" t="n">
        <x:v>4</x:v>
      </x:c>
      <x:c r="B57" t="n">
        <x:v>8</x:v>
      </x:c>
      <x:c r="C57" t="n">
        <x:v>31</x:v>
      </x:c>
      <x:c r="D57" t="n">
        <x:v>495.0866822817727</x:v>
      </x:c>
      <x:c r="E57" t="n">
        <x:f>IF(A57=0,1,(1+Parameters!$B$5)^(A57-1))</x:f>
        <x:v>1.0612080000000002</x:v>
      </x:c>
      <x:c r="F57" t="n">
        <x:f>Parameters!$B$2*E57</x:f>
        <x:v>0.37142280000000005</x:v>
      </x:c>
      <x:c r="G57" t="n">
        <x:f>D57*F57</x:f>
        <x:v>183.88648177580643</x:v>
      </x:c>
      <x:c r="H57" t="n">
        <x:f>C57*Parameters!$B$4</x:f>
        <x:v>21.7</x:v>
      </x:c>
      <x:c r="I57" t="n">
        <x:f>G57+H57</x:f>
        <x:v>205.58648177580642</x:v>
      </x:c>
      <x:c r="J57" t="n">
        <x:f>IF(A57=0,0,(A57-1)*12+B57)</x:f>
        <x:v>44</x:v>
      </x:c>
      <x:c r="K57" t="n">
        <x:f>(1+Parameters!$B$6)^(J57/12)</x:f>
        <x:v>1.1344393505619372</x:v>
      </x:c>
      <x:c r="L57" t="n">
        <x:f>I57/K57</x:f>
        <x:v>181.22298179622425</x:v>
      </x:c>
    </x:row>
    <x:row r="58">
      <x:c r="A58" t="n">
        <x:v>4</x:v>
      </x:c>
      <x:c r="B58" t="n">
        <x:v>9</x:v>
      </x:c>
      <x:c r="C58" t="n">
        <x:v>30</x:v>
      </x:c>
      <x:c r="D58" t="n">
        <x:v>484.7338669519189</x:v>
      </x:c>
      <x:c r="E58" t="n">
        <x:f>IF(A58=0,1,(1+Parameters!$B$5)^(A58-1))</x:f>
        <x:v>1.0612080000000002</x:v>
      </x:c>
      <x:c r="F58" t="n">
        <x:f>Parameters!$B$2*E58</x:f>
        <x:v>0.37142280000000005</x:v>
      </x:c>
      <x:c r="G58" t="n">
        <x:f>D58*F58</x:f>
        <x:v>180.0412101181092</x:v>
      </x:c>
      <x:c r="H58" t="n">
        <x:f>C58*Parameters!$B$4</x:f>
        <x:v>21</x:v>
      </x:c>
      <x:c r="I58" t="n">
        <x:f>G58+H58</x:f>
        <x:v>201.0412101181092</x:v>
      </x:c>
      <x:c r="J58" t="n">
        <x:f>IF(A58=0,0,(A58-1)*12+B58)</x:f>
        <x:v>45</x:v>
      </x:c>
      <x:c r="K58" t="n">
        <x:f>(1+Parameters!$B$6)^(J58/12)</x:f>
        <x:v>1.1376962110403357</x:v>
      </x:c>
      <x:c r="L58" t="n">
        <x:f>I58/K58</x:f>
        <x:v>176.70904426610727</x:v>
      </x:c>
    </x:row>
    <x:row r="59">
      <x:c r="A59" t="n">
        <x:v>4</x:v>
      </x:c>
      <x:c r="B59" t="n">
        <x:v>10</x:v>
      </x:c>
      <x:c r="C59" t="n">
        <x:v>31</x:v>
      </x:c>
      <x:c r="D59" t="n">
        <x:v>965.136511636476</x:v>
      </x:c>
      <x:c r="E59" t="n">
        <x:f>IF(A59=0,1,(1+Parameters!$B$5)^(A59-1))</x:f>
        <x:v>1.0612080000000002</x:v>
      </x:c>
      <x:c r="F59" t="n">
        <x:f>Parameters!$B$2*E59</x:f>
        <x:v>0.37142280000000005</x:v>
      </x:c>
      <x:c r="G59" t="n">
        <x:f>D59*F59</x:f>
        <x:v>358.4737055342526</x:v>
      </x:c>
      <x:c r="H59" t="n">
        <x:f>C59*Parameters!$B$4</x:f>
        <x:v>21.7</x:v>
      </x:c>
      <x:c r="I59" t="n">
        <x:f>G59+H59</x:f>
        <x:v>380.1737055342526</x:v>
      </x:c>
      <x:c r="J59" t="n">
        <x:f>IF(A59=0,0,(A59-1)*12+B59)</x:f>
        <x:v>46</x:v>
      </x:c>
      <x:c r="K59" t="n">
        <x:f>(1+Parameters!$B$6)^(J59/12)</x:f>
        <x:v>1.1409624216353096</x:v>
      </x:c>
      <x:c r="L59" t="n">
        <x:f>I59/K59</x:f>
        <x:v>333.2044056186883</x:v>
      </x:c>
    </x:row>
    <x:row r="60">
      <x:c r="A60" t="n">
        <x:v>4</x:v>
      </x:c>
      <x:c r="B60" t="n">
        <x:v>11</x:v>
      </x:c>
      <x:c r="C60" t="n">
        <x:v>30</x:v>
      </x:c>
      <x:c r="D60" t="n">
        <x:v>948.3641557590579</x:v>
      </x:c>
      <x:c r="E60" t="n">
        <x:f>IF(A60=0,1,(1+Parameters!$B$5)^(A60-1))</x:f>
        <x:v>1.0612080000000002</x:v>
      </x:c>
      <x:c r="F60" t="n">
        <x:f>Parameters!$B$2*E60</x:f>
        <x:v>0.37142280000000005</x:v>
      </x:c>
      <x:c r="G60" t="n">
        <x:f>D60*F60</x:f>
        <x:v>352.2440701516655</x:v>
      </x:c>
      <x:c r="H60" t="n">
        <x:f>C60*Parameters!$B$4</x:f>
        <x:v>21</x:v>
      </x:c>
      <x:c r="I60" t="n">
        <x:f>G60+H60</x:f>
        <x:v>373.2440701516655</x:v>
      </x:c>
      <x:c r="J60" t="n">
        <x:f>IF(A60=0,0,(A60-1)*12+B60)</x:f>
        <x:v>47</x:v>
      </x:c>
      <x:c r="K60" t="n">
        <x:f>(1+Parameters!$B$6)^(J60/12)</x:f>
        <x:v>1.144238009190097</x:v>
      </x:c>
      <x:c r="L60" t="n">
        <x:f>I60/K60</x:f>
        <x:v>326.1944343343841</x:v>
      </x:c>
    </x:row>
    <x:row r="61">
      <x:c r="A61" t="n">
        <x:v>4</x:v>
      </x:c>
      <x:c r="B61" t="n">
        <x:v>12</x:v>
      </x:c>
      <x:c r="C61" t="n">
        <x:v>31</x:v>
      </x:c>
      <x:c r="D61" t="n">
        <x:v>928.0366698691505</x:v>
      </x:c>
      <x:c r="E61" t="n">
        <x:f>IF(A61=0,1,(1+Parameters!$B$5)^(A61-1))</x:f>
        <x:v>1.0612080000000002</x:v>
      </x:c>
      <x:c r="F61" t="n">
        <x:f>Parameters!$B$2*E61</x:f>
        <x:v>0.37142280000000005</x:v>
      </x:c>
      <x:c r="G61" t="n">
        <x:f>D61*F61</x:f>
        <x:v>344.69397842547556</x:v>
      </x:c>
      <x:c r="H61" t="n">
        <x:f>C61*Parameters!$B$4</x:f>
        <x:v>21.7</x:v>
      </x:c>
      <x:c r="I61" t="n">
        <x:f>G61+H61</x:f>
        <x:v>366.39397842547555</x:v>
      </x:c>
      <x:c r="J61" t="n">
        <x:f>IF(A61=0,0,(A61-1)*12+B61)</x:f>
        <x:v>48</x:v>
      </x:c>
      <x:c r="K61" t="n">
        <x:f>(1+Parameters!$B$6)^(J61/12)</x:f>
        <x:v>1.1475230006249997</x:v>
      </x:c>
      <x:c r="L61" t="n">
        <x:f>I61/K61</x:f>
        <x:v>319.2911847744391</x:v>
      </x:c>
    </x:row>
    <x:row r="62">
      <x:c r="A62" t="n">
        <x:v>5</x:v>
      </x:c>
      <x:c r="B62" t="n">
        <x:v>1</x:v>
      </x:c>
      <x:c r="C62" t="n">
        <x:v>31</x:v>
      </x:c>
      <x:c r="D62" t="n">
        <x:v>921.8588397150115</x:v>
      </x:c>
      <x:c r="E62" t="n">
        <x:f>IF(A62=0,1,(1+Parameters!$B$5)^(A62-1))</x:f>
        <x:v>1.08243216</x:v>
      </x:c>
      <x:c r="F62" t="n">
        <x:f>Parameters!$B$2*E62</x:f>
        <x:v>0.37885125599999997</x:v>
      </x:c>
      <x:c r="G62" t="n">
        <x:f>D62*F62</x:f>
        <x:v>349.2473792807348</x:v>
      </x:c>
      <x:c r="H62" t="n">
        <x:f>C62*Parameters!$B$4</x:f>
        <x:v>21.7</x:v>
      </x:c>
      <x:c r="I62" t="n">
        <x:f>G62+H62</x:f>
        <x:v>370.94737928073476</x:v>
      </x:c>
      <x:c r="J62" t="n">
        <x:f>IF(A62=0,0,(A62-1)*12+B62)</x:f>
        <x:v>49</x:v>
      </x:c>
      <x:c r="K62" t="n">
        <x:f>(1+Parameters!$B$6)^(J62/12)</x:f>
        <x:v>1.150817422937605</x:v>
      </x:c>
      <x:c r="L62" t="n">
        <x:f>I62/K62</x:f>
        <x:v>322.3338228003582</x:v>
      </x:c>
    </x:row>
    <x:row r="63">
      <x:c r="A63" t="n">
        <x:v>5</x:v>
      </x:c>
      <x:c r="B63" t="n">
        <x:v>2</x:v>
      </x:c>
      <x:c r="C63" t="n">
        <x:v>28</x:v>
      </x:c>
      <x:c r="D63" t="n">
        <x:v>923.6252753036425</x:v>
      </x:c>
      <x:c r="E63" t="n">
        <x:f>IF(A63=0,1,(1+Parameters!$B$5)^(A63-1))</x:f>
        <x:v>1.08243216</x:v>
      </x:c>
      <x:c r="F63" t="n">
        <x:f>Parameters!$B$2*E63</x:f>
        <x:v>0.37885125599999997</x:v>
      </x:c>
      <x:c r="G63" t="n">
        <x:f>D63*F63</x:f>
        <x:v>349.9165956221307</x:v>
      </x:c>
      <x:c r="H63" t="n">
        <x:f>C63*Parameters!$B$4</x:f>
        <x:v>19.599999999999998</x:v>
      </x:c>
      <x:c r="I63" t="n">
        <x:f>G63+H63</x:f>
        <x:v>369.51659562213075</x:v>
      </x:c>
      <x:c r="J63" t="n">
        <x:f>IF(A63=0,0,(A63-1)*12+B63)</x:f>
        <x:v>50</x:v>
      </x:c>
      <x:c r="K63" t="n">
        <x:f>(1+Parameters!$B$6)^(J63/12)</x:f>
        <x:v>1.1541213032030075</x:v>
      </x:c>
      <x:c r="L63" t="n">
        <x:f>I63/K63</x:f>
        <x:v>320.17136725283507</x:v>
      </x:c>
    </x:row>
    <x:row r="64">
      <x:c r="A64" t="n">
        <x:v>5</x:v>
      </x:c>
      <x:c r="B64" t="n">
        <x:v>3</x:v>
      </x:c>
      <x:c r="C64" t="n">
        <x:v>31</x:v>
      </x:c>
      <x:c r="D64" t="n">
        <x:v>907.7273550059616</x:v>
      </x:c>
      <x:c r="E64" t="n">
        <x:f>IF(A64=0,1,(1+Parameters!$B$5)^(A64-1))</x:f>
        <x:v>1.08243216</x:v>
      </x:c>
      <x:c r="F64" t="n">
        <x:f>Parameters!$B$2*E64</x:f>
        <x:v>0.37885125599999997</x:v>
      </x:c>
      <x:c r="G64" t="n">
        <x:f>D64*F64</x:f>
        <x:v>343.8936485495664</x:v>
      </x:c>
      <x:c r="H64" t="n">
        <x:f>C64*Parameters!$B$4</x:f>
        <x:v>21.7</x:v>
      </x:c>
      <x:c r="I64" t="n">
        <x:f>G64+H64</x:f>
        <x:v>365.5936485495664</x:v>
      </x:c>
      <x:c r="J64" t="n">
        <x:f>IF(A64=0,0,(A64-1)*12+B64)</x:f>
        <x:v>51</x:v>
      </x:c>
      <x:c r="K64" t="n">
        <x:f>(1+Parameters!$B$6)^(J64/12)</x:f>
        <x:v>1.1574346685740322</x:v>
      </x:c>
      <x:c r="L64" t="n">
        <x:f>I64/K64</x:f>
        <x:v>315.86547256268074</x:v>
      </x:c>
    </x:row>
    <x:row r="65">
      <x:c r="A65" t="n">
        <x:v>5</x:v>
      </x:c>
      <x:c r="B65" t="n">
        <x:v>4</x:v>
      </x:c>
      <x:c r="C65" t="n">
        <x:v>30</x:v>
      </x:c>
      <x:c r="D65" t="n">
        <x:v>951.0096133576476</x:v>
      </x:c>
      <x:c r="E65" t="n">
        <x:f>IF(A65=0,1,(1+Parameters!$B$5)^(A65-1))</x:f>
        <x:v>1.08243216</x:v>
      </x:c>
      <x:c r="F65" t="n">
        <x:f>Parameters!$B$2*E65</x:f>
        <x:v>0.37885125599999997</x:v>
      </x:c>
      <x:c r="G65" t="n">
        <x:f>D65*F65</x:f>
        <x:v>360.29118648861913</x:v>
      </x:c>
      <x:c r="H65" t="n">
        <x:f>C65*Parameters!$B$4</x:f>
        <x:v>21</x:v>
      </x:c>
      <x:c r="I65" t="n">
        <x:f>G65+H65</x:f>
        <x:v>381.29118648861913</x:v>
      </x:c>
      <x:c r="J65" t="n">
        <x:f>IF(A65=0,0,(A65-1)*12+B65)</x:f>
        <x:v>52</x:v>
      </x:c>
      <x:c r="K65" t="n">
        <x:f>(1+Parameters!$B$6)^(J65/12)</x:f>
        <x:v>1.160757546281456</x:v>
      </x:c>
      <x:c r="L65" t="n">
        <x:f>I65/K65</x:f>
        <x:v>328.4847793668059</x:v>
      </x:c>
    </x:row>
    <x:row r="66">
      <x:c r="A66" t="n">
        <x:v>5</x:v>
      </x:c>
      <x:c r="B66" t="n">
        <x:v>5</x:v>
      </x:c>
      <x:c r="C66" t="n">
        <x:v>31</x:v>
      </x:c>
      <x:c r="D66" t="n">
        <x:v>480.47</x:v>
      </x:c>
      <x:c r="E66" t="n">
        <x:f>IF(A66=0,1,(1+Parameters!$B$5)^(A66-1))</x:f>
        <x:v>1.08243216</x:v>
      </x:c>
      <x:c r="F66" t="n">
        <x:f>Parameters!$B$2*E66</x:f>
        <x:v>0.37885125599999997</x:v>
      </x:c>
      <x:c r="G66" t="n">
        <x:f>D66*F66</x:f>
        <x:v>182.02666297032</x:v>
      </x:c>
      <x:c r="H66" t="n">
        <x:f>C66*Parameters!$B$4</x:f>
        <x:v>21.7</x:v>
      </x:c>
      <x:c r="I66" t="n">
        <x:f>G66+H66</x:f>
        <x:v>203.72666297031998</x:v>
      </x:c>
      <x:c r="J66" t="n">
        <x:f>IF(A66=0,0,(A66-1)*12+B66)</x:f>
        <x:v>53</x:v>
      </x:c>
      <x:c r="K66" t="n">
        <x:f>(1+Parameters!$B$6)^(J66/12)</x:f>
        <x:v>1.1640899636342341</x:v>
      </x:c>
      <x:c r="L66" t="n">
        <x:f>I66/K66</x:f>
        <x:v>175.00938014644066</x:v>
      </x:c>
    </x:row>
    <x:row r="67">
      <x:c r="A67" t="n">
        <x:v>5</x:v>
      </x:c>
      <x:c r="B67" t="n">
        <x:v>6</x:v>
      </x:c>
      <x:c r="C67" t="n">
        <x:v>30</x:v>
      </x:c>
      <x:c r="D67" t="n">
        <x:v>491.73604926348474</x:v>
      </x:c>
      <x:c r="E67" t="n">
        <x:f>IF(A67=0,1,(1+Parameters!$B$5)^(A67-1))</x:f>
        <x:v>1.08243216</x:v>
      </x:c>
      <x:c r="F67" t="n">
        <x:f>Parameters!$B$2*E67</x:f>
        <x:v>0.37885125599999997</x:v>
      </x:c>
      <x:c r="G67" t="n">
        <x:f>D67*F67</x:f>
        <x:v>186.29481988394906</x:v>
      </x:c>
      <x:c r="H67" t="n">
        <x:f>C67*Parameters!$B$4</x:f>
        <x:v>21</x:v>
      </x:c>
      <x:c r="I67" t="n">
        <x:f>G67+H67</x:f>
        <x:v>207.29481988394906</x:v>
      </x:c>
      <x:c r="J67" t="n">
        <x:f>IF(A67=0,0,(A67-1)*12+B67)</x:f>
        <x:v>54</x:v>
      </x:c>
      <x:c r="K67" t="n">
        <x:f>(1+Parameters!$B$6)^(J67/12)</x:f>
        <x:v>1.1674319480197215</x:v>
      </x:c>
      <x:c r="L67" t="n">
        <x:f>I67/K67</x:f>
        <x:v>177.56479958902685</x:v>
      </x:c>
    </x:row>
    <x:row r="68">
      <x:c r="A68" t="n">
        <x:v>5</x:v>
      </x:c>
      <x:c r="B68" t="n">
        <x:v>7</x:v>
      </x:c>
      <x:c r="C68" t="n">
        <x:v>31</x:v>
      </x:c>
      <x:c r="D68" t="n">
        <x:v>504.2151798375662</x:v>
      </x:c>
      <x:c r="E68" t="n">
        <x:f>IF(A68=0,1,(1+Parameters!$B$5)^(A68-1))</x:f>
        <x:v>1.08243216</x:v>
      </x:c>
      <x:c r="F68" t="n">
        <x:f>Parameters!$B$2*E68</x:f>
        <x:v>0.37885125599999997</x:v>
      </x:c>
      <x:c r="G68" t="n">
        <x:f>D68*F68</x:f>
        <x:v>191.02255417572783</x:v>
      </x:c>
      <x:c r="H68" t="n">
        <x:f>C68*Parameters!$B$4</x:f>
        <x:v>21.7</x:v>
      </x:c>
      <x:c r="I68" t="n">
        <x:f>G68+H68</x:f>
        <x:v>212.72255417572782</x:v>
      </x:c>
      <x:c r="J68" t="n">
        <x:f>IF(A68=0,0,(A68-1)*12+B68)</x:f>
        <x:v>55</x:v>
      </x:c>
      <x:c r="K68" t="n">
        <x:f>(1+Parameters!$B$6)^(J68/12)</x:f>
        <x:v>1.1707835269039004</x:v>
      </x:c>
      <x:c r="L68" t="n">
        <x:f>I68/K68</x:f>
        <x:v>181.69247285043872</x:v>
      </x:c>
    </x:row>
    <x:row r="69">
      <x:c r="A69" t="n">
        <x:v>5</x:v>
      </x:c>
      <x:c r="B69" t="n">
        <x:v>8</x:v>
      </x:c>
      <x:c r="C69" t="n">
        <x:v>31</x:v>
      </x:c>
      <x:c r="D69" t="n">
        <x:v>495.0866822817727</x:v>
      </x:c>
      <x:c r="E69" t="n">
        <x:f>IF(A69=0,1,(1+Parameters!$B$5)^(A69-1))</x:f>
        <x:v>1.08243216</x:v>
      </x:c>
      <x:c r="F69" t="n">
        <x:f>Parameters!$B$2*E69</x:f>
        <x:v>0.37885125599999997</x:v>
      </x:c>
      <x:c r="G69" t="n">
        <x:f>D69*F69</x:f>
        <x:v>187.56421141132253</x:v>
      </x:c>
      <x:c r="H69" t="n">
        <x:f>C69*Parameters!$B$4</x:f>
        <x:v>21.7</x:v>
      </x:c>
      <x:c r="I69" t="n">
        <x:f>G69+H69</x:f>
        <x:v>209.26421141132252</x:v>
      </x:c>
      <x:c r="J69" t="n">
        <x:f>IF(A69=0,0,(A69-1)*12+B69)</x:f>
        <x:v>56</x:v>
      </x:c>
      <x:c r="K69" t="n">
        <x:f>(1+Parameters!$B$6)^(J69/12)</x:f>
        <x:v>1.174144727831605</x:v>
      </x:c>
      <x:c r="L69" t="n">
        <x:f>I69/K69</x:f>
        <x:v>178.22693101708927</x:v>
      </x:c>
    </x:row>
    <x:row r="70">
      <x:c r="A70" t="n">
        <x:v>5</x:v>
      </x:c>
      <x:c r="B70" t="n">
        <x:v>9</x:v>
      </x:c>
      <x:c r="C70" t="n">
        <x:v>30</x:v>
      </x:c>
      <x:c r="D70" t="n">
        <x:v>484.7338669519189</x:v>
      </x:c>
      <x:c r="E70" t="n">
        <x:f>IF(A70=0,1,(1+Parameters!$B$5)^(A70-1))</x:f>
        <x:v>1.08243216</x:v>
      </x:c>
      <x:c r="F70" t="n">
        <x:f>Parameters!$B$2*E70</x:f>
        <x:v>0.37885125599999997</x:v>
      </x:c>
      <x:c r="G70" t="n">
        <x:f>D70*F70</x:f>
        <x:v>183.64203432047137</x:v>
      </x:c>
      <x:c r="H70" t="n">
        <x:f>C70*Parameters!$B$4</x:f>
        <x:v>21</x:v>
      </x:c>
      <x:c r="I70" t="n">
        <x:f>G70+H70</x:f>
        <x:v>204.64203432047137</x:v>
      </x:c>
      <x:c r="J70" t="n">
        <x:f>IF(A70=0,0,(A70-1)*12+B70)</x:f>
        <x:v>57</x:v>
      </x:c>
      <x:c r="K70" t="n">
        <x:f>(1+Parameters!$B$6)^(J70/12)</x:f>
        <x:v>1.1775155784267473</x:v>
      </x:c>
      <x:c r="L70" t="n">
        <x:f>I70/K70</x:f>
        <x:v>173.7913604454296</x:v>
      </x:c>
    </x:row>
    <x:row r="71">
      <x:c r="A71" t="n">
        <x:v>5</x:v>
      </x:c>
      <x:c r="B71" t="n">
        <x:v>10</x:v>
      </x:c>
      <x:c r="C71" t="n">
        <x:v>31</x:v>
      </x:c>
      <x:c r="D71" t="n">
        <x:v>965.136511636476</x:v>
      </x:c>
      <x:c r="E71" t="n">
        <x:f>IF(A71=0,1,(1+Parameters!$B$5)^(A71-1))</x:f>
        <x:v>1.08243216</x:v>
      </x:c>
      <x:c r="F71" t="n">
        <x:f>Parameters!$B$2*E71</x:f>
        <x:v>0.37885125599999997</x:v>
      </x:c>
      <x:c r="G71" t="n">
        <x:f>D71*F71</x:f>
        <x:v>365.6431796449375</x:v>
      </x:c>
      <x:c r="H71" t="n">
        <x:f>C71*Parameters!$B$4</x:f>
        <x:v>21.7</x:v>
      </x:c>
      <x:c r="I71" t="n">
        <x:f>G71+H71</x:f>
        <x:v>387.3431796449375</x:v>
      </x:c>
      <x:c r="J71" t="n">
        <x:f>IF(A71=0,0,(A71-1)*12+B71)</x:f>
        <x:v>58</x:v>
      </x:c>
      <x:c r="K71" t="n">
        <x:f>(1+Parameters!$B$6)^(J71/12)</x:f>
        <x:v>1.1808961063925454</x:v>
      </x:c>
      <x:c r="L71" t="n">
        <x:f>I71/K71</x:f>
        <x:v>328.00783874900804</x:v>
      </x:c>
    </x:row>
    <x:row r="72">
      <x:c r="A72" t="n">
        <x:v>5</x:v>
      </x:c>
      <x:c r="B72" t="n">
        <x:v>11</x:v>
      </x:c>
      <x:c r="C72" t="n">
        <x:v>30</x:v>
      </x:c>
      <x:c r="D72" t="n">
        <x:v>948.3641557590579</x:v>
      </x:c>
      <x:c r="E72" t="n">
        <x:f>IF(A72=0,1,(1+Parameters!$B$5)^(A72-1))</x:f>
        <x:v>1.08243216</x:v>
      </x:c>
      <x:c r="F72" t="n">
        <x:f>Parameters!$B$2*E72</x:f>
        <x:v>0.37885125599999997</x:v>
      </x:c>
      <x:c r="G72" t="n">
        <x:f>D72*F72</x:f>
        <x:v>359.2889515546987</x:v>
      </x:c>
      <x:c r="H72" t="n">
        <x:f>C72*Parameters!$B$4</x:f>
        <x:v>21</x:v>
      </x:c>
      <x:c r="I72" t="n">
        <x:f>G72+H72</x:f>
        <x:v>380.2889515546987</x:v>
      </x:c>
      <x:c r="J72" t="n">
        <x:f>IF(A72=0,0,(A72-1)*12+B72)</x:f>
        <x:v>59</x:v>
      </x:c>
      <x:c r="K72" t="n">
        <x:f>(1+Parameters!$B$6)^(J72/12)</x:f>
        <x:v>1.1842863395117502</x:v>
      </x:c>
      <x:c r="L72" t="n">
        <x:f>I72/K72</x:f>
        <x:v>321.11233480197177</x:v>
      </x:c>
    </x:row>
    <x:row r="73">
      <x:c r="A73" t="n">
        <x:v>5</x:v>
      </x:c>
      <x:c r="B73" t="n">
        <x:v>12</x:v>
      </x:c>
      <x:c r="C73" t="n">
        <x:v>31</x:v>
      </x:c>
      <x:c r="D73" t="n">
        <x:v>928.0366698691505</x:v>
      </x:c>
      <x:c r="E73" t="n">
        <x:f>IF(A73=0,1,(1+Parameters!$B$5)^(A73-1))</x:f>
        <x:v>1.08243216</x:v>
      </x:c>
      <x:c r="F73" t="n">
        <x:f>Parameters!$B$2*E73</x:f>
        <x:v>0.37885125599999997</x:v>
      </x:c>
      <x:c r="G73" t="n">
        <x:f>D73*F73</x:f>
        <x:v>351.587857993985</x:v>
      </x:c>
      <x:c r="H73" t="n">
        <x:f>C73*Parameters!$B$4</x:f>
        <x:v>21.7</x:v>
      </x:c>
      <x:c r="I73" t="n">
        <x:f>G73+H73</x:f>
        <x:v>373.28785799398497</x:v>
      </x:c>
      <x:c r="J73" t="n">
        <x:f>IF(A73=0,0,(A73-1)*12+B73)</x:f>
        <x:v>60</x:v>
      </x:c>
      <x:c r="K73" t="n">
        <x:f>(1+Parameters!$B$6)^(J73/12)</x:f>
        <x:v>1.1876863056468745</x:v>
      </x:c>
      <x:c r="L73" t="n">
        <x:f>I73/K73</x:f>
        <x:v>314.2983599450306</x:v>
      </x:c>
    </x:row>
    <x:row r="74">
      <x:c r="A74" t="n">
        <x:v>6</x:v>
      </x:c>
      <x:c r="B74" t="n">
        <x:v>1</x:v>
      </x:c>
      <x:c r="C74" t="n">
        <x:v>31</x:v>
      </x:c>
      <x:c r="D74" t="n">
        <x:v>921.8588397150115</x:v>
      </x:c>
      <x:c r="E74" t="n">
        <x:f>IF(A74=0,1,(1+Parameters!$B$5)^(A74-1))</x:f>
        <x:v>1.1040808032</x:v>
      </x:c>
      <x:c r="F74" t="n">
        <x:f>Parameters!$B$2*E74</x:f>
        <x:v>0.38642828112</x:v>
      </x:c>
      <x:c r="G74" t="n">
        <x:f>D74*F74</x:f>
        <x:v>356.23232686634947</x:v>
      </x:c>
      <x:c r="H74" t="n">
        <x:f>C74*Parameters!$B$4</x:f>
        <x:v>21.7</x:v>
      </x:c>
      <x:c r="I74" t="n">
        <x:f>G74+H74</x:f>
        <x:v>377.93232686634946</x:v>
      </x:c>
      <x:c r="J74" t="n">
        <x:f>IF(A74=0,0,(A74-1)*12+B74)</x:f>
        <x:v>61</x:v>
      </x:c>
      <x:c r="K74" t="n">
        <x:f>(1+Parameters!$B$6)^(J74/12)</x:f>
        <x:v>1.191096032740421</x:v>
      </x:c>
      <x:c r="L74" t="n">
        <x:f>I74/K74</x:f>
        <x:v>317.2979478378578</x:v>
      </x:c>
    </x:row>
    <x:row r="75">
      <x:c r="A75" t="n">
        <x:v>6</x:v>
      </x:c>
      <x:c r="B75" t="n">
        <x:v>2</x:v>
      </x:c>
      <x:c r="C75" t="n">
        <x:v>28</x:v>
      </x:c>
      <x:c r="D75" t="n">
        <x:v>923.6252753036425</x:v>
      </x:c>
      <x:c r="E75" t="n">
        <x:f>IF(A75=0,1,(1+Parameters!$B$5)^(A75-1))</x:f>
        <x:v>1.1040808032</x:v>
      </x:c>
      <x:c r="F75" t="n">
        <x:f>Parameters!$B$2*E75</x:f>
        <x:v>0.38642828112</x:v>
      </x:c>
      <x:c r="G75" t="n">
        <x:f>D75*F75</x:f>
        <x:v>356.91492753457334</x:v>
      </x:c>
      <x:c r="H75" t="n">
        <x:f>C75*Parameters!$B$4</x:f>
        <x:v>19.599999999999998</x:v>
      </x:c>
      <x:c r="I75" t="n">
        <x:f>G75+H75</x:f>
        <x:v>376.51492753457336</x:v>
      </x:c>
      <x:c r="J75" t="n">
        <x:f>IF(A75=0,0,(A75-1)*12+B75)</x:f>
        <x:v>62</x:v>
      </x:c>
      <x:c r="K75" t="n">
        <x:f>(1+Parameters!$B$6)^(J75/12)</x:f>
        <x:v>1.1945155488151127</x:v>
      </x:c>
      <x:c r="L75" t="n">
        <x:f>I75/K75</x:f>
        <x:v>315.20303599903195</x:v>
      </x:c>
    </x:row>
    <x:row r="76">
      <x:c r="A76" t="n">
        <x:v>6</x:v>
      </x:c>
      <x:c r="B76" t="n">
        <x:v>3</x:v>
      </x:c>
      <x:c r="C76" t="n">
        <x:v>31</x:v>
      </x:c>
      <x:c r="D76" t="n">
        <x:v>907.7273550059616</x:v>
      </x:c>
      <x:c r="E76" t="n">
        <x:f>IF(A76=0,1,(1+Parameters!$B$5)^(A76-1))</x:f>
        <x:v>1.1040808032</x:v>
      </x:c>
      <x:c r="F76" t="n">
        <x:f>Parameters!$B$2*E76</x:f>
        <x:v>0.38642828112</x:v>
      </x:c>
      <x:c r="G76" t="n">
        <x:f>D76*F76</x:f>
        <x:v>350.77152152055777</x:v>
      </x:c>
      <x:c r="H76" t="n">
        <x:f>C76*Parameters!$B$4</x:f>
        <x:v>21.7</x:v>
      </x:c>
      <x:c r="I76" t="n">
        <x:f>G76+H76</x:f>
        <x:v>372.47152152055776</x:v>
      </x:c>
      <x:c r="J76" t="n">
        <x:f>IF(A76=0,0,(A76-1)*12+B76)</x:f>
        <x:v>63</x:v>
      </x:c>
      <x:c r="K76" t="n">
        <x:f>(1+Parameters!$B$6)^(J76/12)</x:f>
        <x:v>1.1979448819741232</x:v>
      </x:c>
      <x:c r="L76" t="n">
        <x:f>I76/K76</x:f>
        <x:v>310.9254249717672</x:v>
      </x:c>
    </x:row>
    <x:row r="77">
      <x:c r="A77" t="n">
        <x:v>6</x:v>
      </x:c>
      <x:c r="B77" t="n">
        <x:v>4</x:v>
      </x:c>
      <x:c r="C77" t="n">
        <x:v>30</x:v>
      </x:c>
      <x:c r="D77" t="n">
        <x:v>951.0096133576476</x:v>
      </x:c>
      <x:c r="E77" t="n">
        <x:f>IF(A77=0,1,(1+Parameters!$B$5)^(A77-1))</x:f>
        <x:v>1.1040808032</x:v>
      </x:c>
      <x:c r="F77" t="n">
        <x:f>Parameters!$B$2*E77</x:f>
        <x:v>0.38642828112</x:v>
      </x:c>
      <x:c r="G77" t="n">
        <x:f>D77*F77</x:f>
        <x:v>367.49701021839155</x:v>
      </x:c>
      <x:c r="H77" t="n">
        <x:f>C77*Parameters!$B$4</x:f>
        <x:v>21</x:v>
      </x:c>
      <x:c r="I77" t="n">
        <x:f>G77+H77</x:f>
        <x:v>388.49701021839155</x:v>
      </x:c>
      <x:c r="J77" t="n">
        <x:f>IF(A77=0,0,(A77-1)*12+B77)</x:f>
        <x:v>64</x:v>
      </x:c>
      <x:c r="K77" t="n">
        <x:f>(1+Parameters!$B$6)^(J77/12)</x:f>
        <x:v>1.201384060401307</x:v>
      </x:c>
      <x:c r="L77" t="n">
        <x:f>I77/K77</x:f>
        <x:v>323.3745336096927</x:v>
      </x:c>
    </x:row>
    <x:row r="78">
      <x:c r="A78" t="n">
        <x:v>6</x:v>
      </x:c>
      <x:c r="B78" t="n">
        <x:v>5</x:v>
      </x:c>
      <x:c r="C78" t="n">
        <x:v>31</x:v>
      </x:c>
      <x:c r="D78" t="n">
        <x:v>480.47</x:v>
      </x:c>
      <x:c r="E78" t="n">
        <x:f>IF(A78=0,1,(1+Parameters!$B$5)^(A78-1))</x:f>
        <x:v>1.1040808032</x:v>
      </x:c>
      <x:c r="F78" t="n">
        <x:f>Parameters!$B$2*E78</x:f>
        <x:v>0.38642828112</x:v>
      </x:c>
      <x:c r="G78" t="n">
        <x:f>D78*F78</x:f>
        <x:v>185.66719622972641</x:v>
      </x:c>
      <x:c r="H78" t="n">
        <x:f>C78*Parameters!$B$4</x:f>
        <x:v>21.7</x:v>
      </x:c>
      <x:c r="I78" t="n">
        <x:f>G78+H78</x:f>
        <x:v>207.3671962297264</x:v>
      </x:c>
      <x:c r="J78" t="n">
        <x:f>IF(A78=0,0,(A78-1)*12+B78)</x:f>
        <x:v>65</x:v>
      </x:c>
      <x:c r="K78" t="n">
        <x:f>(1+Parameters!$B$6)^(J78/12)</x:f>
        <x:v>1.2048331123614322</x:v>
      </x:c>
      <x:c r="L78" t="n">
        <x:f>I78/K78</x:f>
        <x:v>172.11279645468383</x:v>
      </x:c>
    </x:row>
    <x:row r="79">
      <x:c r="A79" t="n">
        <x:v>6</x:v>
      </x:c>
      <x:c r="B79" t="n">
        <x:v>6</x:v>
      </x:c>
      <x:c r="C79" t="n">
        <x:v>30</x:v>
      </x:c>
      <x:c r="D79" t="n">
        <x:v>491.73604926348474</x:v>
      </x:c>
      <x:c r="E79" t="n">
        <x:f>IF(A79=0,1,(1+Parameters!$B$5)^(A79-1))</x:f>
        <x:v>1.1040808032</x:v>
      </x:c>
      <x:c r="F79" t="n">
        <x:f>Parameters!$B$2*E79</x:f>
        <x:v>0.38642828112</x:v>
      </x:c>
      <x:c r="G79" t="n">
        <x:f>D79*F79</x:f>
        <x:v>190.02071628162804</x:v>
      </x:c>
      <x:c r="H79" t="n">
        <x:f>C79*Parameters!$B$4</x:f>
        <x:v>21</x:v>
      </x:c>
      <x:c r="I79" t="n">
        <x:f>G79+H79</x:f>
        <x:v>211.02071628162804</x:v>
      </x:c>
      <x:c r="J79" t="n">
        <x:f>IF(A79=0,0,(A79-1)*12+B79)</x:f>
        <x:v>66</x:v>
      </x:c>
      <x:c r="K79" t="n">
        <x:f>(1+Parameters!$B$6)^(J79/12)</x:f>
        <x:v>1.2082920662004117</x:v>
      </x:c>
      <x:c r="L79" t="n">
        <x:f>I79/K79</x:f>
        <x:v>174.6437986183279</x:v>
      </x:c>
    </x:row>
    <x:row r="80">
      <x:c r="A80" t="n">
        <x:v>6</x:v>
      </x:c>
      <x:c r="B80" t="n">
        <x:v>7</x:v>
      </x:c>
      <x:c r="C80" t="n">
        <x:v>31</x:v>
      </x:c>
      <x:c r="D80" t="n">
        <x:v>504.2151798375662</x:v>
      </x:c>
      <x:c r="E80" t="n">
        <x:f>IF(A80=0,1,(1+Parameters!$B$5)^(A80-1))</x:f>
        <x:v>1.1040808032</x:v>
      </x:c>
      <x:c r="F80" t="n">
        <x:f>Parameters!$B$2*E80</x:f>
        <x:v>0.38642828112</x:v>
      </x:c>
      <x:c r="G80" t="n">
        <x:f>D80*F80</x:f>
        <x:v>194.84300525924237</x:v>
      </x:c>
      <x:c r="H80" t="n">
        <x:f>C80*Parameters!$B$4</x:f>
        <x:v>21.7</x:v>
      </x:c>
      <x:c r="I80" t="n">
        <x:f>G80+H80</x:f>
        <x:v>216.54300525924236</x:v>
      </x:c>
      <x:c r="J80" t="n">
        <x:f>IF(A80=0,0,(A80-1)*12+B80)</x:f>
        <x:v>67</x:v>
      </x:c>
      <x:c r="K80" t="n">
        <x:f>(1+Parameters!$B$6)^(J80/12)</x:f>
        <x:v>1.2117609503455369</x:v>
      </x:c>
      <x:c r="L80" t="n">
        <x:f>I80/K80</x:f>
        <x:v>178.70109215641463</x:v>
      </x:c>
    </x:row>
    <x:row r="81">
      <x:c r="A81" t="n">
        <x:v>6</x:v>
      </x:c>
      <x:c r="B81" t="n">
        <x:v>8</x:v>
      </x:c>
      <x:c r="C81" t="n">
        <x:v>31</x:v>
      </x:c>
      <x:c r="D81" t="n">
        <x:v>495.0866822817727</x:v>
      </x:c>
      <x:c r="E81" t="n">
        <x:f>IF(A81=0,1,(1+Parameters!$B$5)^(A81-1))</x:f>
        <x:v>1.1040808032</x:v>
      </x:c>
      <x:c r="F81" t="n">
        <x:f>Parameters!$B$2*E81</x:f>
        <x:v>0.38642828112</x:v>
      </x:c>
      <x:c r="G81" t="n">
        <x:f>D81*F81</x:f>
        <x:v>191.315495639549</x:v>
      </x:c>
      <x:c r="H81" t="n">
        <x:f>C81*Parameters!$B$4</x:f>
        <x:v>21.7</x:v>
      </x:c>
      <x:c r="I81" t="n">
        <x:f>G81+H81</x:f>
        <x:v>213.015495639549</x:v>
      </x:c>
      <x:c r="J81" t="n">
        <x:f>IF(A81=0,0,(A81-1)*12+B81)</x:f>
        <x:v>68</x:v>
      </x:c>
      <x:c r="K81" t="n">
        <x:f>(1+Parameters!$B$6)^(J81/12)</x:f>
        <x:v>1.215239793305711</x:v>
      </x:c>
      <x:c r="L81" t="n">
        <x:f>I81/K81</x:f>
        <x:v>175.28680085442352</x:v>
      </x:c>
    </x:row>
    <x:row r="82">
      <x:c r="A82" t="n">
        <x:v>6</x:v>
      </x:c>
      <x:c r="B82" t="n">
        <x:v>9</x:v>
      </x:c>
      <x:c r="C82" t="n">
        <x:v>30</x:v>
      </x:c>
      <x:c r="D82" t="n">
        <x:v>484.7338669519189</x:v>
      </x:c>
      <x:c r="E82" t="n">
        <x:f>IF(A82=0,1,(1+Parameters!$B$5)^(A82-1))</x:f>
        <x:v>1.1040808032</x:v>
      </x:c>
      <x:c r="F82" t="n">
        <x:f>Parameters!$B$2*E82</x:f>
        <x:v>0.38642828112</x:v>
      </x:c>
      <x:c r="G82" t="n">
        <x:f>D82*F82</x:f>
        <x:v>187.31487500688078</x:v>
      </x:c>
      <x:c r="H82" t="n">
        <x:f>C82*Parameters!$B$4</x:f>
        <x:v>21</x:v>
      </x:c>
      <x:c r="I82" t="n">
        <x:f>G82+H82</x:f>
        <x:v>208.31487500688078</x:v>
      </x:c>
      <x:c r="J82" t="n">
        <x:f>IF(A82=0,0,(A82-1)*12+B82)</x:f>
        <x:v>69</x:v>
      </x:c>
      <x:c r="K82" t="n">
        <x:f>(1+Parameters!$B$6)^(J82/12)</x:f>
        <x:v>1.2187286236716834</x:v>
      </x:c>
      <x:c r="L82" t="n">
        <x:f>I82/K82</x:f>
        <x:v>170.9280236475346</x:v>
      </x:c>
    </x:row>
    <x:row r="83">
      <x:c r="A83" t="n">
        <x:v>6</x:v>
      </x:c>
      <x:c r="B83" t="n">
        <x:v>10</x:v>
      </x:c>
      <x:c r="C83" t="n">
        <x:v>31</x:v>
      </x:c>
      <x:c r="D83" t="n">
        <x:v>965.136511636476</x:v>
      </x:c>
      <x:c r="E83" t="n">
        <x:f>IF(A83=0,1,(1+Parameters!$B$5)^(A83-1))</x:f>
        <x:v>1.1040808032</x:v>
      </x:c>
      <x:c r="F83" t="n">
        <x:f>Parameters!$B$2*E83</x:f>
        <x:v>0.38642828112</x:v>
      </x:c>
      <x:c r="G83" t="n">
        <x:f>D83*F83</x:f>
        <x:v>372.9560432378363</x:v>
      </x:c>
      <x:c r="H83" t="n">
        <x:f>C83*Parameters!$B$4</x:f>
        <x:v>21.7</x:v>
      </x:c>
      <x:c r="I83" t="n">
        <x:f>G83+H83</x:f>
        <x:v>394.6560432378363</x:v>
      </x:c>
      <x:c r="J83" t="n">
        <x:f>IF(A83=0,0,(A83-1)*12+B83)</x:f>
        <x:v>70</x:v>
      </x:c>
      <x:c r="K83" t="n">
        <x:f>(1+Parameters!$B$6)^(J83/12)</x:f>
        <x:v>1.2222274701162843</x:v>
      </x:c>
      <x:c r="L83" t="n">
        <x:f>I83/K83</x:f>
        <x:v>322.8990125711118</x:v>
      </x:c>
    </x:row>
    <x:row r="84">
      <x:c r="A84" t="n">
        <x:v>6</x:v>
      </x:c>
      <x:c r="B84" t="n">
        <x:v>11</x:v>
      </x:c>
      <x:c r="C84" t="n">
        <x:v>30</x:v>
      </x:c>
      <x:c r="D84" t="n">
        <x:v>948.3641557590579</x:v>
      </x:c>
      <x:c r="E84" t="n">
        <x:f>IF(A84=0,1,(1+Parameters!$B$5)^(A84-1))</x:f>
        <x:v>1.1040808032</x:v>
      </x:c>
      <x:c r="F84" t="n">
        <x:f>Parameters!$B$2*E84</x:f>
        <x:v>0.38642828112</x:v>
      </x:c>
      <x:c r="G84" t="n">
        <x:f>D84*F84</x:f>
        <x:v>366.4747305857927</x:v>
      </x:c>
      <x:c r="H84" t="n">
        <x:f>C84*Parameters!$B$4</x:f>
        <x:v>21</x:v>
      </x:c>
      <x:c r="I84" t="n">
        <x:f>G84+H84</x:f>
        <x:v>387.4747305857927</x:v>
      </x:c>
      <x:c r="J84" t="n">
        <x:f>IF(A84=0,0,(A84-1)*12+B84)</x:f>
        <x:v>71</x:v>
      </x:c>
      <x:c r="K84" t="n">
        <x:f>(1+Parameters!$B$6)^(J84/12)</x:f>
        <x:v>1.2257363613946615</x:v>
      </x:c>
      <x:c r="L84" t="n">
        <x:f>I84/K84</x:f>
        <x:v>316.1158816769685</x:v>
      </x:c>
    </x:row>
    <x:row r="85">
      <x:c r="A85" t="n">
        <x:v>6</x:v>
      </x:c>
      <x:c r="B85" t="n">
        <x:v>12</x:v>
      </x:c>
      <x:c r="C85" t="n">
        <x:v>31</x:v>
      </x:c>
      <x:c r="D85" t="n">
        <x:v>928.0366698691505</x:v>
      </x:c>
      <x:c r="E85" t="n">
        <x:f>IF(A85=0,1,(1+Parameters!$B$5)^(A85-1))</x:f>
        <x:v>1.1040808032</x:v>
      </x:c>
      <x:c r="F85" t="n">
        <x:f>Parameters!$B$2*E85</x:f>
        <x:v>0.38642828112</x:v>
      </x:c>
      <x:c r="G85" t="n">
        <x:f>D85*F85</x:f>
        <x:v>358.61961515386474</x:v>
      </x:c>
      <x:c r="H85" t="n">
        <x:f>C85*Parameters!$B$4</x:f>
        <x:v>21.7</x:v>
      </x:c>
      <x:c r="I85" t="n">
        <x:f>G85+H85</x:f>
        <x:v>380.31961515386473</x:v>
      </x:c>
      <x:c r="J85" t="n">
        <x:f>IF(A85=0,0,(A85-1)*12+B85)</x:f>
        <x:v>72</x:v>
      </x:c>
      <x:c r="K85" t="n">
        <x:f>(1+Parameters!$B$6)^(J85/12)</x:f>
        <x:v>1.229255326344515</x:v>
      </x:c>
      <x:c r="L85" t="n">
        <x:f>I85/K85</x:f>
        <x:v>309.3902519705456</x:v>
      </x:c>
    </x:row>
    <x:row r="86">
      <x:c r="A86" t="n">
        <x:v>7</x:v>
      </x:c>
      <x:c r="B86" t="n">
        <x:v>1</x:v>
      </x:c>
      <x:c r="C86" t="n">
        <x:v>31</x:v>
      </x:c>
      <x:c r="D86" t="n">
        <x:v>921.8588397150115</x:v>
      </x:c>
      <x:c r="E86" t="n">
        <x:f>IF(A86=0,1,(1+Parameters!$B$5)^(A86-1))</x:f>
        <x:v>1.126162419264</x:v>
      </x:c>
      <x:c r="F86" t="n">
        <x:f>Parameters!$B$2*E86</x:f>
        <x:v>0.3941568467424</x:v>
      </x:c>
      <x:c r="G86" t="n">
        <x:f>D86*F86</x:f>
        <x:v>363.3569734036765</x:v>
      </x:c>
      <x:c r="H86" t="n">
        <x:f>C86*Parameters!$B$4</x:f>
        <x:v>21.7</x:v>
      </x:c>
      <x:c r="I86" t="n">
        <x:f>G86+H86</x:f>
        <x:v>385.05697340367647</x:v>
      </x:c>
      <x:c r="J86" t="n">
        <x:f>IF(A86=0,0,(A86-1)*12+B86)</x:f>
        <x:v>73</x:v>
      </x:c>
      <x:c r="K86" t="n">
        <x:f>(1+Parameters!$B$6)^(J86/12)</x:f>
        <x:v>1.2327843938863356</x:v>
      </x:c>
      <x:c r="L86" t="n">
        <x:f>I86/K86</x:f>
        <x:v>312.3473782708992</x:v>
      </x:c>
    </x:row>
    <x:row r="87">
      <x:c r="A87" t="n">
        <x:v>7</x:v>
      </x:c>
      <x:c r="B87" t="n">
        <x:v>2</x:v>
      </x:c>
      <x:c r="C87" t="n">
        <x:v>28</x:v>
      </x:c>
      <x:c r="D87" t="n">
        <x:v>923.6252753036425</x:v>
      </x:c>
      <x:c r="E87" t="n">
        <x:f>IF(A87=0,1,(1+Parameters!$B$5)^(A87-1))</x:f>
        <x:v>1.126162419264</x:v>
      </x:c>
      <x:c r="F87" t="n">
        <x:f>Parameters!$B$2*E87</x:f>
        <x:v>0.3941568467424</x:v>
      </x:c>
      <x:c r="G87" t="n">
        <x:f>D87*F87</x:f>
        <x:v>364.05322608526484</x:v>
      </x:c>
      <x:c r="H87" t="n">
        <x:f>C87*Parameters!$B$4</x:f>
        <x:v>19.599999999999998</x:v>
      </x:c>
      <x:c r="I87" t="n">
        <x:f>G87+H87</x:f>
        <x:v>383.65322608526486</x:v>
      </x:c>
      <x:c r="J87" t="n">
        <x:f>IF(A87=0,0,(A87-1)*12+B87)</x:f>
        <x:v>74</x:v>
      </x:c>
      <x:c r="K87" t="n">
        <x:f>(1+Parameters!$B$6)^(J87/12)</x:f>
        <x:v>1.2363235930236416</x:v>
      </x:c>
      <x:c r="L87" t="n">
        <x:f>I87/K87</x:f>
        <x:v>310.3178069642552</x:v>
      </x:c>
    </x:row>
    <x:row r="88">
      <x:c r="A88" t="n">
        <x:v>7</x:v>
      </x:c>
      <x:c r="B88" t="n">
        <x:v>3</x:v>
      </x:c>
      <x:c r="C88" t="n">
        <x:v>31</x:v>
      </x:c>
      <x:c r="D88" t="n">
        <x:v>907.7273550059616</x:v>
      </x:c>
      <x:c r="E88" t="n">
        <x:f>IF(A88=0,1,(1+Parameters!$B$5)^(A88-1))</x:f>
        <x:v>1.126162419264</x:v>
      </x:c>
      <x:c r="F88" t="n">
        <x:f>Parameters!$B$2*E88</x:f>
        <x:v>0.3941568467424</x:v>
      </x:c>
      <x:c r="G88" t="n">
        <x:f>D88*F88</x:f>
        <x:v>357.7869519509689</x:v>
      </x:c>
      <x:c r="H88" t="n">
        <x:f>C88*Parameters!$B$4</x:f>
        <x:v>21.7</x:v>
      </x:c>
      <x:c r="I88" t="n">
        <x:f>G88+H88</x:f>
        <x:v>379.4869519509689</x:v>
      </x:c>
      <x:c r="J88" t="n">
        <x:f>IF(A88=0,0,(A88-1)*12+B88)</x:f>
        <x:v>75</x:v>
      </x:c>
      <x:c r="K88" t="n">
        <x:f>(1+Parameters!$B$6)^(J88/12)</x:f>
        <x:v>1.2398729528432173</x:v>
      </x:c>
      <x:c r="L88" t="n">
        <x:f>I88/K88</x:f>
        <x:v>306.0692235287072</x:v>
      </x:c>
    </x:row>
    <x:row r="89">
      <x:c r="A89" t="n">
        <x:v>7</x:v>
      </x:c>
      <x:c r="B89" t="n">
        <x:v>4</x:v>
      </x:c>
      <x:c r="C89" t="n">
        <x:v>30</x:v>
      </x:c>
      <x:c r="D89" t="n">
        <x:v>951.0096133576476</x:v>
      </x:c>
      <x:c r="E89" t="n">
        <x:f>IF(A89=0,1,(1+Parameters!$B$5)^(A89-1))</x:f>
        <x:v>1.126162419264</x:v>
      </x:c>
      <x:c r="F89" t="n">
        <x:f>Parameters!$B$2*E89</x:f>
        <x:v>0.3941568467424</x:v>
      </x:c>
      <x:c r="G89" t="n">
        <x:f>D89*F89</x:f>
        <x:v>374.8469504227594</x:v>
      </x:c>
      <x:c r="H89" t="n">
        <x:f>C89*Parameters!$B$4</x:f>
        <x:v>21</x:v>
      </x:c>
      <x:c r="I89" t="n">
        <x:f>G89+H89</x:f>
        <x:v>395.8469504227594</x:v>
      </x:c>
      <x:c r="J89" t="n">
        <x:f>IF(A89=0,0,(A89-1)*12+B89)</x:f>
        <x:v>76</x:v>
      </x:c>
      <x:c r="K89" t="n">
        <x:f>(1+Parameters!$B$6)^(J89/12)</x:f>
        <x:v>1.2434325025153528</x:v>
      </x:c>
      <x:c r="L89" t="n">
        <x:f>I89/K89</x:f>
        <x:v>318.35017149865104</x:v>
      </x:c>
    </x:row>
    <x:row r="90">
      <x:c r="A90" t="n">
        <x:v>7</x:v>
      </x:c>
      <x:c r="B90" t="n">
        <x:v>5</x:v>
      </x:c>
      <x:c r="C90" t="n">
        <x:v>31</x:v>
      </x:c>
      <x:c r="D90" t="n">
        <x:v>480.47</x:v>
      </x:c>
      <x:c r="E90" t="n">
        <x:f>IF(A90=0,1,(1+Parameters!$B$5)^(A90-1))</x:f>
        <x:v>1.126162419264</x:v>
      </x:c>
      <x:c r="F90" t="n">
        <x:f>Parameters!$B$2*E90</x:f>
        <x:v>0.3941568467424</x:v>
      </x:c>
      <x:c r="G90" t="n">
        <x:f>D90*F90</x:f>
        <x:v>189.38054015432093</x:v>
      </x:c>
      <x:c r="H90" t="n">
        <x:f>C90*Parameters!$B$4</x:f>
        <x:v>21.7</x:v>
      </x:c>
      <x:c r="I90" t="n">
        <x:f>G90+H90</x:f>
        <x:v>211.08054015432091</x:v>
      </x:c>
      <x:c r="J90" t="n">
        <x:f>IF(A90=0,0,(A90-1)*12+B90)</x:f>
        <x:v>77</x:v>
      </x:c>
      <x:c r="K90" t="n">
        <x:f>(1+Parameters!$B$6)^(J90/12)</x:f>
        <x:v>1.2470022712940823</x:v>
      </x:c>
      <x:c r="L90" t="n">
        <x:f>I90/K90</x:f>
        <x:v>169.2703734494975</x:v>
      </x:c>
    </x:row>
    <x:row r="91">
      <x:c r="A91" t="n">
        <x:v>7</x:v>
      </x:c>
      <x:c r="B91" t="n">
        <x:v>6</x:v>
      </x:c>
      <x:c r="C91" t="n">
        <x:v>30</x:v>
      </x:c>
      <x:c r="D91" t="n">
        <x:v>491.73604926348474</x:v>
      </x:c>
      <x:c r="E91" t="n">
        <x:f>IF(A91=0,1,(1+Parameters!$B$5)^(A91-1))</x:f>
        <x:v>1.126162419264</x:v>
      </x:c>
      <x:c r="F91" t="n">
        <x:f>Parameters!$B$2*E91</x:f>
        <x:v>0.3941568467424</x:v>
      </x:c>
      <x:c r="G91" t="n">
        <x:f>D91*F91</x:f>
        <x:v>193.8211306072606</x:v>
      </x:c>
      <x:c r="H91" t="n">
        <x:f>C91*Parameters!$B$4</x:f>
        <x:v>21</x:v>
      </x:c>
      <x:c r="I91" t="n">
        <x:f>G91+H91</x:f>
        <x:v>214.8211306072606</x:v>
      </x:c>
      <x:c r="J91" t="n">
        <x:f>IF(A91=0,0,(A91-1)*12+B91)</x:f>
        <x:v>78</x:v>
      </x:c>
      <x:c r="K91" t="n">
        <x:f>(1+Parameters!$B$6)^(J91/12)</x:f>
        <x:v>1.250582288517426</x:v>
      </x:c>
      <x:c r="L91" t="n">
        <x:f>I91/K91</x:f>
        <x:v>171.77688551941077</x:v>
      </x:c>
    </x:row>
    <x:row r="92">
      <x:c r="A92" t="n">
        <x:v>7</x:v>
      </x:c>
      <x:c r="B92" t="n">
        <x:v>7</x:v>
      </x:c>
      <x:c r="C92" t="n">
        <x:v>31</x:v>
      </x:c>
      <x:c r="D92" t="n">
        <x:v>504.2151798375662</x:v>
      </x:c>
      <x:c r="E92" t="n">
        <x:f>IF(A92=0,1,(1+Parameters!$B$5)^(A92-1))</x:f>
        <x:v>1.126162419264</x:v>
      </x:c>
      <x:c r="F92" t="n">
        <x:f>Parameters!$B$2*E92</x:f>
        <x:v>0.3941568467424</x:v>
      </x:c>
      <x:c r="G92" t="n">
        <x:f>D92*F92</x:f>
        <x:v>198.73986536442723</x:v>
      </x:c>
      <x:c r="H92" t="n">
        <x:f>C92*Parameters!$B$4</x:f>
        <x:v>21.7</x:v>
      </x:c>
      <x:c r="I92" t="n">
        <x:f>G92+H92</x:f>
        <x:v>220.43986536442722</x:v>
      </x:c>
      <x:c r="J92" t="n">
        <x:f>IF(A92=0,0,(A92-1)*12+B92)</x:f>
        <x:v>79</x:v>
      </x:c>
      <x:c r="K92" t="n">
        <x:f>(1+Parameters!$B$6)^(J92/12)</x:f>
        <x:v>1.2541725836076307</x:v>
      </x:c>
      <x:c r="L92" t="n">
        <x:f>I92/K92</x:f>
        <x:v>175.76517637654888</x:v>
      </x:c>
    </x:row>
    <x:row r="93">
      <x:c r="A93" t="n">
        <x:v>7</x:v>
      </x:c>
      <x:c r="B93" t="n">
        <x:v>8</x:v>
      </x:c>
      <x:c r="C93" t="n">
        <x:v>31</x:v>
      </x:c>
      <x:c r="D93" t="n">
        <x:v>495.0866822817727</x:v>
      </x:c>
      <x:c r="E93" t="n">
        <x:f>IF(A93=0,1,(1+Parameters!$B$5)^(A93-1))</x:f>
        <x:v>1.126162419264</x:v>
      </x:c>
      <x:c r="F93" t="n">
        <x:f>Parameters!$B$2*E93</x:f>
        <x:v>0.3941568467424</x:v>
      </x:c>
      <x:c r="G93" t="n">
        <x:f>D93*F93</x:f>
        <x:v>195.14180555233995</x:v>
      </x:c>
      <x:c r="H93" t="n">
        <x:f>C93*Parameters!$B$4</x:f>
        <x:v>21.7</x:v>
      </x:c>
      <x:c r="I93" t="n">
        <x:f>G93+H93</x:f>
        <x:v>216.84180555233993</x:v>
      </x:c>
      <x:c r="J93" t="n">
        <x:f>IF(A93=0,0,(A93-1)*12+B93)</x:f>
        <x:v>80</x:v>
      </x:c>
      <x:c r="K93" t="n">
        <x:f>(1+Parameters!$B$6)^(J93/12)</x:f>
        <x:v>1.2577731860714108</x:v>
      </x:c>
      <x:c r="L93" t="n">
        <x:f>I93/K93</x:f>
        <x:v>172.40135817303758</x:v>
      </x:c>
    </x:row>
    <x:row r="94">
      <x:c r="A94" t="n">
        <x:v>7</x:v>
      </x:c>
      <x:c r="B94" t="n">
        <x:v>9</x:v>
      </x:c>
      <x:c r="C94" t="n">
        <x:v>30</x:v>
      </x:c>
      <x:c r="D94" t="n">
        <x:v>484.7338669519189</x:v>
      </x:c>
      <x:c r="E94" t="n">
        <x:f>IF(A94=0,1,(1+Parameters!$B$5)^(A94-1))</x:f>
        <x:v>1.126162419264</x:v>
      </x:c>
      <x:c r="F94" t="n">
        <x:f>Parameters!$B$2*E94</x:f>
        <x:v>0.3941568467424</x:v>
      </x:c>
      <x:c r="G94" t="n">
        <x:f>D94*F94</x:f>
        <x:v>191.0611725070184</x:v>
      </x:c>
      <x:c r="H94" t="n">
        <x:f>C94*Parameters!$B$4</x:f>
        <x:v>21</x:v>
      </x:c>
      <x:c r="I94" t="n">
        <x:f>G94+H94</x:f>
        <x:v>212.0611725070184</x:v>
      </x:c>
      <x:c r="J94" t="n">
        <x:f>IF(A94=0,0,(A94-1)*12+B94)</x:f>
        <x:v>81</x:v>
      </x:c>
      <x:c r="K94" t="n">
        <x:f>(1+Parameters!$B$6)^(J94/12)</x:f>
        <x:v>1.261384125500192</x:v>
      </x:c>
      <x:c r="L94" t="n">
        <x:f>I94/K94</x:f>
        <x:v>168.1178383491446</x:v>
      </x:c>
    </x:row>
    <x:row r="95">
      <x:c r="A95" t="n">
        <x:v>7</x:v>
      </x:c>
      <x:c r="B95" t="n">
        <x:v>10</x:v>
      </x:c>
      <x:c r="C95" t="n">
        <x:v>31</x:v>
      </x:c>
      <x:c r="D95" t="n">
        <x:v>965.136511636476</x:v>
      </x:c>
      <x:c r="E95" t="n">
        <x:f>IF(A95=0,1,(1+Parameters!$B$5)^(A95-1))</x:f>
        <x:v>1.126162419264</x:v>
      </x:c>
      <x:c r="F95" t="n">
        <x:f>Parameters!$B$2*E95</x:f>
        <x:v>0.3941568467424</x:v>
      </x:c>
      <x:c r="G95" t="n">
        <x:f>D95*F95</x:f>
        <x:v>380.415164102593</x:v>
      </x:c>
      <x:c r="H95" t="n">
        <x:f>C95*Parameters!$B$4</x:f>
        <x:v>21.7</x:v>
      </x:c>
      <x:c r="I95" t="n">
        <x:f>G95+H95</x:f>
        <x:v>402.115164102593</x:v>
      </x:c>
      <x:c r="J95" t="n">
        <x:f>IF(A95=0,0,(A95-1)*12+B95)</x:f>
        <x:v>82</x:v>
      </x:c>
      <x:c r="K95" t="n">
        <x:f>(1+Parameters!$B$6)^(J95/12)</x:f>
        <x:v>1.2650054315703543</x:v>
      </x:c>
      <x:c r="L95" t="n">
        <x:f>I95/K95</x:f>
        <x:v>317.8762352058953</x:v>
      </x:c>
    </x:row>
    <x:row r="96">
      <x:c r="A96" t="n">
        <x:v>7</x:v>
      </x:c>
      <x:c r="B96" t="n">
        <x:v>11</x:v>
      </x:c>
      <x:c r="C96" t="n">
        <x:v>30</x:v>
      </x:c>
      <x:c r="D96" t="n">
        <x:v>948.3641557590579</x:v>
      </x:c>
      <x:c r="E96" t="n">
        <x:f>IF(A96=0,1,(1+Parameters!$B$5)^(A96-1))</x:f>
        <x:v>1.126162419264</x:v>
      </x:c>
      <x:c r="F96" t="n">
        <x:f>Parameters!$B$2*E96</x:f>
        <x:v>0.3941568467424</x:v>
      </x:c>
      <x:c r="G96" t="n">
        <x:f>D96*F96</x:f>
        <x:v>373.8042251975085</x:v>
      </x:c>
      <x:c r="H96" t="n">
        <x:f>C96*Parameters!$B$4</x:f>
        <x:v>21</x:v>
      </x:c>
      <x:c r="I96" t="n">
        <x:f>G96+H96</x:f>
        <x:v>394.8042251975085</x:v>
      </x:c>
      <x:c r="J96" t="n">
        <x:f>IF(A96=0,0,(A96-1)*12+B96)</x:f>
        <x:v>83</x:v>
      </x:c>
      <x:c r="K96" t="n">
        <x:f>(1+Parameters!$B$6)^(J96/12)</x:f>
        <x:v>1.2686371340434746</x:v>
      </x:c>
      <x:c r="L96" t="n">
        <x:f>I96/K96</x:f>
        <x:v>311.20342815377427</x:v>
      </x:c>
    </x:row>
    <x:row r="97">
      <x:c r="A97" t="n">
        <x:v>7</x:v>
      </x:c>
      <x:c r="B97" t="n">
        <x:v>12</x:v>
      </x:c>
      <x:c r="C97" t="n">
        <x:v>31</x:v>
      </x:c>
      <x:c r="D97" t="n">
        <x:v>928.0366698691505</x:v>
      </x:c>
      <x:c r="E97" t="n">
        <x:f>IF(A97=0,1,(1+Parameters!$B$5)^(A97-1))</x:f>
        <x:v>1.126162419264</x:v>
      </x:c>
      <x:c r="F97" t="n">
        <x:f>Parameters!$B$2*E97</x:f>
        <x:v>0.3941568467424</x:v>
      </x:c>
      <x:c r="G97" t="n">
        <x:f>D97*F97</x:f>
        <x:v>365.792007456942</x:v>
      </x:c>
      <x:c r="H97" t="n">
        <x:f>C97*Parameters!$B$4</x:f>
        <x:v>21.7</x:v>
      </x:c>
      <x:c r="I97" t="n">
        <x:f>G97+H97</x:f>
        <x:v>387.49200745694196</x:v>
      </x:c>
      <x:c r="J97" t="n">
        <x:f>IF(A97=0,0,(A97-1)*12+B97)</x:f>
        <x:v>84</x:v>
      </x:c>
      <x:c r="K97" t="n">
        <x:f>(1+Parameters!$B$6)^(J97/12)</x:f>
        <x:v>1.2722792627665729</x:v>
      </x:c>
      <x:c r="L97" t="n">
        <x:f>I97/K97</x:f>
        <x:v>304.5652151983835</x:v>
      </x:c>
    </x:row>
    <x:row r="98">
      <x:c r="A98" t="n">
        <x:v>8</x:v>
      </x:c>
      <x:c r="B98" t="n">
        <x:v>1</x:v>
      </x:c>
      <x:c r="C98" t="n">
        <x:v>31</x:v>
      </x:c>
      <x:c r="D98" t="n">
        <x:v>921.8588397150115</x:v>
      </x:c>
      <x:c r="E98" t="n">
        <x:f>IF(A98=0,1,(1+Parameters!$B$5)^(A98-1))</x:f>
        <x:v>1.14868566764928</x:v>
      </x:c>
      <x:c r="F98" t="n">
        <x:f>Parameters!$B$2*E98</x:f>
        <x:v>0.40203998367724797</x:v>
      </x:c>
      <x:c r="G98" t="n">
        <x:f>D98*F98</x:f>
        <x:v>370.62411287175</x:v>
      </x:c>
      <x:c r="H98" t="n">
        <x:f>C98*Parameters!$B$4</x:f>
        <x:v>21.7</x:v>
      </x:c>
      <x:c r="I98" t="n">
        <x:f>G98+H98</x:f>
        <x:v>392.32411287175</x:v>
      </x:c>
      <x:c r="J98" t="n">
        <x:f>IF(A98=0,0,(A98-1)*12+B98)</x:f>
        <x:v>85</x:v>
      </x:c>
      <x:c r="K98" t="n">
        <x:f>(1+Parameters!$B$6)^(J98/12)</x:f>
        <x:v>1.2759318476723573</x:v>
      </x:c>
      <x:c r="L98" t="n">
        <x:f>I98/K98</x:f>
        <x:v>307.48046111354193</x:v>
      </x:c>
    </x:row>
    <x:row r="99">
      <x:c r="A99" t="n">
        <x:v>8</x:v>
      </x:c>
      <x:c r="B99" t="n">
        <x:v>2</x:v>
      </x:c>
      <x:c r="C99" t="n">
        <x:v>28</x:v>
      </x:c>
      <x:c r="D99" t="n">
        <x:v>923.6252753036425</x:v>
      </x:c>
      <x:c r="E99" t="n">
        <x:f>IF(A99=0,1,(1+Parameters!$B$5)^(A99-1))</x:f>
        <x:v>1.14868566764928</x:v>
      </x:c>
      <x:c r="F99" t="n">
        <x:f>Parameters!$B$2*E99</x:f>
        <x:v>0.40203998367724797</x:v>
      </x:c>
      <x:c r="G99" t="n">
        <x:f>D99*F99</x:f>
        <x:v>371.3342906069701</x:v>
      </x:c>
      <x:c r="H99" t="n">
        <x:f>C99*Parameters!$B$4</x:f>
        <x:v>19.599999999999998</x:v>
      </x:c>
      <x:c r="I99" t="n">
        <x:f>G99+H99</x:f>
        <x:v>390.93429060697014</x:v>
      </x:c>
      <x:c r="J99" t="n">
        <x:f>IF(A99=0,0,(A99-1)*12+B99)</x:f>
        <x:v>86</x:v>
      </x:c>
      <x:c r="K99" t="n">
        <x:f>(1+Parameters!$B$6)^(J99/12)</x:f>
        <x:v>1.2795949187794688</x:v>
      </x:c>
      <x:c r="L99" t="n">
        <x:f>I99/K99</x:f>
        <x:v>305.51410049350585</x:v>
      </x:c>
    </x:row>
    <x:row r="100">
      <x:c r="A100" t="n">
        <x:v>8</x:v>
      </x:c>
      <x:c r="B100" t="n">
        <x:v>3</x:v>
      </x:c>
      <x:c r="C100" t="n">
        <x:v>31</x:v>
      </x:c>
      <x:c r="D100" t="n">
        <x:v>907.7273550059616</x:v>
      </x:c>
      <x:c r="E100" t="n">
        <x:f>IF(A100=0,1,(1+Parameters!$B$5)^(A100-1))</x:f>
        <x:v>1.14868566764928</x:v>
      </x:c>
      <x:c r="F100" t="n">
        <x:f>Parameters!$B$2*E100</x:f>
        <x:v>0.40203998367724797</x:v>
      </x:c>
      <x:c r="G100" t="n">
        <x:f>D100*F100</x:f>
        <x:v>364.9426909899883</x:v>
      </x:c>
      <x:c r="H100" t="n">
        <x:f>C100*Parameters!$B$4</x:f>
        <x:v>21.7</x:v>
      </x:c>
      <x:c r="I100" t="n">
        <x:f>G100+H100</x:f>
        <x:v>386.6426909899883</x:v>
      </x:c>
      <x:c r="J100" t="n">
        <x:f>IF(A100=0,0,(A100-1)*12+B100)</x:f>
        <x:v>87</x:v>
      </x:c>
      <x:c r="K100" t="n">
        <x:f>(1+Parameters!$B$6)^(J100/12)</x:f>
        <x:v>1.2832685061927298</x:v>
      </x:c>
      <x:c r="L100" t="n">
        <x:f>I100/K100</x:f>
        <x:v>301.2952387782824</x:v>
      </x:c>
    </x:row>
    <x:row r="101">
      <x:c r="A101" t="n">
        <x:v>8</x:v>
      </x:c>
      <x:c r="B101" t="n">
        <x:v>4</x:v>
      </x:c>
      <x:c r="C101" t="n">
        <x:v>30</x:v>
      </x:c>
      <x:c r="D101" t="n">
        <x:v>951.0096133576476</x:v>
      </x:c>
      <x:c r="E101" t="n">
        <x:f>IF(A101=0,1,(1+Parameters!$B$5)^(A101-1))</x:f>
        <x:v>1.14868566764928</x:v>
      </x:c>
      <x:c r="F101" t="n">
        <x:f>Parameters!$B$2*E101</x:f>
        <x:v>0.40203998367724797</x:v>
      </x:c>
      <x:c r="G101" t="n">
        <x:f>D101*F101</x:f>
        <x:v>382.34388943121456</x:v>
      </x:c>
      <x:c r="H101" t="n">
        <x:f>C101*Parameters!$B$4</x:f>
        <x:v>21</x:v>
      </x:c>
      <x:c r="I101" t="n">
        <x:f>G101+H101</x:f>
        <x:v>403.34388943121456</x:v>
      </x:c>
      <x:c r="J101" t="n">
        <x:f>IF(A101=0,0,(A101-1)*12+B101)</x:f>
        <x:v>88</x:v>
      </x:c>
      <x:c r="K101" t="n">
        <x:f>(1+Parameters!$B$6)^(J101/12)</x:f>
        <x:v>1.28695264010339</x:v>
      </x:c>
      <x:c r="L101" t="n">
        <x:f>I101/K101</x:f>
        <x:v>313.410048561547</x:v>
      </x:c>
    </x:row>
    <x:row r="102">
      <x:c r="A102" t="n">
        <x:v>8</x:v>
      </x:c>
      <x:c r="B102" t="n">
        <x:v>5</x:v>
      </x:c>
      <x:c r="C102" t="n">
        <x:v>31</x:v>
      </x:c>
      <x:c r="D102" t="n">
        <x:v>480.47</x:v>
      </x:c>
      <x:c r="E102" t="n">
        <x:f>IF(A102=0,1,(1+Parameters!$B$5)^(A102-1))</x:f>
        <x:v>1.14868566764928</x:v>
      </x:c>
      <x:c r="F102" t="n">
        <x:f>Parameters!$B$2*E102</x:f>
        <x:v>0.40203998367724797</x:v>
      </x:c>
      <x:c r="G102" t="n">
        <x:f>D102*F102</x:f>
        <x:v>193.16815095740733</x:v>
      </x:c>
      <x:c r="H102" t="n">
        <x:f>C102*Parameters!$B$4</x:f>
        <x:v>21.7</x:v>
      </x:c>
      <x:c r="I102" t="n">
        <x:f>G102+H102</x:f>
        <x:v>214.86815095740732</x:v>
      </x:c>
      <x:c r="J102" t="n">
        <x:f>IF(A102=0,0,(A102-1)*12+B102)</x:f>
        <x:v>89</x:v>
      </x:c>
      <x:c r="K102" t="n">
        <x:f>(1+Parameters!$B$6)^(J102/12)</x:f>
        <x:v>1.290647350789375</x:v>
      </x:c>
      <x:c r="L102" t="n">
        <x:f>I102/K102</x:f>
        <x:v>166.48091426832548</x:v>
      </x:c>
    </x:row>
    <x:row r="103">
      <x:c r="A103" t="n">
        <x:v>8</x:v>
      </x:c>
      <x:c r="B103" t="n">
        <x:v>6</x:v>
      </x:c>
      <x:c r="C103" t="n">
        <x:v>30</x:v>
      </x:c>
      <x:c r="D103" t="n">
        <x:v>491.73604926348474</x:v>
      </x:c>
      <x:c r="E103" t="n">
        <x:f>IF(A103=0,1,(1+Parameters!$B$5)^(A103-1))</x:f>
        <x:v>1.14868566764928</x:v>
      </x:c>
      <x:c r="F103" t="n">
        <x:f>Parameters!$B$2*E103</x:f>
        <x:v>0.40203998367724797</x:v>
      </x:c>
      <x:c r="G103" t="n">
        <x:f>D103*F103</x:f>
        <x:v>197.69755321940582</x:v>
      </x:c>
      <x:c r="H103" t="n">
        <x:f>C103*Parameters!$B$4</x:f>
        <x:v>21</x:v>
      </x:c>
      <x:c r="I103" t="n">
        <x:f>G103+H103</x:f>
        <x:v>218.69755321940582</x:v>
      </x:c>
      <x:c r="J103" t="n">
        <x:f>IF(A103=0,0,(A103-1)*12+B103)</x:f>
        <x:v>90</x:v>
      </x:c>
      <x:c r="K103" t="n">
        <x:f>(1+Parameters!$B$6)^(J103/12)</x:f>
        <x:v>1.2943526686155358</x:v>
      </x:c>
      <x:c r="L103" t="n">
        <x:f>I103/K103</x:f>
        <x:v>168.9628789140821</x:v>
      </x:c>
    </x:row>
    <x:row r="104">
      <x:c r="A104" t="n">
        <x:v>8</x:v>
      </x:c>
      <x:c r="B104" t="n">
        <x:v>7</x:v>
      </x:c>
      <x:c r="C104" t="n">
        <x:v>31</x:v>
      </x:c>
      <x:c r="D104" t="n">
        <x:v>504.2151798375662</x:v>
      </x:c>
      <x:c r="E104" t="n">
        <x:f>IF(A104=0,1,(1+Parameters!$B$5)^(A104-1))</x:f>
        <x:v>1.14868566764928</x:v>
      </x:c>
      <x:c r="F104" t="n">
        <x:f>Parameters!$B$2*E104</x:f>
        <x:v>0.40203998367724797</x:v>
      </x:c>
      <x:c r="G104" t="n">
        <x:f>D104*F104</x:f>
        <x:v>202.71466267171576</x:v>
      </x:c>
      <x:c r="H104" t="n">
        <x:f>C104*Parameters!$B$4</x:f>
        <x:v>21.7</x:v>
      </x:c>
      <x:c r="I104" t="n">
        <x:f>G104+H104</x:f>
        <x:v>224.41466267171575</x:v>
      </x:c>
      <x:c r="J104" t="n">
        <x:f>IF(A104=0,0,(A104-1)*12+B104)</x:f>
        <x:v>91</x:v>
      </x:c>
      <x:c r="K104" t="n">
        <x:f>(1+Parameters!$B$6)^(J104/12)</x:f>
        <x:v>1.2980686240338977</x:v>
      </x:c>
      <x:c r="L104" t="n">
        <x:f>I104/K104</x:f>
        <x:v>172.88351210147994</x:v>
      </x:c>
    </x:row>
    <x:row r="105">
      <x:c r="A105" t="n">
        <x:v>8</x:v>
      </x:c>
      <x:c r="B105" t="n">
        <x:v>8</x:v>
      </x:c>
      <x:c r="C105" t="n">
        <x:v>31</x:v>
      </x:c>
      <x:c r="D105" t="n">
        <x:v>495.0866822817727</x:v>
      </x:c>
      <x:c r="E105" t="n">
        <x:f>IF(A105=0,1,(1+Parameters!$B$5)^(A105-1))</x:f>
        <x:v>1.14868566764928</x:v>
      </x:c>
      <x:c r="F105" t="n">
        <x:f>Parameters!$B$2*E105</x:f>
        <x:v>0.40203998367724797</x:v>
      </x:c>
      <x:c r="G105" t="n">
        <x:f>D105*F105</x:f>
        <x:v>199.04464166338676</x:v>
      </x:c>
      <x:c r="H105" t="n">
        <x:f>C105*Parameters!$B$4</x:f>
        <x:v>21.7</x:v>
      </x:c>
      <x:c r="I105" t="n">
        <x:f>G105+H105</x:f>
        <x:v>220.74464166338674</x:v>
      </x:c>
      <x:c r="J105" t="n">
        <x:f>IF(A105=0,0,(A105-1)*12+B105)</x:f>
        <x:v>92</x:v>
      </x:c>
      <x:c r="K105" t="n">
        <x:f>(1+Parameters!$B$6)^(J105/12)</x:f>
        <x:v>1.30179524758391</x:v>
      </x:c>
      <x:c r="L105" t="n">
        <x:f>I105/K105</x:f>
        <x:v>169.56940200318112</x:v>
      </x:c>
    </x:row>
    <x:row r="106">
      <x:c r="A106" t="n">
        <x:v>8</x:v>
      </x:c>
      <x:c r="B106" t="n">
        <x:v>9</x:v>
      </x:c>
      <x:c r="C106" t="n">
        <x:v>30</x:v>
      </x:c>
      <x:c r="D106" t="n">
        <x:v>484.7338669519189</x:v>
      </x:c>
      <x:c r="E106" t="n">
        <x:f>IF(A106=0,1,(1+Parameters!$B$5)^(A106-1))</x:f>
        <x:v>1.14868566764928</x:v>
      </x:c>
      <x:c r="F106" t="n">
        <x:f>Parameters!$B$2*E106</x:f>
        <x:v>0.40203998367724797</x:v>
      </x:c>
      <x:c r="G106" t="n">
        <x:f>D106*F106</x:f>
        <x:v>194.88239595715876</x:v>
      </x:c>
      <x:c r="H106" t="n">
        <x:f>C106*Parameters!$B$4</x:f>
        <x:v>21</x:v>
      </x:c>
      <x:c r="I106" t="n">
        <x:f>G106+H106</x:f>
        <x:v>215.88239595715876</x:v>
      </x:c>
      <x:c r="J106" t="n">
        <x:f>IF(A106=0,0,(A106-1)*12+B106)</x:f>
        <x:v>93</x:v>
      </x:c>
      <x:c r="K106" t="n">
        <x:f>(1+Parameters!$B$6)^(J106/12)</x:f>
        <x:v>1.3055325698926987</x:v>
      </x:c>
      <x:c r="L106" t="n">
        <x:f>I106/K106</x:f>
        <x:v>165.35964014662773</x:v>
      </x:c>
    </x:row>
    <x:row r="107">
      <x:c r="A107" t="n">
        <x:v>8</x:v>
      </x:c>
      <x:c r="B107" t="n">
        <x:v>10</x:v>
      </x:c>
      <x:c r="C107" t="n">
        <x:v>31</x:v>
      </x:c>
      <x:c r="D107" t="n">
        <x:v>965.136511636476</x:v>
      </x:c>
      <x:c r="E107" t="n">
        <x:f>IF(A107=0,1,(1+Parameters!$B$5)^(A107-1))</x:f>
        <x:v>1.14868566764928</x:v>
      </x:c>
      <x:c r="F107" t="n">
        <x:f>Parameters!$B$2*E107</x:f>
        <x:v>0.40203998367724797</x:v>
      </x:c>
      <x:c r="G107" t="n">
        <x:f>D107*F107</x:f>
        <x:v>388.02346738464485</x:v>
      </x:c>
      <x:c r="H107" t="n">
        <x:f>C107*Parameters!$B$4</x:f>
        <x:v>21.7</x:v>
      </x:c>
      <x:c r="I107" t="n">
        <x:f>G107+H107</x:f>
        <x:v>409.72346738464483</x:v>
      </x:c>
      <x:c r="J107" t="n">
        <x:f>IF(A107=0,0,(A107-1)*12+B107)</x:f>
        <x:v>94</x:v>
      </x:c>
      <x:c r="K107" t="n">
        <x:f>(1+Parameters!$B$6)^(J107/12)</x:f>
        <x:v>1.3092806216753166</x:v>
      </x:c>
      <x:c r="L107" t="n">
        <x:f>I107/K107</x:f>
        <x:v>312.9378535064354</x:v>
      </x:c>
    </x:row>
    <x:row r="108">
      <x:c r="A108" t="n">
        <x:v>8</x:v>
      </x:c>
      <x:c r="B108" t="n">
        <x:v>11</x:v>
      </x:c>
      <x:c r="C108" t="n">
        <x:v>30</x:v>
      </x:c>
      <x:c r="D108" t="n">
        <x:v>948.3641557590579</x:v>
      </x:c>
      <x:c r="E108" t="n">
        <x:f>IF(A108=0,1,(1+Parameters!$B$5)^(A108-1))</x:f>
        <x:v>1.14868566764928</x:v>
      </x:c>
      <x:c r="F108" t="n">
        <x:f>Parameters!$B$2*E108</x:f>
        <x:v>0.40203998367724797</x:v>
      </x:c>
      <x:c r="G108" t="n">
        <x:f>D108*F108</x:f>
        <x:v>381.2803097014587</x:v>
      </x:c>
      <x:c r="H108" t="n">
        <x:f>C108*Parameters!$B$4</x:f>
        <x:v>21</x:v>
      </x:c>
      <x:c r="I108" t="n">
        <x:f>G108+H108</x:f>
        <x:v>402.2803097014587</x:v>
      </x:c>
      <x:c r="J108" t="n">
        <x:f>IF(A108=0,0,(A108-1)*12+B108)</x:f>
        <x:v>95</x:v>
      </x:c>
      <x:c r="K108" t="n">
        <x:f>(1+Parameters!$B$6)^(J108/12)</x:f>
        <x:v>1.313039433734996</x:v>
      </x:c>
      <x:c r="L108" t="n">
        <x:f>I108/K108</x:f>
        <x:v>306.37336500790036</x:v>
      </x:c>
    </x:row>
    <x:row r="109">
      <x:c r="A109" t="n">
        <x:v>8</x:v>
      </x:c>
      <x:c r="B109" t="n">
        <x:v>12</x:v>
      </x:c>
      <x:c r="C109" t="n">
        <x:v>31</x:v>
      </x:c>
      <x:c r="D109" t="n">
        <x:v>928.0366698691505</x:v>
      </x:c>
      <x:c r="E109" t="n">
        <x:f>IF(A109=0,1,(1+Parameters!$B$5)^(A109-1))</x:f>
        <x:v>1.14868566764928</x:v>
      </x:c>
      <x:c r="F109" t="n">
        <x:f>Parameters!$B$2*E109</x:f>
        <x:v>0.40203998367724797</x:v>
      </x:c>
      <x:c r="G109" t="n">
        <x:f>D109*F109</x:f>
        <x:v>373.10784760608084</x:v>
      </x:c>
      <x:c r="H109" t="n">
        <x:f>C109*Parameters!$B$4</x:f>
        <x:v>21.7</x:v>
      </x:c>
      <x:c r="I109" t="n">
        <x:f>G109+H109</x:f>
        <x:v>394.8078476060808</x:v>
      </x:c>
      <x:c r="J109" t="n">
        <x:f>IF(A109=0,0,(A109-1)*12+B109)</x:f>
        <x:v>96</x:v>
      </x:c>
      <x:c r="K109" t="n">
        <x:f>(1+Parameters!$B$6)^(J109/12)</x:f>
        <x:v>1.316809036963403</x:v>
      </x:c>
      <x:c r="L109" t="n">
        <x:f>I109/K109</x:f>
        <x:v>299.8216419569221</x:v>
      </x:c>
    </x:row>
    <x:row r="110">
      <x:c r="A110" t="n">
        <x:v>9</x:v>
      </x:c>
      <x:c r="B110" t="n">
        <x:v>1</x:v>
      </x:c>
      <x:c r="C110" t="n">
        <x:v>31</x:v>
      </x:c>
      <x:c r="D110" t="n">
        <x:v>921.8588397150115</x:v>
      </x:c>
      <x:c r="E110" t="n">
        <x:f>IF(A110=0,1,(1+Parameters!$B$5)^(A110-1))</x:f>
        <x:v>1.1716593810022657</x:v>
      </x:c>
      <x:c r="F110" t="n">
        <x:f>Parameters!$B$2*E110</x:f>
        <x:v>0.410080783350793</x:v>
      </x:c>
      <x:c r="G110" t="n">
        <x:f>D110*F110</x:f>
        <x:v>378.03659512918506</x:v>
      </x:c>
      <x:c r="H110" t="n">
        <x:f>C110*Parameters!$B$4</x:f>
        <x:v>21.7</x:v>
      </x:c>
      <x:c r="I110" t="n">
        <x:f>G110+H110</x:f>
        <x:v>399.73659512918505</x:v>
      </x:c>
      <x:c r="J110" t="n">
        <x:f>IF(A110=0,0,(A110-1)*12+B110)</x:f>
        <x:v>97</x:v>
      </x:c>
      <x:c r="K110" t="n">
        <x:f>(1+Parameters!$B$6)^(J110/12)</x:f>
        <x:v>1.3205894623408898</x:v>
      </x:c>
      <x:c r="L110" t="n">
        <x:f>I110/K110</x:f>
        <x:v>302.69558142665176</x:v>
      </x:c>
    </x:row>
    <x:row r="111">
      <x:c r="A111" t="n">
        <x:v>9</x:v>
      </x:c>
      <x:c r="B111" t="n">
        <x:v>2</x:v>
      </x:c>
      <x:c r="C111" t="n">
        <x:v>28</x:v>
      </x:c>
      <x:c r="D111" t="n">
        <x:v>923.6252753036425</x:v>
      </x:c>
      <x:c r="E111" t="n">
        <x:f>IF(A111=0,1,(1+Parameters!$B$5)^(A111-1))</x:f>
        <x:v>1.1716593810022657</x:v>
      </x:c>
      <x:c r="F111" t="n">
        <x:f>Parameters!$B$2*E111</x:f>
        <x:v>0.410080783350793</x:v>
      </x:c>
      <x:c r="G111" t="n">
        <x:f>D111*F111</x:f>
        <x:v>378.76097641910957</x:v>
      </x:c>
      <x:c r="H111" t="n">
        <x:f>C111*Parameters!$B$4</x:f>
        <x:v>19.599999999999998</x:v>
      </x:c>
      <x:c r="I111" t="n">
        <x:f>G111+H111</x:f>
        <x:v>398.3609764191096</x:v>
      </x:c>
      <x:c r="J111" t="n">
        <x:f>IF(A111=0,0,(A111-1)*12+B111)</x:f>
        <x:v>98</x:v>
      </x:c>
      <x:c r="K111" t="n">
        <x:f>(1+Parameters!$B$6)^(J111/12)</x:f>
        <x:v>1.3243807409367503</x:v>
      </x:c>
      <x:c r="L111" t="n">
        <x:f>I111/K111</x:f>
        <x:v>300.7903725157949</x:v>
      </x:c>
    </x:row>
    <x:row r="112">
      <x:c r="A112" t="n">
        <x:v>9</x:v>
      </x:c>
      <x:c r="B112" t="n">
        <x:v>3</x:v>
      </x:c>
      <x:c r="C112" t="n">
        <x:v>31</x:v>
      </x:c>
      <x:c r="D112" t="n">
        <x:v>907.7273550059616</x:v>
      </x:c>
      <x:c r="E112" t="n">
        <x:f>IF(A112=0,1,(1+Parameters!$B$5)^(A112-1))</x:f>
        <x:v>1.1716593810022657</x:v>
      </x:c>
      <x:c r="F112" t="n">
        <x:f>Parameters!$B$2*E112</x:f>
        <x:v>0.410080783350793</x:v>
      </x:c>
      <x:c r="G112" t="n">
        <x:f>D112*F112</x:f>
        <x:v>372.24154480978814</x:v>
      </x:c>
      <x:c r="H112" t="n">
        <x:f>C112*Parameters!$B$4</x:f>
        <x:v>21.7</x:v>
      </x:c>
      <x:c r="I112" t="n">
        <x:f>G112+H112</x:f>
        <x:v>393.9415448097881</x:v>
      </x:c>
      <x:c r="J112" t="n">
        <x:f>IF(A112=0,0,(A112-1)*12+B112)</x:f>
        <x:v>99</x:v>
      </x:c>
      <x:c r="K112" t="n">
        <x:f>(1+Parameters!$B$6)^(J112/12)</x:f>
        <x:v>1.3281829039094752</x:v>
      </x:c>
      <x:c r="L112" t="n">
        <x:f>I112/K112</x:f>
        <x:v>296.601878890498</x:v>
      </x:c>
    </x:row>
    <x:row r="113">
      <x:c r="A113" t="n">
        <x:v>9</x:v>
      </x:c>
      <x:c r="B113" t="n">
        <x:v>4</x:v>
      </x:c>
      <x:c r="C113" t="n">
        <x:v>30</x:v>
      </x:c>
      <x:c r="D113" t="n">
        <x:v>951.0096133576476</x:v>
      </x:c>
      <x:c r="E113" t="n">
        <x:f>IF(A113=0,1,(1+Parameters!$B$5)^(A113-1))</x:f>
        <x:v>1.1716593810022657</x:v>
      </x:c>
      <x:c r="F113" t="n">
        <x:f>Parameters!$B$2*E113</x:f>
        <x:v>0.410080783350793</x:v>
      </x:c>
      <x:c r="G113" t="n">
        <x:f>D113*F113</x:f>
        <x:v>389.9907672198389</x:v>
      </x:c>
      <x:c r="H113" t="n">
        <x:f>C113*Parameters!$B$4</x:f>
        <x:v>21</x:v>
      </x:c>
      <x:c r="I113" t="n">
        <x:f>G113+H113</x:f>
        <x:v>410.9907672198389</x:v>
      </x:c>
      <x:c r="J113" t="n">
        <x:f>IF(A113=0,0,(A113-1)*12+B113)</x:f>
        <x:v>100</x:v>
      </x:c>
      <x:c r="K113" t="n">
        <x:f>(1+Parameters!$B$6)^(J113/12)</x:f>
        <x:v>1.3319959825070085</x:v>
      </x:c>
      <x:c r="L113" t="n">
        <x:f>I113/K113</x:f>
        <x:v>308.55255767836104</x:v>
      </x:c>
    </x:row>
    <x:row r="114">
      <x:c r="A114" t="n">
        <x:v>9</x:v>
      </x:c>
      <x:c r="B114" t="n">
        <x:v>5</x:v>
      </x:c>
      <x:c r="C114" t="n">
        <x:v>31</x:v>
      </x:c>
      <x:c r="D114" t="n">
        <x:v>480.47</x:v>
      </x:c>
      <x:c r="E114" t="n">
        <x:f>IF(A114=0,1,(1+Parameters!$B$5)^(A114-1))</x:f>
        <x:v>1.1716593810022657</x:v>
      </x:c>
      <x:c r="F114" t="n">
        <x:f>Parameters!$B$2*E114</x:f>
        <x:v>0.410080783350793</x:v>
      </x:c>
      <x:c r="G114" t="n">
        <x:f>D114*F114</x:f>
        <x:v>197.03151397655552</x:v>
      </x:c>
      <x:c r="H114" t="n">
        <x:f>C114*Parameters!$B$4</x:f>
        <x:v>21.7</x:v>
      </x:c>
      <x:c r="I114" t="n">
        <x:f>G114+H114</x:f>
        <x:v>218.7315139765555</x:v>
      </x:c>
      <x:c r="J114" t="n">
        <x:f>IF(A114=0,0,(A114-1)*12+B114)</x:f>
        <x:v>101</x:v>
      </x:c>
      <x:c r="K114" t="n">
        <x:f>(1+Parameters!$B$6)^(J114/12)</x:f>
        <x:v>1.335820008067003</x:v>
      </x:c>
      <x:c r="L114" t="n">
        <x:f>I114/K114</x:f>
        <x:v>163.74325332427884</x:v>
      </x:c>
    </x:row>
    <x:row r="115">
      <x:c r="A115" t="n">
        <x:v>9</x:v>
      </x:c>
      <x:c r="B115" t="n">
        <x:v>6</x:v>
      </x:c>
      <x:c r="C115" t="n">
        <x:v>30</x:v>
      </x:c>
      <x:c r="D115" t="n">
        <x:v>491.73604926348474</x:v>
      </x:c>
      <x:c r="E115" t="n">
        <x:f>IF(A115=0,1,(1+Parameters!$B$5)^(A115-1))</x:f>
        <x:v>1.1716593810022657</x:v>
      </x:c>
      <x:c r="F115" t="n">
        <x:f>Parameters!$B$2*E115</x:f>
        <x:v>0.410080783350793</x:v>
      </x:c>
      <x:c r="G115" t="n">
        <x:f>D115*F115</x:f>
        <x:v>201.65150428379397</x:v>
      </x:c>
      <x:c r="H115" t="n">
        <x:f>C115*Parameters!$B$4</x:f>
        <x:v>21</x:v>
      </x:c>
      <x:c r="I115" t="n">
        <x:f>G115+H115</x:f>
        <x:v>222.65150428379397</x:v>
      </x:c>
      <x:c r="J115" t="n">
        <x:f>IF(A115=0,0,(A115-1)*12+B115)</x:f>
        <x:v>102</x:v>
      </x:c>
      <x:c r="K115" t="n">
        <x:f>(1+Parameters!$B$6)^(J115/12)</x:f>
        <x:v>1.3396550120170796</x:v>
      </x:c>
      <x:c r="L115" t="n">
        <x:f>I115/K115</x:f>
        <x:v>166.20062798746528</x:v>
      </x:c>
    </x:row>
    <x:row r="116">
      <x:c r="A116" t="n">
        <x:v>9</x:v>
      </x:c>
      <x:c r="B116" t="n">
        <x:v>7</x:v>
      </x:c>
      <x:c r="C116" t="n">
        <x:v>31</x:v>
      </x:c>
      <x:c r="D116" t="n">
        <x:v>504.2151798375662</x:v>
      </x:c>
      <x:c r="E116" t="n">
        <x:f>IF(A116=0,1,(1+Parameters!$B$5)^(A116-1))</x:f>
        <x:v>1.1716593810022657</x:v>
      </x:c>
      <x:c r="F116" t="n">
        <x:f>Parameters!$B$2*E116</x:f>
        <x:v>0.410080783350793</x:v>
      </x:c>
      <x:c r="G116" t="n">
        <x:f>D116*F116</x:f>
        <x:v>206.76895592515012</x:v>
      </x:c>
      <x:c r="H116" t="n">
        <x:f>C116*Parameters!$B$4</x:f>
        <x:v>21.7</x:v>
      </x:c>
      <x:c r="I116" t="n">
        <x:f>G116+H116</x:f>
        <x:v>228.4689559251501</x:v>
      </x:c>
      <x:c r="J116" t="n">
        <x:f>IF(A116=0,0,(A116-1)*12+B116)</x:f>
        <x:v>103</x:v>
      </x:c>
      <x:c r="K116" t="n">
        <x:f>(1+Parameters!$B$6)^(J116/12)</x:f>
        <x:v>1.343501025875084</x:v>
      </x:c>
      <x:c r="L116" t="n">
        <x:f>I116/K116</x:f>
        <x:v>170.05491735768328</x:v>
      </x:c>
    </x:row>
    <x:row r="117">
      <x:c r="A117" t="n">
        <x:v>9</x:v>
      </x:c>
      <x:c r="B117" t="n">
        <x:v>8</x:v>
      </x:c>
      <x:c r="C117" t="n">
        <x:v>31</x:v>
      </x:c>
      <x:c r="D117" t="n">
        <x:v>495.0866822817727</x:v>
      </x:c>
      <x:c r="E117" t="n">
        <x:f>IF(A117=0,1,(1+Parameters!$B$5)^(A117-1))</x:f>
        <x:v>1.1716593810022657</x:v>
      </x:c>
      <x:c r="F117" t="n">
        <x:f>Parameters!$B$2*E117</x:f>
        <x:v>0.410080783350793</x:v>
      </x:c>
      <x:c r="G117" t="n">
        <x:f>D117*F117</x:f>
        <x:v>203.02553449665453</x:v>
      </x:c>
      <x:c r="H117" t="n">
        <x:f>C117*Parameters!$B$4</x:f>
        <x:v>21.7</x:v>
      </x:c>
      <x:c r="I117" t="n">
        <x:f>G117+H117</x:f>
        <x:v>224.72553449665452</x:v>
      </x:c>
      <x:c r="J117" t="n">
        <x:f>IF(A117=0,0,(A117-1)*12+B117)</x:f>
        <x:v>104</x:v>
      </x:c>
      <x:c r="K117" t="n">
        <x:f>(1+Parameters!$B$6)^(J117/12)</x:f>
        <x:v>1.3473580812493469</x:v>
      </x:c>
      <x:c r="L117" t="n">
        <x:f>I117/K117</x:f>
        <x:v>166.78976259100793</x:v>
      </x:c>
    </x:row>
    <x:row r="118">
      <x:c r="A118" t="n">
        <x:v>9</x:v>
      </x:c>
      <x:c r="B118" t="n">
        <x:v>9</x:v>
      </x:c>
      <x:c r="C118" t="n">
        <x:v>30</x:v>
      </x:c>
      <x:c r="D118" t="n">
        <x:v>484.7338669519189</x:v>
      </x:c>
      <x:c r="E118" t="n">
        <x:f>IF(A118=0,1,(1+Parameters!$B$5)^(A118-1))</x:f>
        <x:v>1.1716593810022657</x:v>
      </x:c>
      <x:c r="F118" t="n">
        <x:f>Parameters!$B$2*E118</x:f>
        <x:v>0.410080783350793</x:v>
      </x:c>
      <x:c r="G118" t="n">
        <x:f>D118*F118</x:f>
        <x:v>198.780043876302</x:v>
      </x:c>
      <x:c r="H118" t="n">
        <x:f>C118*Parameters!$B$4</x:f>
        <x:v>21</x:v>
      </x:c>
      <x:c r="I118" t="n">
        <x:f>G118+H118</x:f>
        <x:v>219.780043876302</x:v>
      </x:c>
      <x:c r="J118" t="n">
        <x:f>IF(A118=0,0,(A118-1)*12+B118)</x:f>
        <x:v>105</x:v>
      </x:c>
      <x:c r="K118" t="n">
        <x:f>(1+Parameters!$B$6)^(J118/12)</x:f>
        <x:v>1.3512262098389431</x:v>
      </x:c>
      <x:c r="L118" t="n">
        <x:f>I118/K118</x:f>
        <x:v>162.6522948385513</x:v>
      </x:c>
    </x:row>
    <x:row r="119">
      <x:c r="A119" t="n">
        <x:v>9</x:v>
      </x:c>
      <x:c r="B119" t="n">
        <x:v>10</x:v>
      </x:c>
      <x:c r="C119" t="n">
        <x:v>31</x:v>
      </x:c>
      <x:c r="D119" t="n">
        <x:v>965.136511636476</x:v>
      </x:c>
      <x:c r="E119" t="n">
        <x:f>IF(A119=0,1,(1+Parameters!$B$5)^(A119-1))</x:f>
        <x:v>1.1716593810022657</x:v>
      </x:c>
      <x:c r="F119" t="n">
        <x:f>Parameters!$B$2*E119</x:f>
        <x:v>0.410080783350793</x:v>
      </x:c>
      <x:c r="G119" t="n">
        <x:f>D119*F119</x:f>
        <x:v>395.78393673233785</x:v>
      </x:c>
      <x:c r="H119" t="n">
        <x:f>C119*Parameters!$B$4</x:f>
        <x:v>21.7</x:v>
      </x:c>
      <x:c r="I119" t="n">
        <x:f>G119+H119</x:f>
        <x:v>417.48393673233784</x:v>
      </x:c>
      <x:c r="J119" t="n">
        <x:f>IF(A119=0,0,(A119-1)*12+B119)</x:f>
        <x:v>106</x:v>
      </x:c>
      <x:c r="K119" t="n">
        <x:f>(1+Parameters!$B$6)^(J119/12)</x:f>
        <x:v>1.3551054434339525</x:v>
      </x:c>
      <x:c r="L119" t="n">
        <x:f>I119/K119</x:f>
        <x:v>308.0822520160483</x:v>
      </x:c>
    </x:row>
    <x:row r="120">
      <x:c r="A120" t="n">
        <x:v>9</x:v>
      </x:c>
      <x:c r="B120" t="n">
        <x:v>11</x:v>
      </x:c>
      <x:c r="C120" t="n">
        <x:v>30</x:v>
      </x:c>
      <x:c r="D120" t="n">
        <x:v>948.3641557590579</x:v>
      </x:c>
      <x:c r="E120" t="n">
        <x:f>IF(A120=0,1,(1+Parameters!$B$5)^(A120-1))</x:f>
        <x:v>1.1716593810022657</x:v>
      </x:c>
      <x:c r="F120" t="n">
        <x:f>Parameters!$B$2*E120</x:f>
        <x:v>0.410080783350793</x:v>
      </x:c>
      <x:c r="G120" t="n">
        <x:f>D120*F120</x:f>
        <x:v>388.90591589548796</x:v>
      </x:c>
      <x:c r="H120" t="n">
        <x:f>C120*Parameters!$B$4</x:f>
        <x:v>21</x:v>
      </x:c>
      <x:c r="I120" t="n">
        <x:f>G120+H120</x:f>
        <x:v>409.90591589548796</x:v>
      </x:c>
      <x:c r="J120" t="n">
        <x:f>IF(A120=0,0,(A120-1)*12+B120)</x:f>
        <x:v>107</x:v>
      </x:c>
      <x:c r="K120" t="n">
        <x:f>(1+Parameters!$B$6)^(J120/12)</x:f>
        <x:v>1.3589958139157208</x:v>
      </x:c>
      <x:c r="L120" t="n">
        <x:f>I120/K120</x:f>
        <x:v>301.62411958754467</x:v>
      </x:c>
    </x:row>
    <x:row r="121">
      <x:c r="A121" t="n">
        <x:v>9</x:v>
      </x:c>
      <x:c r="B121" t="n">
        <x:v>12</x:v>
      </x:c>
      <x:c r="C121" t="n">
        <x:v>31</x:v>
      </x:c>
      <x:c r="D121" t="n">
        <x:v>928.0366698691505</x:v>
      </x:c>
      <x:c r="E121" t="n">
        <x:f>IF(A121=0,1,(1+Parameters!$B$5)^(A121-1))</x:f>
        <x:v>1.1716593810022657</x:v>
      </x:c>
      <x:c r="F121" t="n">
        <x:f>Parameters!$B$2*E121</x:f>
        <x:v>0.410080783350793</x:v>
      </x:c>
      <x:c r="G121" t="n">
        <x:f>D121*F121</x:f>
        <x:v>380.5700045582025</x:v>
      </x:c>
      <x:c r="H121" t="n">
        <x:f>C121*Parameters!$B$4</x:f>
        <x:v>21.7</x:v>
      </x:c>
      <x:c r="I121" t="n">
        <x:f>G121+H121</x:f>
        <x:v>402.2700045582025</x:v>
      </x:c>
      <x:c r="J121" t="n">
        <x:f>IF(A121=0,0,(A121-1)*12+B121)</x:f>
        <x:v>108</x:v>
      </x:c>
      <x:c r="K121" t="n">
        <x:f>(1+Parameters!$B$6)^(J121/12)</x:f>
        <x:v>1.362897353257122</x:v>
      </x:c>
      <x:c r="L121" t="n">
        <x:f>I121/K121</x:f>
        <x:v>295.15796152721043</x:v>
      </x:c>
    </x:row>
    <x:row r="122">
      <x:c r="A122" t="n">
        <x:v>10</x:v>
      </x:c>
      <x:c r="B122" t="n">
        <x:v>1</x:v>
      </x:c>
      <x:c r="C122" t="n">
        <x:v>31</x:v>
      </x:c>
      <x:c r="D122" t="n">
        <x:v>921.8588397150115</x:v>
      </x:c>
      <x:c r="E122" t="n">
        <x:f>IF(A122=0,1,(1+Parameters!$B$5)^(A122-1))</x:f>
        <x:v>1.195092568622311</x:v>
      </x:c>
      <x:c r="F122" t="n">
        <x:f>Parameters!$B$2*E122</x:f>
        <x:v>0.41828239901780884</x:v>
      </x:c>
      <x:c r="G122" t="n">
        <x:f>D122*F122</x:f>
        <x:v>385.5973270317687</x:v>
      </x:c>
      <x:c r="H122" t="n">
        <x:f>C122*Parameters!$B$4</x:f>
        <x:v>21.7</x:v>
      </x:c>
      <x:c r="I122" t="n">
        <x:f>G122+H122</x:f>
        <x:v>407.2973270317687</x:v>
      </x:c>
      <x:c r="J122" t="n">
        <x:f>IF(A122=0,0,(A122-1)*12+B122)</x:f>
        <x:v>109</x:v>
      </x:c>
      <x:c r="K122" t="n">
        <x:f>(1+Parameters!$B$6)^(J122/12)</x:f>
        <x:v>1.3668100935228207</x:v>
      </x:c>
      <x:c r="L122" t="n">
        <x:f>I122/K122</x:f>
        <x:v>297.9911612900072</x:v>
      </x:c>
    </x:row>
    <x:row r="123">
      <x:c r="A123" t="n">
        <x:v>10</x:v>
      </x:c>
      <x:c r="B123" t="n">
        <x:v>2</x:v>
      </x:c>
      <x:c r="C123" t="n">
        <x:v>28</x:v>
      </x:c>
      <x:c r="D123" t="n">
        <x:v>923.6252753036425</x:v>
      </x:c>
      <x:c r="E123" t="n">
        <x:f>IF(A123=0,1,(1+Parameters!$B$5)^(A123-1))</x:f>
        <x:v>1.195092568622311</x:v>
      </x:c>
      <x:c r="F123" t="n">
        <x:f>Parameters!$B$2*E123</x:f>
        <x:v>0.41828239901780884</x:v>
      </x:c>
      <x:c r="G123" t="n">
        <x:f>D123*F123</x:f>
        <x:v>386.3361959474917</x:v>
      </x:c>
      <x:c r="H123" t="n">
        <x:f>C123*Parameters!$B$4</x:f>
        <x:v>19.599999999999998</x:v>
      </x:c>
      <x:c r="I123" t="n">
        <x:f>G123+H123</x:f>
        <x:v>405.93619594749174</x:v>
      </x:c>
      <x:c r="J123" t="n">
        <x:f>IF(A123=0,0,(A123-1)*12+B123)</x:f>
        <x:v>110</x:v>
      </x:c>
      <x:c r="K123" t="n">
        <x:f>(1+Parameters!$B$6)^(J123/12)</x:f>
        <x:v>1.3707340668695362</x:v>
      </x:c>
      <x:c r="L123" t="n">
        <x:f>I123/K123</x:f>
        <x:v>296.1451135992872</x:v>
      </x:c>
    </x:row>
    <x:row r="124">
      <x:c r="A124" t="n">
        <x:v>10</x:v>
      </x:c>
      <x:c r="B124" t="n">
        <x:v>3</x:v>
      </x:c>
      <x:c r="C124" t="n">
        <x:v>31</x:v>
      </x:c>
      <x:c r="D124" t="n">
        <x:v>907.7273550059616</x:v>
      </x:c>
      <x:c r="E124" t="n">
        <x:f>IF(A124=0,1,(1+Parameters!$B$5)^(A124-1))</x:f>
        <x:v>1.195092568622311</x:v>
      </x:c>
      <x:c r="F124" t="n">
        <x:f>Parameters!$B$2*E124</x:f>
        <x:v>0.41828239901780884</x:v>
      </x:c>
      <x:c r="G124" t="n">
        <x:f>D124*F124</x:f>
        <x:v>379.68637570598383</x:v>
      </x:c>
      <x:c r="H124" t="n">
        <x:f>C124*Parameters!$B$4</x:f>
        <x:v>21.7</x:v>
      </x:c>
      <x:c r="I124" t="n">
        <x:f>G124+H124</x:f>
        <x:v>401.3863757059838</x:v>
      </x:c>
      <x:c r="J124" t="n">
        <x:f>IF(A124=0,0,(A124-1)*12+B124)</x:f>
        <x:v>111</x:v>
      </x:c>
      <x:c r="K124" t="n">
        <x:f>(1+Parameters!$B$6)^(J124/12)</x:f>
        <x:v>1.3746693055463068</x:v>
      </x:c>
      <x:c r="L124" t="n">
        <x:f>I124/K124</x:f>
        <x:v>291.98758864152353</x:v>
      </x:c>
    </x:row>
    <x:row r="125">
      <x:c r="A125" t="n">
        <x:v>10</x:v>
      </x:c>
      <x:c r="B125" t="n">
        <x:v>4</x:v>
      </x:c>
      <x:c r="C125" t="n">
        <x:v>30</x:v>
      </x:c>
      <x:c r="D125" t="n">
        <x:v>951.0096133576476</x:v>
      </x:c>
      <x:c r="E125" t="n">
        <x:f>IF(A125=0,1,(1+Parameters!$B$5)^(A125-1))</x:f>
        <x:v>1.195092568622311</x:v>
      </x:c>
      <x:c r="F125" t="n">
        <x:f>Parameters!$B$2*E125</x:f>
        <x:v>0.41828239901780884</x:v>
      </x:c>
      <x:c r="G125" t="n">
        <x:f>D125*F125</x:f>
        <x:v>397.79058256423565</x:v>
      </x:c>
      <x:c r="H125" t="n">
        <x:f>C125*Parameters!$B$4</x:f>
        <x:v>21</x:v>
      </x:c>
      <x:c r="I125" t="n">
        <x:f>G125+H125</x:f>
        <x:v>418.79058256423565</x:v>
      </x:c>
      <x:c r="J125" t="n">
        <x:f>IF(A125=0,0,(A125-1)*12+B125)</x:f>
        <x:v>112</x:v>
      </x:c>
      <x:c r="K125" t="n">
        <x:f>(1+Parameters!$B$6)^(J125/12)</x:f>
        <x:v>1.3786158418947536</x:v>
      </x:c>
      <x:c r="L125" t="n">
        <x:f>I125/K125</x:f>
        <x:v>303.77612808268236</x:v>
      </x:c>
    </x:row>
    <x:row r="126">
      <x:c r="A126" t="n">
        <x:v>10</x:v>
      </x:c>
      <x:c r="B126" t="n">
        <x:v>5</x:v>
      </x:c>
      <x:c r="C126" t="n">
        <x:v>31</x:v>
      </x:c>
      <x:c r="D126" t="n">
        <x:v>480.47</x:v>
      </x:c>
      <x:c r="E126" t="n">
        <x:f>IF(A126=0,1,(1+Parameters!$B$5)^(A126-1))</x:f>
        <x:v>1.195092568622311</x:v>
      </x:c>
      <x:c r="F126" t="n">
        <x:f>Parameters!$B$2*E126</x:f>
        <x:v>0.41828239901780884</x:v>
      </x:c>
      <x:c r="G126" t="n">
        <x:f>D126*F126</x:f>
        <x:v>200.97214425608664</x:v>
      </x:c>
      <x:c r="H126" t="n">
        <x:f>C126*Parameters!$B$4</x:f>
        <x:v>21.7</x:v>
      </x:c>
      <x:c r="I126" t="n">
        <x:f>G126+H126</x:f>
        <x:v>222.67214425608663</x:v>
      </x:c>
      <x:c r="J126" t="n">
        <x:f>IF(A126=0,0,(A126-1)*12+B126)</x:f>
        <x:v>113</x:v>
      </x:c>
      <x:c r="K126" t="n">
        <x:f>(1+Parameters!$B$6)^(J126/12)</x:f>
        <x:v>1.3825737083493481</x:v>
      </x:c>
      <x:c r="L126" t="n">
        <x:f>I126/K126</x:f>
        <x:v>161.05625538180848</x:v>
      </x:c>
    </x:row>
    <x:row r="127">
      <x:c r="A127" t="n">
        <x:v>10</x:v>
      </x:c>
      <x:c r="B127" t="n">
        <x:v>6</x:v>
      </x:c>
      <x:c r="C127" t="n">
        <x:v>30</x:v>
      </x:c>
      <x:c r="D127" t="n">
        <x:v>491.73604926348474</x:v>
      </x:c>
      <x:c r="E127" t="n">
        <x:f>IF(A127=0,1,(1+Parameters!$B$5)^(A127-1))</x:f>
        <x:v>1.195092568622311</x:v>
      </x:c>
      <x:c r="F127" t="n">
        <x:f>Parameters!$B$2*E127</x:f>
        <x:v>0.41828239901780884</x:v>
      </x:c>
      <x:c r="G127" t="n">
        <x:f>D127*F127</x:f>
        <x:v>205.68453436946982</x:v>
      </x:c>
      <x:c r="H127" t="n">
        <x:f>C127*Parameters!$B$4</x:f>
        <x:v>21</x:v>
      </x:c>
      <x:c r="I127" t="n">
        <x:f>G127+H127</x:f>
        <x:v>226.68453436946982</x:v>
      </x:c>
      <x:c r="J127" t="n">
        <x:f>IF(A127=0,0,(A127-1)*12+B127)</x:f>
        <x:v>114</x:v>
      </x:c>
      <x:c r="K127" t="n">
        <x:f>(1+Parameters!$B$6)^(J127/12)</x:f>
        <x:v>1.3865429374376772</x:v>
      </x:c>
      <x:c r="L127" t="n">
        <x:f>I127/K127</x:f>
        <x:v>163.48901159049674</x:v>
      </x:c>
    </x:row>
    <x:row r="128">
      <x:c r="A128" t="n">
        <x:v>10</x:v>
      </x:c>
      <x:c r="B128" t="n">
        <x:v>7</x:v>
      </x:c>
      <x:c r="C128" t="n">
        <x:v>31</x:v>
      </x:c>
      <x:c r="D128" t="n">
        <x:v>504.2151798375662</x:v>
      </x:c>
      <x:c r="E128" t="n">
        <x:f>IF(A128=0,1,(1+Parameters!$B$5)^(A128-1))</x:f>
        <x:v>1.195092568622311</x:v>
      </x:c>
      <x:c r="F128" t="n">
        <x:f>Parameters!$B$2*E128</x:f>
        <x:v>0.41828239901780884</x:v>
      </x:c>
      <x:c r="G128" t="n">
        <x:f>D128*F128</x:f>
        <x:v>210.9043350436531</x:v>
      </x:c>
      <x:c r="H128" t="n">
        <x:f>C128*Parameters!$B$4</x:f>
        <x:v>21.7</x:v>
      </x:c>
      <x:c r="I128" t="n">
        <x:f>G128+H128</x:f>
        <x:v>232.6043350436531</x:v>
      </x:c>
      <x:c r="J128" t="n">
        <x:f>IF(A128=0,0,(A128-1)*12+B128)</x:f>
        <x:v>115</x:v>
      </x:c>
      <x:c r="K128" t="n">
        <x:f>(1+Parameters!$B$6)^(J128/12)</x:f>
        <x:v>1.390523561780712</x:v>
      </x:c>
      <x:c r="L128" t="n">
        <x:f>I128/K128</x:f>
        <x:v>167.27824068351546</x:v>
      </x:c>
    </x:row>
    <x:row r="129">
      <x:c r="A129" t="n">
        <x:v>10</x:v>
      </x:c>
      <x:c r="B129" t="n">
        <x:v>8</x:v>
      </x:c>
      <x:c r="C129" t="n">
        <x:v>31</x:v>
      </x:c>
      <x:c r="D129" t="n">
        <x:v>495.0866822817727</x:v>
      </x:c>
      <x:c r="E129" t="n">
        <x:f>IF(A129=0,1,(1+Parameters!$B$5)^(A129-1))</x:f>
        <x:v>1.195092568622311</x:v>
      </x:c>
      <x:c r="F129" t="n">
        <x:f>Parameters!$B$2*E129</x:f>
        <x:v>0.41828239901780884</x:v>
      </x:c>
      <x:c r="G129" t="n">
        <x:f>D129*F129</x:f>
        <x:v>207.0860451865876</x:v>
      </x:c>
      <x:c r="H129" t="n">
        <x:f>C129*Parameters!$B$4</x:f>
        <x:v>21.7</x:v>
      </x:c>
      <x:c r="I129" t="n">
        <x:f>G129+H129</x:f>
        <x:v>228.7860451865876</x:v>
      </x:c>
      <x:c r="J129" t="n">
        <x:f>IF(A129=0,0,(A129-1)*12+B129)</x:f>
        <x:v>116</x:v>
      </x:c>
      <x:c r="K129" t="n">
        <x:f>(1+Parameters!$B$6)^(J129/12)</x:f>
        <x:v>1.394515614093074</x:v>
      </x:c>
      <x:c r="L129" t="n">
        <x:f>I129/K129</x:f>
        <x:v>164.06130047914814</x:v>
      </x:c>
    </x:row>
    <x:row r="130">
      <x:c r="A130" t="n">
        <x:v>10</x:v>
      </x:c>
      <x:c r="B130" t="n">
        <x:v>9</x:v>
      </x:c>
      <x:c r="C130" t="n">
        <x:v>30</x:v>
      </x:c>
      <x:c r="D130" t="n">
        <x:v>484.7338669519189</x:v>
      </x:c>
      <x:c r="E130" t="n">
        <x:f>IF(A130=0,1,(1+Parameters!$B$5)^(A130-1))</x:f>
        <x:v>1.195092568622311</x:v>
      </x:c>
      <x:c r="F130" t="n">
        <x:f>Parameters!$B$2*E130</x:f>
        <x:v>0.41828239901780884</x:v>
      </x:c>
      <x:c r="G130" t="n">
        <x:f>D130*F130</x:f>
        <x:v>202.755644753828</x:v>
      </x:c>
      <x:c r="H130" t="n">
        <x:f>C130*Parameters!$B$4</x:f>
        <x:v>21</x:v>
      </x:c>
      <x:c r="I130" t="n">
        <x:f>G130+H130</x:f>
        <x:v>223.755644753828</x:v>
      </x:c>
      <x:c r="J130" t="n">
        <x:f>IF(A130=0,0,(A130-1)*12+B130)</x:f>
        <x:v>117</x:v>
      </x:c>
      <x:c r="K130" t="n">
        <x:f>(1+Parameters!$B$6)^(J130/12)</x:f>
        <x:v>1.398519127183306</x:v>
      </x:c>
      <x:c r="L130" t="n">
        <x:f>I130/K130</x:f>
        <x:v>159.9946975373044</x:v>
      </x:c>
    </x:row>
    <x:row r="131">
      <x:c r="A131" t="n">
        <x:v>10</x:v>
      </x:c>
      <x:c r="B131" t="n">
        <x:v>10</x:v>
      </x:c>
      <x:c r="C131" t="n">
        <x:v>31</x:v>
      </x:c>
      <x:c r="D131" t="n">
        <x:v>965.136511636476</x:v>
      </x:c>
      <x:c r="E131" t="n">
        <x:f>IF(A131=0,1,(1+Parameters!$B$5)^(A131-1))</x:f>
        <x:v>1.195092568622311</x:v>
      </x:c>
      <x:c r="F131" t="n">
        <x:f>Parameters!$B$2*E131</x:f>
        <x:v>0.41828239901780884</x:v>
      </x:c>
      <x:c r="G131" t="n">
        <x:f>D131*F131</x:f>
        <x:v>403.6996154669846</x:v>
      </x:c>
      <x:c r="H131" t="n">
        <x:f>C131*Parameters!$B$4</x:f>
        <x:v>21.7</x:v>
      </x:c>
      <x:c r="I131" t="n">
        <x:f>G131+H131</x:f>
        <x:v>425.3996154669846</x:v>
      </x:c>
      <x:c r="J131" t="n">
        <x:f>IF(A131=0,0,(A131-1)*12+B131)</x:f>
        <x:v>118</x:v>
      </x:c>
      <x:c r="K131" t="n">
        <x:f>(1+Parameters!$B$6)^(J131/12)</x:f>
        <x:v>1.4025341339541408</x:v>
      </x:c>
      <x:c r="L131" t="n">
        <x:f>I131/K131</x:f>
        <x:v>303.30785195770073</x:v>
      </x:c>
    </x:row>
    <x:row r="132">
      <x:c r="A132" t="n">
        <x:v>10</x:v>
      </x:c>
      <x:c r="B132" t="n">
        <x:v>11</x:v>
      </x:c>
      <x:c r="C132" t="n">
        <x:v>30</x:v>
      </x:c>
      <x:c r="D132" t="n">
        <x:v>948.3641557590579</x:v>
      </x:c>
      <x:c r="E132" t="n">
        <x:f>IF(A132=0,1,(1+Parameters!$B$5)^(A132-1))</x:f>
        <x:v>1.195092568622311</x:v>
      </x:c>
      <x:c r="F132" t="n">
        <x:f>Parameters!$B$2*E132</x:f>
        <x:v>0.41828239901780884</x:v>
      </x:c>
      <x:c r="G132" t="n">
        <x:f>D132*F132</x:f>
        <x:v>396.68403421339764</x:v>
      </x:c>
      <x:c r="H132" t="n">
        <x:f>C132*Parameters!$B$4</x:f>
        <x:v>21</x:v>
      </x:c>
      <x:c r="I132" t="n">
        <x:f>G132+H132</x:f>
        <x:v>417.68403421339764</x:v>
      </x:c>
      <x:c r="J132" t="n">
        <x:f>IF(A132=0,0,(A132-1)*12+B132)</x:f>
        <x:v>119</x:v>
      </x:c>
      <x:c r="K132" t="n">
        <x:f>(1+Parameters!$B$6)^(J132/12)</x:f>
        <x:v>1.4065606674027709</x:v>
      </x:c>
      <x:c r="L132" t="n">
        <x:f>I132/K132</x:f>
        <x:v>296.95415483546515</x:v>
      </x:c>
    </x:row>
    <x:row r="133">
      <x:c r="A133" t="n">
        <x:v>10</x:v>
      </x:c>
      <x:c r="B133" t="n">
        <x:v>12</x:v>
      </x:c>
      <x:c r="C133" t="n">
        <x:v>31</x:v>
      </x:c>
      <x:c r="D133" t="n">
        <x:v>928.0366698691505</x:v>
      </x:c>
      <x:c r="E133" t="n">
        <x:f>IF(A133=0,1,(1+Parameters!$B$5)^(A133-1))</x:f>
        <x:v>1.195092568622311</x:v>
      </x:c>
      <x:c r="F133" t="n">
        <x:f>Parameters!$B$2*E133</x:f>
        <x:v>0.41828239901780884</x:v>
      </x:c>
      <x:c r="G133" t="n">
        <x:f>D133*F133</x:f>
        <x:v>388.1814046493665</x:v>
      </x:c>
      <x:c r="H133" t="n">
        <x:f>C133*Parameters!$B$4</x:f>
        <x:v>21.7</x:v>
      </x:c>
      <x:c r="I133" t="n">
        <x:f>G133+H133</x:f>
        <x:v>409.8814046493665</x:v>
      </x:c>
      <x:c r="J133" t="n">
        <x:f>IF(A133=0,0,(A133-1)*12+B133)</x:f>
        <x:v>120</x:v>
      </x:c>
      <x:c r="K133" t="n">
        <x:f>(1+Parameters!$B$6)^(J133/12)</x:f>
        <x:v>1.410598760621121</x:v>
      </x:c>
      <x:c r="L133" t="n">
        <x:f>I133/K133</x:f>
        <x:v>290.572639145724</x:v>
      </x:c>
    </x:row>
    <x:row r="134">
      <x:c r="A134" t="n">
        <x:v>11</x:v>
      </x:c>
      <x:c r="B134" t="n">
        <x:v>1</x:v>
      </x:c>
      <x:c r="C134" t="n">
        <x:v>31</x:v>
      </x:c>
      <x:c r="D134" t="n">
        <x:v>921.8588397150115</x:v>
      </x:c>
      <x:c r="E134" t="n">
        <x:f>IF(A134=0,1,(1+Parameters!$B$5)^(A134-1))</x:f>
        <x:v>1.2189944199947573</x:v>
      </x:c>
      <x:c r="F134" t="n">
        <x:f>Parameters!$B$2*E134</x:f>
        <x:v>0.42664804699816505</x:v>
      </x:c>
      <x:c r="G134" t="n">
        <x:f>D134*F134</x:f>
        <x:v>393.30927357240415</x:v>
      </x:c>
      <x:c r="H134" t="n">
        <x:f>C134*Parameters!$B$4</x:f>
        <x:v>21.7</x:v>
      </x:c>
      <x:c r="I134" t="n">
        <x:f>G134+H134</x:f>
        <x:v>415.00927357240414</x:v>
      </x:c>
      <x:c r="J134" t="n">
        <x:f>IF(A134=0,0,(A134-1)*12+B134)</x:f>
        <x:v>121</x:v>
      </x:c>
      <x:c r="K134" t="n">
        <x:f>(1+Parameters!$B$6)^(J134/12)</x:f>
        <x:v>1.4146484467961193</x:v>
      </x:c>
      <x:c r="L134" t="n">
        <x:f>I134/K134</x:f>
        <x:v>293.36565880541747</x:v>
      </x:c>
    </x:row>
    <x:row r="135">
      <x:c r="A135" t="n">
        <x:v>11</x:v>
      </x:c>
      <x:c r="B135" t="n">
        <x:v>2</x:v>
      </x:c>
      <x:c r="C135" t="n">
        <x:v>28</x:v>
      </x:c>
      <x:c r="D135" t="n">
        <x:v>923.6252753036425</x:v>
      </x:c>
      <x:c r="E135" t="n">
        <x:f>IF(A135=0,1,(1+Parameters!$B$5)^(A135-1))</x:f>
        <x:v>1.2189944199947573</x:v>
      </x:c>
      <x:c r="F135" t="n">
        <x:f>Parameters!$B$2*E135</x:f>
        <x:v>0.42664804699816505</x:v>
      </x:c>
      <x:c r="G135" t="n">
        <x:f>D135*F135</x:f>
        <x:v>394.06291986644163</x:v>
      </x:c>
      <x:c r="H135" t="n">
        <x:f>C135*Parameters!$B$4</x:f>
        <x:v>19.599999999999998</x:v>
      </x:c>
      <x:c r="I135" t="n">
        <x:f>G135+H135</x:f>
        <x:v>413.66291986644165</x:v>
      </x:c>
      <x:c r="J135" t="n">
        <x:f>IF(A135=0,0,(A135-1)*12+B135)</x:f>
        <x:v>122</x:v>
      </x:c>
      <x:c r="K135" t="n">
        <x:f>(1+Parameters!$B$6)^(J135/12)</x:f>
        <x:v>1.41870975920997</x:v>
      </x:c>
      <x:c r="L135" t="n">
        <x:f>I135/K135</x:f>
        <x:v>291.57684803465094</x:v>
      </x:c>
    </x:row>
    <x:row r="136">
      <x:c r="A136" t="n">
        <x:v>11</x:v>
      </x:c>
      <x:c r="B136" t="n">
        <x:v>3</x:v>
      </x:c>
      <x:c r="C136" t="n">
        <x:v>31</x:v>
      </x:c>
      <x:c r="D136" t="n">
        <x:v>907.7273550059616</x:v>
      </x:c>
      <x:c r="E136" t="n">
        <x:f>IF(A136=0,1,(1+Parameters!$B$5)^(A136-1))</x:f>
        <x:v>1.2189944199947573</x:v>
      </x:c>
      <x:c r="F136" t="n">
        <x:f>Parameters!$B$2*E136</x:f>
        <x:v>0.42664804699816505</x:v>
      </x:c>
      <x:c r="G136" t="n">
        <x:f>D136*F136</x:f>
        <x:v>387.28010322010357</x:v>
      </x:c>
      <x:c r="H136" t="n">
        <x:f>C136*Parameters!$B$4</x:f>
        <x:v>21.7</x:v>
      </x:c>
      <x:c r="I136" t="n">
        <x:f>G136+H136</x:f>
        <x:v>408.98010322010356</x:v>
      </x:c>
      <x:c r="J136" t="n">
        <x:f>IF(A136=0,0,(A136-1)*12+B136)</x:f>
        <x:v>123</x:v>
      </x:c>
      <x:c r="K136" t="n">
        <x:f>(1+Parameters!$B$6)^(J136/12)</x:f>
        <x:v>1.4227827312404275</x:v>
      </x:c>
      <x:c r="L136" t="n">
        <x:f>I136/K136</x:f>
        <x:v>287.45084842542445</x:v>
      </x:c>
    </x:row>
    <x:row r="137">
      <x:c r="A137" t="n">
        <x:v>11</x:v>
      </x:c>
      <x:c r="B137" t="n">
        <x:v>4</x:v>
      </x:c>
      <x:c r="C137" t="n">
        <x:v>30</x:v>
      </x:c>
      <x:c r="D137" t="n">
        <x:v>951.0096133576476</x:v>
      </x:c>
      <x:c r="E137" t="n">
        <x:f>IF(A137=0,1,(1+Parameters!$B$5)^(A137-1))</x:f>
        <x:v>1.2189944199947573</x:v>
      </x:c>
      <x:c r="F137" t="n">
        <x:f>Parameters!$B$2*E137</x:f>
        <x:v>0.42664804699816505</x:v>
      </x:c>
      <x:c r="G137" t="n">
        <x:f>D137*F137</x:f>
        <x:v>405.7463942155204</x:v>
      </x:c>
      <x:c r="H137" t="n">
        <x:f>C137*Parameters!$B$4</x:f>
        <x:v>21</x:v>
      </x:c>
      <x:c r="I137" t="n">
        <x:f>G137+H137</x:f>
        <x:v>426.7463942155204</x:v>
      </x:c>
      <x:c r="J137" t="n">
        <x:f>IF(A137=0,0,(A137-1)*12+B137)</x:f>
        <x:v>124</x:v>
      </x:c>
      <x:c r="K137" t="n">
        <x:f>(1+Parameters!$B$6)^(J137/12)</x:f>
        <x:v>1.42686739636107</x:v>
      </x:c>
      <x:c r="L137" t="n">
        <x:f>I137/K137</x:f>
        <x:v>299.0792243931347</x:v>
      </x:c>
    </x:row>
    <x:row r="138">
      <x:c r="A138" t="n">
        <x:v>11</x:v>
      </x:c>
      <x:c r="B138" t="n">
        <x:v>5</x:v>
      </x:c>
      <x:c r="C138" t="n">
        <x:v>31</x:v>
      </x:c>
      <x:c r="D138" t="n">
        <x:v>480.47</x:v>
      </x:c>
      <x:c r="E138" t="n">
        <x:f>IF(A138=0,1,(1+Parameters!$B$5)^(A138-1))</x:f>
        <x:v>1.2189944199947573</x:v>
      </x:c>
      <x:c r="F138" t="n">
        <x:f>Parameters!$B$2*E138</x:f>
        <x:v>0.42664804699816505</x:v>
      </x:c>
      <x:c r="G138" t="n">
        <x:f>D138*F138</x:f>
        <x:v>204.99158714120838</x:v>
      </x:c>
      <x:c r="H138" t="n">
        <x:f>C138*Parameters!$B$4</x:f>
        <x:v>21.7</x:v>
      </x:c>
      <x:c r="I138" t="n">
        <x:f>G138+H138</x:f>
        <x:v>226.69158714120837</x:v>
      </x:c>
      <x:c r="J138" t="n">
        <x:f>IF(A138=0,0,(A138-1)*12+B138)</x:f>
        <x:v>125</x:v>
      </x:c>
      <x:c r="K138" t="n">
        <x:f>(1+Parameters!$B$6)^(J138/12)</x:f>
        <x:v>1.430963788141575</x:v>
      </x:c>
      <x:c r="L138" t="n">
        <x:f>I138/K138</x:f>
        <x:v>158.41881466170284</x:v>
      </x:c>
    </x:row>
    <x:row r="139">
      <x:c r="A139" t="n">
        <x:v>11</x:v>
      </x:c>
      <x:c r="B139" t="n">
        <x:v>6</x:v>
      </x:c>
      <x:c r="C139" t="n">
        <x:v>30</x:v>
      </x:c>
      <x:c r="D139" t="n">
        <x:v>491.73604926348474</x:v>
      </x:c>
      <x:c r="E139" t="n">
        <x:f>IF(A139=0,1,(1+Parameters!$B$5)^(A139-1))</x:f>
        <x:v>1.2189944199947573</x:v>
      </x:c>
      <x:c r="F139" t="n">
        <x:f>Parameters!$B$2*E139</x:f>
        <x:v>0.42664804699816505</x:v>
      </x:c>
      <x:c r="G139" t="n">
        <x:f>D139*F139</x:f>
        <x:v>209.79822505685925</x:v>
      </x:c>
      <x:c r="H139" t="n">
        <x:f>C139*Parameters!$B$4</x:f>
        <x:v>21</x:v>
      </x:c>
      <x:c r="I139" t="n">
        <x:f>G139+H139</x:f>
        <x:v>230.79822505685925</x:v>
      </x:c>
      <x:c r="J139" t="n">
        <x:f>IF(A139=0,0,(A139-1)*12+B139)</x:f>
        <x:v>126</x:v>
      </x:c>
      <x:c r="K139" t="n">
        <x:f>(1+Parameters!$B$6)^(J139/12)</x:f>
        <x:v>1.435071940247996</x:v>
      </x:c>
      <x:c r="L139" t="n">
        <x:f>I139/K139</x:f>
        <x:v>160.82693737080166</x:v>
      </x:c>
    </x:row>
    <x:row r="140">
      <x:c r="A140" t="n">
        <x:v>11</x:v>
      </x:c>
      <x:c r="B140" t="n">
        <x:v>7</x:v>
      </x:c>
      <x:c r="C140" t="n">
        <x:v>31</x:v>
      </x:c>
      <x:c r="D140" t="n">
        <x:v>504.2151798375662</x:v>
      </x:c>
      <x:c r="E140" t="n">
        <x:f>IF(A140=0,1,(1+Parameters!$B$5)^(A140-1))</x:f>
        <x:v>1.2189944199947573</x:v>
      </x:c>
      <x:c r="F140" t="n">
        <x:f>Parameters!$B$2*E140</x:f>
        <x:v>0.42664804699816505</x:v>
      </x:c>
      <x:c r="G140" t="n">
        <x:f>D140*F140</x:f>
        <x:v>215.1224217445262</x:v>
      </x:c>
      <x:c r="H140" t="n">
        <x:f>C140*Parameters!$B$4</x:f>
        <x:v>21.7</x:v>
      </x:c>
      <x:c r="I140" t="n">
        <x:f>G140+H140</x:f>
        <x:v>236.8224217445262</x:v>
      </x:c>
      <x:c r="J140" t="n">
        <x:f>IF(A140=0,0,(A140-1)*12+B140)</x:f>
        <x:v>127</x:v>
      </x:c>
      <x:c r="K140" t="n">
        <x:f>(1+Parameters!$B$6)^(J140/12)</x:f>
        <x:v>1.4391918864430366</x:v>
      </x:c>
      <x:c r="L140" t="n">
        <x:f>I140/K140</x:f>
        <x:v>164.5523602344875</x:v>
      </x:c>
    </x:row>
    <x:row r="141">
      <x:c r="A141" t="n">
        <x:v>11</x:v>
      </x:c>
      <x:c r="B141" t="n">
        <x:v>8</x:v>
      </x:c>
      <x:c r="C141" t="n">
        <x:v>31</x:v>
      </x:c>
      <x:c r="D141" t="n">
        <x:v>495.0866822817727</x:v>
      </x:c>
      <x:c r="E141" t="n">
        <x:f>IF(A141=0,1,(1+Parameters!$B$5)^(A141-1))</x:f>
        <x:v>1.2189944199947573</x:v>
      </x:c>
      <x:c r="F141" t="n">
        <x:f>Parameters!$B$2*E141</x:f>
        <x:v>0.42664804699816505</x:v>
      </x:c>
      <x:c r="G141" t="n">
        <x:f>D141*F141</x:f>
        <x:v>211.22776609031936</x:v>
      </x:c>
      <x:c r="H141" t="n">
        <x:f>C141*Parameters!$B$4</x:f>
        <x:v>21.7</x:v>
      </x:c>
      <x:c r="I141" t="n">
        <x:f>G141+H141</x:f>
        <x:v>232.92776609031935</x:v>
      </x:c>
      <x:c r="J141" t="n">
        <x:f>IF(A141=0,0,(A141-1)*12+B141)</x:f>
        <x:v>128</x:v>
      </x:c>
      <x:c r="K141" t="n">
        <x:f>(1+Parameters!$B$6)^(J141/12)</x:f>
        <x:v>1.4433236605863313</x:v>
      </x:c>
      <x:c r="L141" t="n">
        <x:f>I141/K141</x:f>
        <x:v>161.38290561639894</x:v>
      </x:c>
    </x:row>
    <x:row r="142">
      <x:c r="A142" t="n">
        <x:v>11</x:v>
      </x:c>
      <x:c r="B142" t="n">
        <x:v>9</x:v>
      </x:c>
      <x:c r="C142" t="n">
        <x:v>30</x:v>
      </x:c>
      <x:c r="D142" t="n">
        <x:v>484.7338669519189</x:v>
      </x:c>
      <x:c r="E142" t="n">
        <x:f>IF(A142=0,1,(1+Parameters!$B$5)^(A142-1))</x:f>
        <x:v>1.2189944199947573</x:v>
      </x:c>
      <x:c r="F142" t="n">
        <x:f>Parameters!$B$2*E142</x:f>
        <x:v>0.42664804699816505</x:v>
      </x:c>
      <x:c r="G142" t="n">
        <x:f>D142*F142</x:f>
        <x:v>206.8107576489046</x:v>
      </x:c>
      <x:c r="H142" t="n">
        <x:f>C142*Parameters!$B$4</x:f>
        <x:v>21</x:v>
      </x:c>
      <x:c r="I142" t="n">
        <x:f>G142+H142</x:f>
        <x:v>227.8107576489046</x:v>
      </x:c>
      <x:c r="J142" t="n">
        <x:f>IF(A142=0,0,(A142-1)*12+B142)</x:f>
        <x:v>129</x:v>
      </x:c>
      <x:c r="K142" t="n">
        <x:f>(1+Parameters!$B$6)^(J142/12)</x:f>
        <x:v>1.4474672966347217</x:v>
      </x:c>
      <x:c r="L142" t="n">
        <x:f>I142/K142</x:f>
        <x:v>157.3857718088357</x:v>
      </x:c>
    </x:row>
    <x:row r="143">
      <x:c r="A143" t="n">
        <x:v>11</x:v>
      </x:c>
      <x:c r="B143" t="n">
        <x:v>10</x:v>
      </x:c>
      <x:c r="C143" t="n">
        <x:v>31</x:v>
      </x:c>
      <x:c r="D143" t="n">
        <x:v>965.136511636476</x:v>
      </x:c>
      <x:c r="E143" t="n">
        <x:f>IF(A143=0,1,(1+Parameters!$B$5)^(A143-1))</x:f>
        <x:v>1.2189944199947573</x:v>
      </x:c>
      <x:c r="F143" t="n">
        <x:f>Parameters!$B$2*E143</x:f>
        <x:v>0.42664804699816505</x:v>
      </x:c>
      <x:c r="G143" t="n">
        <x:f>D143*F143</x:f>
        <x:v>411.7736077763243</x:v>
      </x:c>
      <x:c r="H143" t="n">
        <x:f>C143*Parameters!$B$4</x:f>
        <x:v>21.7</x:v>
      </x:c>
      <x:c r="I143" t="n">
        <x:f>G143+H143</x:f>
        <x:v>433.4736077763243</x:v>
      </x:c>
      <x:c r="J143" t="n">
        <x:f>IF(A143=0,0,(A143-1)*12+B143)</x:f>
        <x:v>130</x:v>
      </x:c>
      <x:c r="K143" t="n">
        <x:f>(1+Parameters!$B$6)^(J143/12)</x:f>
        <x:v>1.4516228286425357</x:v>
      </x:c>
      <x:c r="L143" t="n">
        <x:f>I143/K143</x:f>
        <x:v>298.6131102537709</x:v>
      </x:c>
    </x:row>
    <x:row r="144">
      <x:c r="A144" t="n">
        <x:v>11</x:v>
      </x:c>
      <x:c r="B144" t="n">
        <x:v>11</x:v>
      </x:c>
      <x:c r="C144" t="n">
        <x:v>30</x:v>
      </x:c>
      <x:c r="D144" t="n">
        <x:v>948.3641557590579</x:v>
      </x:c>
      <x:c r="E144" t="n">
        <x:f>IF(A144=0,1,(1+Parameters!$B$5)^(A144-1))</x:f>
        <x:v>1.2189944199947573</x:v>
      </x:c>
      <x:c r="F144" t="n">
        <x:f>Parameters!$B$2*E144</x:f>
        <x:v>0.42664804699816505</x:v>
      </x:c>
      <x:c r="G144" t="n">
        <x:f>D144*F144</x:f>
        <x:v>404.6177148976657</x:v>
      </x:c>
      <x:c r="H144" t="n">
        <x:f>C144*Parameters!$B$4</x:f>
        <x:v>21</x:v>
      </x:c>
      <x:c r="I144" t="n">
        <x:f>G144+H144</x:f>
        <x:v>425.6177148976657</x:v>
      </x:c>
      <x:c r="J144" t="n">
        <x:f>IF(A144=0,0,(A144-1)*12+B144)</x:f>
        <x:v>131</x:v>
      </x:c>
      <x:c r="K144" t="n">
        <x:f>(1+Parameters!$B$6)^(J144/12)</x:f>
        <x:v>1.4557902907618678</x:v>
      </x:c>
      <x:c r="L144" t="n">
        <x:f>I144/K144</x:f>
        <x:v>292.3619683401821</x:v>
      </x:c>
    </x:row>
    <x:row r="145">
      <x:c r="A145" t="n">
        <x:v>11</x:v>
      </x:c>
      <x:c r="B145" t="n">
        <x:v>12</x:v>
      </x:c>
      <x:c r="C145" t="n">
        <x:v>31</x:v>
      </x:c>
      <x:c r="D145" t="n">
        <x:v>928.0366698691505</x:v>
      </x:c>
      <x:c r="E145" t="n">
        <x:f>IF(A145=0,1,(1+Parameters!$B$5)^(A145-1))</x:f>
        <x:v>1.2189944199947573</x:v>
      </x:c>
      <x:c r="F145" t="n">
        <x:f>Parameters!$B$2*E145</x:f>
        <x:v>0.42664804699816505</x:v>
      </x:c>
      <x:c r="G145" t="n">
        <x:f>D145*F145</x:f>
        <x:v>395.94503274235393</x:v>
      </x:c>
      <x:c r="H145" t="n">
        <x:f>C145*Parameters!$B$4</x:f>
        <x:v>21.7</x:v>
      </x:c>
      <x:c r="I145" t="n">
        <x:f>G145+H145</x:f>
        <x:v>417.6450327423539</x:v>
      </x:c>
      <x:c r="J145" t="n">
        <x:f>IF(A145=0,0,(A145-1)*12+B145)</x:f>
        <x:v>132</x:v>
      </x:c>
      <x:c r="K145" t="n">
        <x:f>(1+Parameters!$B$6)^(J145/12)</x:f>
        <x:v>1.4599697172428603</x:v>
      </x:c>
      <x:c r="L145" t="n">
        <x:f>I145/K145</x:f>
        <x:v>286.06417503718694</x:v>
      </x:c>
    </x:row>
    <x:row r="146">
      <x:c r="A146" t="n">
        <x:v>12</x:v>
      </x:c>
      <x:c r="B146" t="n">
        <x:v>1</x:v>
      </x:c>
      <x:c r="C146" t="n">
        <x:v>31</x:v>
      </x:c>
      <x:c r="D146" t="n">
        <x:v>921.8588397150115</x:v>
      </x:c>
      <x:c r="E146" t="n">
        <x:f>IF(A146=0,1,(1+Parameters!$B$5)^(A146-1))</x:f>
        <x:v>1.2433743083946525</x:v>
      </x:c>
      <x:c r="F146" t="n">
        <x:f>Parameters!$B$2*E146</x:f>
        <x:v>0.43518100793812836</x:v>
      </x:c>
      <x:c r="G146" t="n">
        <x:f>D146*F146</x:f>
        <x:v>401.17545904385224</x:v>
      </x:c>
      <x:c r="H146" t="n">
        <x:f>C146*Parameters!$B$4</x:f>
        <x:v>21.7</x:v>
      </x:c>
      <x:c r="I146" t="n">
        <x:f>G146+H146</x:f>
        <x:v>422.87545904385223</x:v>
      </x:c>
      <x:c r="J146" t="n">
        <x:f>IF(A146=0,0,(A146-1)*12+B146)</x:f>
        <x:v>133</x:v>
      </x:c>
      <x:c r="K146" t="n">
        <x:f>(1+Parameters!$B$6)^(J146/12)</x:f>
        <x:v>1.4641611424339835</x:v>
      </x:c>
      <x:c r="L146" t="n">
        <x:f>I146/K146</x:f>
        <x:v>288.817567129855</x:v>
      </x:c>
    </x:row>
    <x:row r="147">
      <x:c r="A147" t="n">
        <x:v>12</x:v>
      </x:c>
      <x:c r="B147" t="n">
        <x:v>2</x:v>
      </x:c>
      <x:c r="C147" t="n">
        <x:v>28</x:v>
      </x:c>
      <x:c r="D147" t="n">
        <x:v>923.6252753036425</x:v>
      </x:c>
      <x:c r="E147" t="n">
        <x:f>IF(A147=0,1,(1+Parameters!$B$5)^(A147-1))</x:f>
        <x:v>1.2433743083946525</x:v>
      </x:c>
      <x:c r="F147" t="n">
        <x:f>Parameters!$B$2*E147</x:f>
        <x:v>0.43518100793812836</x:v>
      </x:c>
      <x:c r="G147" t="n">
        <x:f>D147*F147</x:f>
        <x:v>401.9441782637704</x:v>
      </x:c>
      <x:c r="H147" t="n">
        <x:f>C147*Parameters!$B$4</x:f>
        <x:v>19.599999999999998</x:v>
      </x:c>
      <x:c r="I147" t="n">
        <x:f>G147+H147</x:f>
        <x:v>421.54417826377045</x:v>
      </x:c>
      <x:c r="J147" t="n">
        <x:f>IF(A147=0,0,(A147-1)*12+B147)</x:f>
        <x:v>134</x:v>
      </x:c>
      <x:c r="K147" t="n">
        <x:f>(1+Parameters!$B$6)^(J147/12)</x:f>
        <x:v>1.4683646007823188</x:v>
      </x:c>
      <x:c r="L147" t="n">
        <x:f>I147/K147</x:f>
        <x:v>287.0841329457133</x:v>
      </x:c>
    </x:row>
    <x:row r="148">
      <x:c r="A148" t="n">
        <x:v>12</x:v>
      </x:c>
      <x:c r="B148" t="n">
        <x:v>3</x:v>
      </x:c>
      <x:c r="C148" t="n">
        <x:v>31</x:v>
      </x:c>
      <x:c r="D148" t="n">
        <x:v>907.7273550059616</x:v>
      </x:c>
      <x:c r="E148" t="n">
        <x:f>IF(A148=0,1,(1+Parameters!$B$5)^(A148-1))</x:f>
        <x:v>1.2433743083946525</x:v>
      </x:c>
      <x:c r="F148" t="n">
        <x:f>Parameters!$B$2*E148</x:f>
        <x:v>0.43518100793812836</x:v>
      </x:c>
      <x:c r="G148" t="n">
        <x:f>D148*F148</x:f>
        <x:v>395.02570528450565</x:v>
      </x:c>
      <x:c r="H148" t="n">
        <x:f>C148*Parameters!$B$4</x:f>
        <x:v>21.7</x:v>
      </x:c>
      <x:c r="I148" t="n">
        <x:f>G148+H148</x:f>
        <x:v>416.72570528450564</x:v>
      </x:c>
      <x:c r="J148" t="n">
        <x:f>IF(A148=0,0,(A148-1)*12+B148)</x:f>
        <x:v>135</x:v>
      </x:c>
      <x:c r="K148" t="n">
        <x:f>(1+Parameters!$B$6)^(J148/12)</x:f>
        <x:v>1.4725801268338423</x:v>
      </x:c>
      <x:c r="L148" t="n">
        <x:f>I148/K148</x:f>
        <x:v>282.99017329569506</x:v>
      </x:c>
    </x:row>
    <x:row r="149">
      <x:c r="A149" t="n">
        <x:v>12</x:v>
      </x:c>
      <x:c r="B149" t="n">
        <x:v>4</x:v>
      </x:c>
      <x:c r="C149" t="n">
        <x:v>30</x:v>
      </x:c>
      <x:c r="D149" t="n">
        <x:v>951.0096133576476</x:v>
      </x:c>
      <x:c r="E149" t="n">
        <x:f>IF(A149=0,1,(1+Parameters!$B$5)^(A149-1))</x:f>
        <x:v>1.2433743083946525</x:v>
      </x:c>
      <x:c r="F149" t="n">
        <x:f>Parameters!$B$2*E149</x:f>
        <x:v>0.43518100793812836</x:v>
      </x:c>
      <x:c r="G149" t="n">
        <x:f>D149*F149</x:f>
        <x:v>413.86132209983083</x:v>
      </x:c>
      <x:c r="H149" t="n">
        <x:f>C149*Parameters!$B$4</x:f>
        <x:v>21</x:v>
      </x:c>
      <x:c r="I149" t="n">
        <x:f>G149+H149</x:f>
        <x:v>434.86132209983083</x:v>
      </x:c>
      <x:c r="J149" t="n">
        <x:f>IF(A149=0,0,(A149-1)*12+B149)</x:f>
        <x:v>136</x:v>
      </x:c>
      <x:c r="K149" t="n">
        <x:f>(1+Parameters!$B$6)^(J149/12)</x:f>
        <x:v>1.4768077552337073</x:v>
      </x:c>
      <x:c r="L149" t="n">
        <x:f>I149/K149</x:f>
        <x:v>294.46034567377615</x:v>
      </x:c>
    </x:row>
    <x:row r="150">
      <x:c r="A150" t="n">
        <x:v>12</x:v>
      </x:c>
      <x:c r="B150" t="n">
        <x:v>5</x:v>
      </x:c>
      <x:c r="C150" t="n">
        <x:v>31</x:v>
      </x:c>
      <x:c r="D150" t="n">
        <x:v>480.47</x:v>
      </x:c>
      <x:c r="E150" t="n">
        <x:f>IF(A150=0,1,(1+Parameters!$B$5)^(A150-1))</x:f>
        <x:v>1.2433743083946525</x:v>
      </x:c>
      <x:c r="F150" t="n">
        <x:f>Parameters!$B$2*E150</x:f>
        <x:v>0.43518100793812836</x:v>
      </x:c>
      <x:c r="G150" t="n">
        <x:f>D150*F150</x:f>
        <x:v>209.09141888403255</x:v>
      </x:c>
      <x:c r="H150" t="n">
        <x:f>C150*Parameters!$B$4</x:f>
        <x:v>21.7</x:v>
      </x:c>
      <x:c r="I150" t="n">
        <x:f>G150+H150</x:f>
        <x:v>230.79141888403254</x:v>
      </x:c>
      <x:c r="J150" t="n">
        <x:f>IF(A150=0,0,(A150-1)*12+B150)</x:f>
        <x:v>137</x:v>
      </x:c>
      <x:c r="K150" t="n">
        <x:f>(1+Parameters!$B$6)^(J150/12)</x:f>
        <x:v>1.4810475207265301</x:v>
      </x:c>
      <x:c r="L150" t="n">
        <x:f>I150/K150</x:f>
        <x:v>155.8298539744474</x:v>
      </x:c>
    </x:row>
    <x:row r="151">
      <x:c r="A151" t="n">
        <x:v>12</x:v>
      </x:c>
      <x:c r="B151" t="n">
        <x:v>6</x:v>
      </x:c>
      <x:c r="C151" t="n">
        <x:v>30</x:v>
      </x:c>
      <x:c r="D151" t="n">
        <x:v>491.73604926348474</x:v>
      </x:c>
      <x:c r="E151" t="n">
        <x:f>IF(A151=0,1,(1+Parameters!$B$5)^(A151-1))</x:f>
        <x:v>1.2433743083946525</x:v>
      </x:c>
      <x:c r="F151" t="n">
        <x:f>Parameters!$B$2*E151</x:f>
        <x:v>0.43518100793812836</x:v>
      </x:c>
      <x:c r="G151" t="n">
        <x:f>D151*F151</x:f>
        <x:v>213.99418955799644</x:v>
      </x:c>
      <x:c r="H151" t="n">
        <x:f>C151*Parameters!$B$4</x:f>
        <x:v>21</x:v>
      </x:c>
      <x:c r="I151" t="n">
        <x:f>G151+H151</x:f>
        <x:v>234.99418955799644</x:v>
      </x:c>
      <x:c r="J151" t="n">
        <x:f>IF(A151=0,0,(A151-1)*12+B151)</x:f>
        <x:v>138</x:v>
      </x:c>
      <x:c r="K151" t="n">
        <x:f>(1+Parameters!$B$6)^(J151/12)</x:f>
        <x:v>1.4852994581566756</x:v>
      </x:c>
      <x:c r="L151" t="n">
        <x:f>I151/K151</x:f>
        <x:v>158.21334093101666</x:v>
      </x:c>
    </x:row>
    <x:row r="152">
      <x:c r="A152" t="n">
        <x:v>12</x:v>
      </x:c>
      <x:c r="B152" t="n">
        <x:v>7</x:v>
      </x:c>
      <x:c r="C152" t="n">
        <x:v>31</x:v>
      </x:c>
      <x:c r="D152" t="n">
        <x:v>504.2151798375662</x:v>
      </x:c>
      <x:c r="E152" t="n">
        <x:f>IF(A152=0,1,(1+Parameters!$B$5)^(A152-1))</x:f>
        <x:v>1.2433743083946525</x:v>
      </x:c>
      <x:c r="F152" t="n">
        <x:f>Parameters!$B$2*E152</x:f>
        <x:v>0.43518100793812836</x:v>
      </x:c>
      <x:c r="G152" t="n">
        <x:f>D152*F152</x:f>
        <x:v>219.42487017941673</x:v>
      </x:c>
      <x:c r="H152" t="n">
        <x:f>C152*Parameters!$B$4</x:f>
        <x:v>21.7</x:v>
      </x:c>
      <x:c r="I152" t="n">
        <x:f>G152+H152</x:f>
        <x:v>241.12487017941672</x:v>
      </x:c>
      <x:c r="J152" t="n">
        <x:f>IF(A152=0,0,(A152-1)*12+B152)</x:f>
        <x:v>139</x:v>
      </x:c>
      <x:c r="K152" t="n">
        <x:f>(1+Parameters!$B$6)^(J152/12)</x:f>
        <x:v>1.4895636024685428</x:v>
      </x:c>
      <x:c r="L152" t="n">
        <x:f>I152/K152</x:f>
        <x:v>161.8761829168076</x:v>
      </x:c>
    </x:row>
    <x:row r="153">
      <x:c r="A153" t="n">
        <x:v>12</x:v>
      </x:c>
      <x:c r="B153" t="n">
        <x:v>8</x:v>
      </x:c>
      <x:c r="C153" t="n">
        <x:v>31</x:v>
      </x:c>
      <x:c r="D153" t="n">
        <x:v>495.0866822817727</x:v>
      </x:c>
      <x:c r="E153" t="n">
        <x:f>IF(A153=0,1,(1+Parameters!$B$5)^(A153-1))</x:f>
        <x:v>1.2433743083946525</x:v>
      </x:c>
      <x:c r="F153" t="n">
        <x:f>Parameters!$B$2*E153</x:f>
        <x:v>0.43518100793812836</x:v>
      </x:c>
      <x:c r="G153" t="n">
        <x:f>D153*F153</x:f>
        <x:v>215.45232141212577</x:v>
      </x:c>
      <x:c r="H153" t="n">
        <x:f>C153*Parameters!$B$4</x:f>
        <x:v>21.7</x:v>
      </x:c>
      <x:c r="I153" t="n">
        <x:f>G153+H153</x:f>
        <x:v>237.15232141212576</x:v>
      </x:c>
      <x:c r="J153" t="n">
        <x:f>IF(A153=0,0,(A153-1)*12+B153)</x:f>
        <x:v>140</x:v>
      </x:c>
      <x:c r="K153" t="n">
        <x:f>(1+Parameters!$B$6)^(J153/12)</x:f>
        <x:v>1.4938399887068528</x:v>
      </x:c>
      <x:c r="L153" t="n">
        <x:f>I153/K153</x:f>
        <x:v>158.75349649557674</x:v>
      </x:c>
    </x:row>
    <x:row r="154">
      <x:c r="A154" t="n">
        <x:v>12</x:v>
      </x:c>
      <x:c r="B154" t="n">
        <x:v>9</x:v>
      </x:c>
      <x:c r="C154" t="n">
        <x:v>30</x:v>
      </x:c>
      <x:c r="D154" t="n">
        <x:v>484.7338669519189</x:v>
      </x:c>
      <x:c r="E154" t="n">
        <x:f>IF(A154=0,1,(1+Parameters!$B$5)^(A154-1))</x:f>
        <x:v>1.2433743083946525</x:v>
      </x:c>
      <x:c r="F154" t="n">
        <x:f>Parameters!$B$2*E154</x:f>
        <x:v>0.43518100793812836</x:v>
      </x:c>
      <x:c r="G154" t="n">
        <x:f>D154*F154</x:f>
        <x:v>210.94697280188268</x:v>
      </x:c>
      <x:c r="H154" t="n">
        <x:f>C154*Parameters!$B$4</x:f>
        <x:v>21</x:v>
      </x:c>
      <x:c r="I154" t="n">
        <x:f>G154+H154</x:f>
        <x:v>231.94697280188268</x:v>
      </x:c>
      <x:c r="J154" t="n">
        <x:f>IF(A154=0,0,(A154-1)*12+B154)</x:f>
        <x:v>141</x:v>
      </x:c>
      <x:c r="K154" t="n">
        <x:f>(1+Parameters!$B$6)^(J154/12)</x:f>
        <x:v>1.4981286520169368</x:v>
      </x:c>
      <x:c r="L154" t="n">
        <x:f>I154/K154</x:f>
        <x:v>154.82446883958298</x:v>
      </x:c>
    </x:row>
    <x:row r="155">
      <x:c r="A155" t="n">
        <x:v>12</x:v>
      </x:c>
      <x:c r="B155" t="n">
        <x:v>10</x:v>
      </x:c>
      <x:c r="C155" t="n">
        <x:v>31</x:v>
      </x:c>
      <x:c r="D155" t="n">
        <x:v>965.136511636476</x:v>
      </x:c>
      <x:c r="E155" t="n">
        <x:f>IF(A155=0,1,(1+Parameters!$B$5)^(A155-1))</x:f>
        <x:v>1.2433743083946525</x:v>
      </x:c>
      <x:c r="F155" t="n">
        <x:f>Parameters!$B$2*E155</x:f>
        <x:v>0.43518100793812836</x:v>
      </x:c>
      <x:c r="G155" t="n">
        <x:f>D155*F155</x:f>
        <x:v>420.0090799318508</x:v>
      </x:c>
      <x:c r="H155" t="n">
        <x:f>C155*Parameters!$B$4</x:f>
        <x:v>21.7</x:v>
      </x:c>
      <x:c r="I155" t="n">
        <x:f>G155+H155</x:f>
        <x:v>441.7090799318508</x:v>
      </x:c>
      <x:c r="J155" t="n">
        <x:f>IF(A155=0,0,(A155-1)*12+B155)</x:f>
        <x:v>142</x:v>
      </x:c>
      <x:c r="K155" t="n">
        <x:f>(1+Parameters!$B$6)^(J155/12)</x:f>
        <x:v>1.5024296276450242</x:v>
      </x:c>
      <x:c r="L155" t="n">
        <x:f>I155/K155</x:f>
        <x:v>293.9965185751864</x:v>
      </x:c>
    </x:row>
    <x:row r="156">
      <x:c r="A156" t="n">
        <x:v>12</x:v>
      </x:c>
      <x:c r="B156" t="n">
        <x:v>11</x:v>
      </x:c>
      <x:c r="C156" t="n">
        <x:v>30</x:v>
      </x:c>
      <x:c r="D156" t="n">
        <x:v>948.3641557590579</x:v>
      </x:c>
      <x:c r="E156" t="n">
        <x:f>IF(A156=0,1,(1+Parameters!$B$5)^(A156-1))</x:f>
        <x:v>1.2433743083946525</x:v>
      </x:c>
      <x:c r="F156" t="n">
        <x:f>Parameters!$B$2*E156</x:f>
        <x:v>0.43518100793812836</x:v>
      </x:c>
      <x:c r="G156" t="n">
        <x:f>D156*F156</x:f>
        <x:v>412.710069195619</x:v>
      </x:c>
      <x:c r="H156" t="n">
        <x:f>C156*Parameters!$B$4</x:f>
        <x:v>21</x:v>
      </x:c>
      <x:c r="I156" t="n">
        <x:f>G156+H156</x:f>
        <x:v>433.710069195619</x:v>
      </x:c>
      <x:c r="J156" t="n">
        <x:f>IF(A156=0,0,(A156-1)*12+B156)</x:f>
        <x:v>143</x:v>
      </x:c>
      <x:c r="K156" t="n">
        <x:f>(1+Parameters!$B$6)^(J156/12)</x:f>
        <x:v>1.506742950938533</x:v>
      </x:c>
      <x:c r="L156" t="n">
        <x:f>I156/K156</x:f>
        <x:v>287.8460914155702</x:v>
      </x:c>
    </x:row>
    <x:row r="157">
      <x:c r="A157" t="n">
        <x:v>12</x:v>
      </x:c>
      <x:c r="B157" t="n">
        <x:v>12</x:v>
      </x:c>
      <x:c r="C157" t="n">
        <x:v>31</x:v>
      </x:c>
      <x:c r="D157" t="n">
        <x:v>928.0366698691505</x:v>
      </x:c>
      <x:c r="E157" t="n">
        <x:f>IF(A157=0,1,(1+Parameters!$B$5)^(A157-1))</x:f>
        <x:v>1.2433743083946525</x:v>
      </x:c>
      <x:c r="F157" t="n">
        <x:f>Parameters!$B$2*E157</x:f>
        <x:v>0.43518100793812836</x:v>
      </x:c>
      <x:c r="G157" t="n">
        <x:f>D157*F157</x:f>
        <x:v>403.863933397201</x:v>
      </x:c>
      <x:c r="H157" t="n">
        <x:f>C157*Parameters!$B$4</x:f>
        <x:v>21.7</x:v>
      </x:c>
      <x:c r="I157" t="n">
        <x:f>G157+H157</x:f>
        <x:v>425.56393339720097</x:v>
      </x:c>
      <x:c r="J157" t="n">
        <x:f>IF(A157=0,0,(A157-1)*12+B157)</x:f>
        <x:v>144</x:v>
      </x:c>
      <x:c r="K157" t="n">
        <x:f>(1+Parameters!$B$6)^(J157/12)</x:f>
        <x:v>1.5110686573463603</x:v>
      </x:c>
      <x:c r="L157" t="n">
        <x:f>I157/K157</x:f>
        <x:v>281.63110347649484</x:v>
      </x:c>
    </x:row>
    <x:row r="158">
      <x:c r="A158" t="n">
        <x:v>13</x:v>
      </x:c>
      <x:c r="B158" t="n">
        <x:v>1</x:v>
      </x:c>
      <x:c r="C158" t="n">
        <x:v>31</x:v>
      </x:c>
      <x:c r="D158" t="n">
        <x:v>921.8588397150115</x:v>
      </x:c>
      <x:c r="E158" t="n">
        <x:f>IF(A158=0,1,(1+Parameters!$B$5)^(A158-1))</x:f>
        <x:v>1.2682417945625455</x:v>
      </x:c>
      <x:c r="F158" t="n">
        <x:f>Parameters!$B$2*E158</x:f>
        <x:v>0.4438846280968909</x:v>
      </x:c>
      <x:c r="G158" t="n">
        <x:f>D158*F158</x:f>
        <x:v>409.19896822472924</x:v>
      </x:c>
      <x:c r="H158" t="n">
        <x:f>C158*Parameters!$B$4</x:f>
        <x:v>21.7</x:v>
      </x:c>
      <x:c r="I158" t="n">
        <x:f>G158+H158</x:f>
        <x:v>430.89896822472923</x:v>
      </x:c>
      <x:c r="J158" t="n">
        <x:f>IF(A158=0,0,(A158-1)*12+B158)</x:f>
        <x:v>145</x:v>
      </x:c>
      <x:c r="K158" t="n">
        <x:f>(1+Parameters!$B$6)^(J158/12)</x:f>
        <x:v>1.5154067824191728</x:v>
      </x:c>
      <x:c r="L158" t="n">
        <x:f>I158/K158</x:f>
        <x:v>284.34541353764337</x:v>
      </x:c>
    </x:row>
    <x:row r="159">
      <x:c r="A159" t="n">
        <x:v>13</x:v>
      </x:c>
      <x:c r="B159" t="n">
        <x:v>2</x:v>
      </x:c>
      <x:c r="C159" t="n">
        <x:v>28</x:v>
      </x:c>
      <x:c r="D159" t="n">
        <x:v>923.6252753036425</x:v>
      </x:c>
      <x:c r="E159" t="n">
        <x:f>IF(A159=0,1,(1+Parameters!$B$5)^(A159-1))</x:f>
        <x:v>1.2682417945625455</x:v>
      </x:c>
      <x:c r="F159" t="n">
        <x:f>Parameters!$B$2*E159</x:f>
        <x:v>0.4438846280968909</x:v>
      </x:c>
      <x:c r="G159" t="n">
        <x:f>D159*F159</x:f>
        <x:v>409.9830618290458</x:v>
      </x:c>
      <x:c r="H159" t="n">
        <x:f>C159*Parameters!$B$4</x:f>
        <x:v>19.599999999999998</x:v>
      </x:c>
      <x:c r="I159" t="n">
        <x:f>G159+H159</x:f>
        <x:v>429.58306182904585</x:v>
      </x:c>
      <x:c r="J159" t="n">
        <x:f>IF(A159=0,0,(A159-1)*12+B159)</x:f>
        <x:v>146</x:v>
      </x:c>
      <x:c r="K159" t="n">
        <x:f>(1+Parameters!$B$6)^(J159/12)</x:f>
        <x:v>1.5197573618097</x:v>
      </x:c>
      <x:c r="L159" t="n">
        <x:f>I159/K159</x:f>
        <x:v>282.6655574265526</x:v>
      </x:c>
    </x:row>
    <x:row r="160">
      <x:c r="A160" t="n">
        <x:v>13</x:v>
      </x:c>
      <x:c r="B160" t="n">
        <x:v>3</x:v>
      </x:c>
      <x:c r="C160" t="n">
        <x:v>31</x:v>
      </x:c>
      <x:c r="D160" t="n">
        <x:v>907.7273550059616</x:v>
      </x:c>
      <x:c r="E160" t="n">
        <x:f>IF(A160=0,1,(1+Parameters!$B$5)^(A160-1))</x:f>
        <x:v>1.2682417945625455</x:v>
      </x:c>
      <x:c r="F160" t="n">
        <x:f>Parameters!$B$2*E160</x:f>
        <x:v>0.4438846280968909</x:v>
      </x:c>
      <x:c r="G160" t="n">
        <x:f>D160*F160</x:f>
        <x:v>402.92621939019574</x:v>
      </x:c>
      <x:c r="H160" t="n">
        <x:f>C160*Parameters!$B$4</x:f>
        <x:v>21.7</x:v>
      </x:c>
      <x:c r="I160" t="n">
        <x:f>G160+H160</x:f>
        <x:v>424.62621939019573</x:v>
      </x:c>
      <x:c r="J160" t="n">
        <x:f>IF(A160=0,0,(A160-1)*12+B160)</x:f>
        <x:v>147</x:v>
      </x:c>
      <x:c r="K160" t="n">
        <x:f>(1+Parameters!$B$6)^(J160/12)</x:f>
        <x:v>1.5241204312730268</x:v>
      </x:c>
      <x:c r="L160" t="n">
        <x:f>I160/K160</x:f>
        <x:v>278.6041120356383</x:v>
      </x:c>
    </x:row>
    <x:row r="161">
      <x:c r="A161" t="n">
        <x:v>13</x:v>
      </x:c>
      <x:c r="B161" t="n">
        <x:v>4</x:v>
      </x:c>
      <x:c r="C161" t="n">
        <x:v>30</x:v>
      </x:c>
      <x:c r="D161" t="n">
        <x:v>951.0096133576476</x:v>
      </x:c>
      <x:c r="E161" t="n">
        <x:f>IF(A161=0,1,(1+Parameters!$B$5)^(A161-1))</x:f>
        <x:v>1.2682417945625455</x:v>
      </x:c>
      <x:c r="F161" t="n">
        <x:f>Parameters!$B$2*E161</x:f>
        <x:v>0.4438846280968909</x:v>
      </x:c>
      <x:c r="G161" t="n">
        <x:f>D161*F161</x:f>
        <x:v>422.1385485418274</x:v>
      </x:c>
      <x:c r="H161" t="n">
        <x:f>C161*Parameters!$B$4</x:f>
        <x:v>21</x:v>
      </x:c>
      <x:c r="I161" t="n">
        <x:f>G161+H161</x:f>
        <x:v>443.1385485418274</x:v>
      </x:c>
      <x:c r="J161" t="n">
        <x:f>IF(A161=0,0,(A161-1)*12+B161)</x:f>
        <x:v>148</x:v>
      </x:c>
      <x:c r="K161" t="n">
        <x:f>(1+Parameters!$B$6)^(J161/12)</x:f>
        <x:v>1.528496026666887</x:v>
      </x:c>
      <x:c r="L161" t="n">
        <x:f>I161/K161</x:f>
        <x:v>289.9180245225478</x:v>
      </x:c>
    </x:row>
    <x:row r="162">
      <x:c r="A162" t="n">
        <x:v>13</x:v>
      </x:c>
      <x:c r="B162" t="n">
        <x:v>5</x:v>
      </x:c>
      <x:c r="C162" t="n">
        <x:v>31</x:v>
      </x:c>
      <x:c r="D162" t="n">
        <x:v>480.47</x:v>
      </x:c>
      <x:c r="E162" t="n">
        <x:f>IF(A162=0,1,(1+Parameters!$B$5)^(A162-1))</x:f>
        <x:v>1.2682417945625455</x:v>
      </x:c>
      <x:c r="F162" t="n">
        <x:f>Parameters!$B$2*E162</x:f>
        <x:v>0.4438846280968909</x:v>
      </x:c>
      <x:c r="G162" t="n">
        <x:f>D162*F162</x:f>
        <x:v>213.27324726171318</x:v>
      </x:c>
      <x:c r="H162" t="n">
        <x:f>C162*Parameters!$B$4</x:f>
        <x:v>21.7</x:v>
      </x:c>
      <x:c r="I162" t="n">
        <x:f>G162+H162</x:f>
        <x:v>234.97324726171317</x:v>
      </x:c>
      <x:c r="J162" t="n">
        <x:f>IF(A162=0,0,(A162-1)*12+B162)</x:f>
        <x:v>149</x:v>
      </x:c>
      <x:c r="K162" t="n">
        <x:f>(1+Parameters!$B$6)^(J162/12)</x:f>
        <x:v>1.5328841839519585</x:v>
      </x:c>
      <x:c r="L162" t="n">
        <x:f>I162/K162</x:f>
        <x:v>153.288323881015</x:v>
      </x:c>
    </x:row>
    <x:row r="163">
      <x:c r="A163" t="n">
        <x:v>13</x:v>
      </x:c>
      <x:c r="B163" t="n">
        <x:v>6</x:v>
      </x:c>
      <x:c r="C163" t="n">
        <x:v>30</x:v>
      </x:c>
      <x:c r="D163" t="n">
        <x:v>491.73604926348474</x:v>
      </x:c>
      <x:c r="E163" t="n">
        <x:f>IF(A163=0,1,(1+Parameters!$B$5)^(A163-1))</x:f>
        <x:v>1.2682417945625455</x:v>
      </x:c>
      <x:c r="F163" t="n">
        <x:f>Parameters!$B$2*E163</x:f>
        <x:v>0.4438846280968909</x:v>
      </x:c>
      <x:c r="G163" t="n">
        <x:f>D163*F163</x:f>
        <x:v>218.27407334915634</x:v>
      </x:c>
      <x:c r="H163" t="n">
        <x:f>C163*Parameters!$B$4</x:f>
        <x:v>21</x:v>
      </x:c>
      <x:c r="I163" t="n">
        <x:f>G163+H163</x:f>
        <x:v>239.27407334915634</x:v>
      </x:c>
      <x:c r="J163" t="n">
        <x:f>IF(A163=0,0,(A163-1)*12+B163)</x:f>
        <x:v>150</x:v>
      </x:c>
      <x:c r="K163" t="n">
        <x:f>(1+Parameters!$B$6)^(J163/12)</x:f>
        <x:v>1.537284939192159</x:v>
      </x:c>
      <x:c r="L163" t="n">
        <x:f>I163/K163</x:f>
        <x:v>155.64718501366085</x:v>
      </x:c>
    </x:row>
    <x:row r="164">
      <x:c r="A164" t="n">
        <x:v>13</x:v>
      </x:c>
      <x:c r="B164" t="n">
        <x:v>7</x:v>
      </x:c>
      <x:c r="C164" t="n">
        <x:v>31</x:v>
      </x:c>
      <x:c r="D164" t="n">
        <x:v>504.2151798375662</x:v>
      </x:c>
      <x:c r="E164" t="n">
        <x:f>IF(A164=0,1,(1+Parameters!$B$5)^(A164-1))</x:f>
        <x:v>1.2682417945625455</x:v>
      </x:c>
      <x:c r="F164" t="n">
        <x:f>Parameters!$B$2*E164</x:f>
        <x:v>0.4438846280968909</x:v>
      </x:c>
      <x:c r="G164" t="n">
        <x:f>D164*F164</x:f>
        <x:v>223.81336758300503</x:v>
      </x:c>
      <x:c r="H164" t="n">
        <x:f>C164*Parameters!$B$4</x:f>
        <x:v>21.7</x:v>
      </x:c>
      <x:c r="I164" t="n">
        <x:f>G164+H164</x:f>
        <x:v>245.51336758300502</x:v>
      </x:c>
      <x:c r="J164" t="n">
        <x:f>IF(A164=0,0,(A164-1)*12+B164)</x:f>
        <x:v>151</x:v>
      </x:c>
      <x:c r="K164" t="n">
        <x:f>(1+Parameters!$B$6)^(J164/12)</x:f>
        <x:v>1.5416983285549417</x:v>
      </x:c>
      <x:c r="L164" t="n">
        <x:f>I164/K164</x:f>
        <x:v>159.24864354826707</x:v>
      </x:c>
    </x:row>
    <x:row r="165">
      <x:c r="A165" t="n">
        <x:v>13</x:v>
      </x:c>
      <x:c r="B165" t="n">
        <x:v>8</x:v>
      </x:c>
      <x:c r="C165" t="n">
        <x:v>31</x:v>
      </x:c>
      <x:c r="D165" t="n">
        <x:v>495.0866822817727</x:v>
      </x:c>
      <x:c r="E165" t="n">
        <x:f>IF(A165=0,1,(1+Parameters!$B$5)^(A165-1))</x:f>
        <x:v>1.2682417945625455</x:v>
      </x:c>
      <x:c r="F165" t="n">
        <x:f>Parameters!$B$2*E165</x:f>
        <x:v>0.4438846280968909</x:v>
      </x:c>
      <x:c r="G165" t="n">
        <x:f>D165*F165</x:f>
        <x:v>219.76136784036825</x:v>
      </x:c>
      <x:c r="H165" t="n">
        <x:f>C165*Parameters!$B$4</x:f>
        <x:v>21.7</x:v>
      </x:c>
      <x:c r="I165" t="n">
        <x:f>G165+H165</x:f>
        <x:v>241.46136784036824</x:v>
      </x:c>
      <x:c r="J165" t="n">
        <x:f>IF(A165=0,0,(A165-1)*12+B165)</x:f>
        <x:v>152</x:v>
      </x:c>
      <x:c r="K165" t="n">
        <x:f>(1+Parameters!$B$6)^(J165/12)</x:f>
        <x:v>1.5461243883115925</x:v>
      </x:c>
      <x:c r="L165" t="n">
        <x:f>I165/K165</x:f>
        <x:v>156.1720193186075</x:v>
      </x:c>
    </x:row>
    <x:row r="166">
      <x:c r="A166" t="n">
        <x:v>13</x:v>
      </x:c>
      <x:c r="B166" t="n">
        <x:v>9</x:v>
      </x:c>
      <x:c r="C166" t="n">
        <x:v>30</x:v>
      </x:c>
      <x:c r="D166" t="n">
        <x:v>484.7338669519189</x:v>
      </x:c>
      <x:c r="E166" t="n">
        <x:f>IF(A166=0,1,(1+Parameters!$B$5)^(A166-1))</x:f>
        <x:v>1.2682417945625455</x:v>
      </x:c>
      <x:c r="F166" t="n">
        <x:f>Parameters!$B$2*E166</x:f>
        <x:v>0.4438846280968909</x:v>
      </x:c>
      <x:c r="G166" t="n">
        <x:f>D166*F166</x:f>
        <x:v>215.16591225792033</x:v>
      </x:c>
      <x:c r="H166" t="n">
        <x:f>C166*Parameters!$B$4</x:f>
        <x:v>21</x:v>
      </x:c>
      <x:c r="I166" t="n">
        <x:f>G166+H166</x:f>
        <x:v>236.16591225792033</x:v>
      </x:c>
      <x:c r="J166" t="n">
        <x:f>IF(A166=0,0,(A166-1)*12+B166)</x:f>
        <x:v>153</x:v>
      </x:c>
      <x:c r="K166" t="n">
        <x:f>(1+Parameters!$B$6)^(J166/12)</x:f>
        <x:v>1.5505631548375294</x:v>
      </x:c>
      <x:c r="L166" t="n">
        <x:f>I166/K166</x:f>
        <x:v>152.30976662970312</x:v>
      </x:c>
    </x:row>
    <x:row r="167">
      <x:c r="A167" t="n">
        <x:v>13</x:v>
      </x:c>
      <x:c r="B167" t="n">
        <x:v>10</x:v>
      </x:c>
      <x:c r="C167" t="n">
        <x:v>31</x:v>
      </x:c>
      <x:c r="D167" t="n">
        <x:v>965.136511636476</x:v>
      </x:c>
      <x:c r="E167" t="n">
        <x:f>IF(A167=0,1,(1+Parameters!$B$5)^(A167-1))</x:f>
        <x:v>1.2682417945625455</x:v>
      </x:c>
      <x:c r="F167" t="n">
        <x:f>Parameters!$B$2*E167</x:f>
        <x:v>0.4438846280968909</x:v>
      </x:c>
      <x:c r="G167" t="n">
        <x:f>D167*F167</x:f>
        <x:v>428.40926153048775</x:v>
      </x:c>
      <x:c r="H167" t="n">
        <x:f>C167*Parameters!$B$4</x:f>
        <x:v>21.7</x:v>
      </x:c>
      <x:c r="I167" t="n">
        <x:f>G167+H167</x:f>
        <x:v>450.10926153048774</x:v>
      </x:c>
      <x:c r="J167" t="n">
        <x:f>IF(A167=0,0,(A167-1)*12+B167)</x:f>
        <x:v>154</x:v>
      </x:c>
      <x:c r="K167" t="n">
        <x:f>(1+Parameters!$B$6)^(J167/12)</x:f>
        <x:v>1.5550146646126</x:v>
      </x:c>
      <x:c r="L167" t="n">
        <x:f>I167/K167</x:f>
        <x:v>289.4566024190024</x:v>
      </x:c>
    </x:row>
    <x:row r="168">
      <x:c r="A168" t="n">
        <x:v>13</x:v>
      </x:c>
      <x:c r="B168" t="n">
        <x:v>11</x:v>
      </x:c>
      <x:c r="C168" t="n">
        <x:v>30</x:v>
      </x:c>
      <x:c r="D168" t="n">
        <x:v>948.3641557590579</x:v>
      </x:c>
      <x:c r="E168" t="n">
        <x:f>IF(A168=0,1,(1+Parameters!$B$5)^(A168-1))</x:f>
        <x:v>1.2682417945625455</x:v>
      </x:c>
      <x:c r="F168" t="n">
        <x:f>Parameters!$B$2*E168</x:f>
        <x:v>0.4438846280968909</x:v>
      </x:c>
      <x:c r="G168" t="n">
        <x:f>D168*F168</x:f>
        <x:v>420.96427057953133</x:v>
      </x:c>
      <x:c r="H168" t="n">
        <x:f>C168*Parameters!$B$4</x:f>
        <x:v>21</x:v>
      </x:c>
      <x:c r="I168" t="n">
        <x:f>G168+H168</x:f>
        <x:v>441.96427057953133</x:v>
      </x:c>
      <x:c r="J168" t="n">
        <x:f>IF(A168=0,0,(A168-1)*12+B168)</x:f>
        <x:v>155</x:v>
      </x:c>
      <x:c r="K168" t="n">
        <x:f>(1+Parameters!$B$6)^(J168/12)</x:f>
        <x:v>1.5594789542213816</x:v>
      </x:c>
      <x:c r="L168" t="n">
        <x:f>I168/K168</x:f>
        <x:v>283.40508820793656</x:v>
      </x:c>
    </x:row>
    <x:row r="169">
      <x:c r="A169" t="n">
        <x:v>13</x:v>
      </x:c>
      <x:c r="B169" t="n">
        <x:v>12</x:v>
      </x:c>
      <x:c r="C169" t="n">
        <x:v>31</x:v>
      </x:c>
      <x:c r="D169" t="n">
        <x:v>928.0366698691505</x:v>
      </x:c>
      <x:c r="E169" t="n">
        <x:f>IF(A169=0,1,(1+Parameters!$B$5)^(A169-1))</x:f>
        <x:v>1.2682417945625455</x:v>
      </x:c>
      <x:c r="F169" t="n">
        <x:f>Parameters!$B$2*E169</x:f>
        <x:v>0.4438846280968909</x:v>
      </x:c>
      <x:c r="G169" t="n">
        <x:f>D169*F169</x:f>
        <x:v>411.94121206514495</x:v>
      </x:c>
      <x:c r="H169" t="n">
        <x:f>C169*Parameters!$B$4</x:f>
        <x:v>21.7</x:v>
      </x:c>
      <x:c r="I169" t="n">
        <x:f>G169+H169</x:f>
        <x:v>433.64121206514494</x:v>
      </x:c>
      <x:c r="J169" t="n">
        <x:f>IF(A169=0,0,(A169-1)*12+B169)</x:f>
        <x:v>156</x:v>
      </x:c>
      <x:c r="K169" t="n">
        <x:f>(1+Parameters!$B$6)^(J169/12)</x:f>
        <x:v>1.5639560603534828</x:v>
      </x:c>
      <x:c r="L169" t="n">
        <x:f>I169/K169</x:f>
        <x:v>277.271991878809</x:v>
      </x:c>
    </x:row>
    <x:row r="170">
      <x:c r="A170" t="n">
        <x:v>14</x:v>
      </x:c>
      <x:c r="B170" t="n">
        <x:v>1</x:v>
      </x:c>
      <x:c r="C170" t="n">
        <x:v>31</x:v>
      </x:c>
      <x:c r="D170" t="n">
        <x:v>921.8588397150115</x:v>
      </x:c>
      <x:c r="E170" t="n">
        <x:f>IF(A170=0,1,(1+Parameters!$B$5)^(A170-1))</x:f>
        <x:v>1.2936066304537965</x:v>
      </x:c>
      <x:c r="F170" t="n">
        <x:f>Parameters!$B$2*E170</x:f>
        <x:v>0.45276232065882877</x:v>
      </x:c>
      <x:c r="G170" t="n">
        <x:f>D170*F170</x:f>
        <x:v>417.3829475892239</x:v>
      </x:c>
      <x:c r="H170" t="n">
        <x:f>C170*Parameters!$B$4</x:f>
        <x:v>21.7</x:v>
      </x:c>
      <x:c r="I170" t="n">
        <x:f>G170+H170</x:f>
        <x:v>439.08294758922386</x:v>
      </x:c>
      <x:c r="J170" t="n">
        <x:f>IF(A170=0,0,(A170-1)*12+B170)</x:f>
        <x:v>157</x:v>
      </x:c>
      <x:c r="K170" t="n">
        <x:f>(1+Parameters!$B$6)^(J170/12)</x:f>
        <x:v>1.5684460198038437</x:v>
      </x:c>
      <x:c r="L170" t="n">
        <x:f>I170/K170</x:f>
        <x:v>279.9477585107694</x:v>
      </x:c>
    </x:row>
    <x:row r="171">
      <x:c r="A171" t="n">
        <x:v>14</x:v>
      </x:c>
      <x:c r="B171" t="n">
        <x:v>2</x:v>
      </x:c>
      <x:c r="C171" t="n">
        <x:v>28</x:v>
      </x:c>
      <x:c r="D171" t="n">
        <x:v>923.6252753036425</x:v>
      </x:c>
      <x:c r="E171" t="n">
        <x:f>IF(A171=0,1,(1+Parameters!$B$5)^(A171-1))</x:f>
        <x:v>1.2936066304537965</x:v>
      </x:c>
      <x:c r="F171" t="n">
        <x:f>Parameters!$B$2*E171</x:f>
        <x:v>0.45276232065882877</x:v>
      </x:c>
      <x:c r="G171" t="n">
        <x:f>D171*F171</x:f>
        <x:v>418.1827230656268</x:v>
      </x:c>
      <x:c r="H171" t="n">
        <x:f>C171*Parameters!$B$4</x:f>
        <x:v>19.599999999999998</x:v>
      </x:c>
      <x:c r="I171" t="n">
        <x:f>G171+H171</x:f>
        <x:v>437.78272306562684</x:v>
      </x:c>
      <x:c r="J171" t="n">
        <x:f>IF(A171=0,0,(A171-1)*12+B171)</x:f>
        <x:v>158</x:v>
      </x:c>
      <x:c r="K171" t="n">
        <x:f>(1+Parameters!$B$6)^(J171/12)</x:f>
        <x:v>1.5729488694730394</x:v>
      </x:c>
      <x:c r="L171" t="n">
        <x:f>I171/K171</x:f>
        <x:v>278.31974170418545</x:v>
      </x:c>
    </x:row>
    <x:row r="172">
      <x:c r="A172" t="n">
        <x:v>14</x:v>
      </x:c>
      <x:c r="B172" t="n">
        <x:v>3</x:v>
      </x:c>
      <x:c r="C172" t="n">
        <x:v>31</x:v>
      </x:c>
      <x:c r="D172" t="n">
        <x:v>907.7273550059616</x:v>
      </x:c>
      <x:c r="E172" t="n">
        <x:f>IF(A172=0,1,(1+Parameters!$B$5)^(A172-1))</x:f>
        <x:v>1.2936066304537965</x:v>
      </x:c>
      <x:c r="F172" t="n">
        <x:f>Parameters!$B$2*E172</x:f>
        <x:v>0.45276232065882877</x:v>
      </x:c>
      <x:c r="G172" t="n">
        <x:f>D172*F172</x:f>
        <x:v>410.9847437779997</x:v>
      </x:c>
      <x:c r="H172" t="n">
        <x:f>C172*Parameters!$B$4</x:f>
        <x:v>21.7</x:v>
      </x:c>
      <x:c r="I172" t="n">
        <x:f>G172+H172</x:f>
        <x:v>432.6847437779997</x:v>
      </x:c>
      <x:c r="J172" t="n">
        <x:f>IF(A172=0,0,(A172-1)*12+B172)</x:f>
        <x:v>159</x:v>
      </x:c>
      <x:c r="K172" t="n">
        <x:f>(1+Parameters!$B$6)^(J172/12)</x:f>
        <x:v>1.5774646463675825</x:v>
      </x:c>
      <x:c r="L172" t="n">
        <x:f>I172/K172</x:f>
        <x:v>274.2912462566689</x:v>
      </x:c>
    </x:row>
    <x:row r="173">
      <x:c r="A173" t="n">
        <x:v>14</x:v>
      </x:c>
      <x:c r="B173" t="n">
        <x:v>4</x:v>
      </x:c>
      <x:c r="C173" t="n">
        <x:v>30</x:v>
      </x:c>
      <x:c r="D173" t="n">
        <x:v>951.0096133576476</x:v>
      </x:c>
      <x:c r="E173" t="n">
        <x:f>IF(A173=0,1,(1+Parameters!$B$5)^(A173-1))</x:f>
        <x:v>1.2936066304537965</x:v>
      </x:c>
      <x:c r="F173" t="n">
        <x:f>Parameters!$B$2*E173</x:f>
        <x:v>0.45276232065882877</x:v>
      </x:c>
      <x:c r="G173" t="n">
        <x:f>D173*F173</x:f>
        <x:v>430.581319512664</x:v>
      </x:c>
      <x:c r="H173" t="n">
        <x:f>C173*Parameters!$B$4</x:f>
        <x:v>21</x:v>
      </x:c>
      <x:c r="I173" t="n">
        <x:f>G173+H173</x:f>
        <x:v>451.581319512664</x:v>
      </x:c>
      <x:c r="J173" t="n">
        <x:f>IF(A173=0,0,(A173-1)*12+B173)</x:f>
        <x:v>160</x:v>
      </x:c>
      <x:c r="K173" t="n">
        <x:f>(1+Parameters!$B$6)^(J173/12)</x:f>
        <x:v>1.581993387600228</x:v>
      </x:c>
      <x:c r="L173" t="n">
        <x:f>I173/K173</x:f>
        <x:v>285.45082618687866</x:v>
      </x:c>
    </x:row>
    <x:row r="174">
      <x:c r="A174" t="n">
        <x:v>14</x:v>
      </x:c>
      <x:c r="B174" t="n">
        <x:v>5</x:v>
      </x:c>
      <x:c r="C174" t="n">
        <x:v>31</x:v>
      </x:c>
      <x:c r="D174" t="n">
        <x:v>480.47</x:v>
      </x:c>
      <x:c r="E174" t="n">
        <x:f>IF(A174=0,1,(1+Parameters!$B$5)^(A174-1))</x:f>
        <x:v>1.2936066304537965</x:v>
      </x:c>
      <x:c r="F174" t="n">
        <x:f>Parameters!$B$2*E174</x:f>
        <x:v>0.45276232065882877</x:v>
      </x:c>
      <x:c r="G174" t="n">
        <x:f>D174*F174</x:f>
        <x:v>217.53871220694748</x:v>
      </x:c>
      <x:c r="H174" t="n">
        <x:f>C174*Parameters!$B$4</x:f>
        <x:v>21.7</x:v>
      </x:c>
      <x:c r="I174" t="n">
        <x:f>G174+H174</x:f>
        <x:v>239.23871220694747</x:v>
      </x:c>
      <x:c r="J174" t="n">
        <x:f>IF(A174=0,0,(A174-1)*12+B174)</x:f>
        <x:v>161</x:v>
      </x:c>
      <x:c r="K174" t="n">
        <x:f>(1+Parameters!$B$6)^(J174/12)</x:f>
        <x:v>1.586535130390277</x:v>
      </x:c>
      <x:c r="L174" t="n">
        <x:f>I174/K174</x:f>
        <x:v>150.7932018801855</x:v>
      </x:c>
    </x:row>
    <x:row r="175">
      <x:c r="A175" t="n">
        <x:v>14</x:v>
      </x:c>
      <x:c r="B175" t="n">
        <x:v>6</x:v>
      </x:c>
      <x:c r="C175" t="n">
        <x:v>30</x:v>
      </x:c>
      <x:c r="D175" t="n">
        <x:v>491.73604926348474</x:v>
      </x:c>
      <x:c r="E175" t="n">
        <x:f>IF(A175=0,1,(1+Parameters!$B$5)^(A175-1))</x:f>
        <x:v>1.2936066304537965</x:v>
      </x:c>
      <x:c r="F175" t="n">
        <x:f>Parameters!$B$2*E175</x:f>
        <x:v>0.45276232065882877</x:v>
      </x:c>
      <x:c r="G175" t="n">
        <x:f>D175*F175</x:f>
        <x:v>222.6395548161395</x:v>
      </x:c>
      <x:c r="H175" t="n">
        <x:f>C175*Parameters!$B$4</x:f>
        <x:v>21</x:v>
      </x:c>
      <x:c r="I175" t="n">
        <x:f>G175+H175</x:f>
        <x:v>243.6395548161395</x:v>
      </x:c>
      <x:c r="J175" t="n">
        <x:f>IF(A175=0,0,(A175-1)*12+B175)</x:f>
        <x:v>162</x:v>
      </x:c>
      <x:c r="K175" t="n">
        <x:f>(1+Parameters!$B$6)^(J175/12)</x:f>
        <x:v>1.5910899120638846</x:v>
      </x:c>
      <x:c r="L175" t="n">
        <x:f>I175/K175</x:f>
        <x:v>153.12745871168406</x:v>
      </x:c>
    </x:row>
    <x:row r="176">
      <x:c r="A176" t="n">
        <x:v>14</x:v>
      </x:c>
      <x:c r="B176" t="n">
        <x:v>7</x:v>
      </x:c>
      <x:c r="C176" t="n">
        <x:v>31</x:v>
      </x:c>
      <x:c r="D176" t="n">
        <x:v>504.2151798375662</x:v>
      </x:c>
      <x:c r="E176" t="n">
        <x:f>IF(A176=0,1,(1+Parameters!$B$5)^(A176-1))</x:f>
        <x:v>1.2936066304537965</x:v>
      </x:c>
      <x:c r="F176" t="n">
        <x:f>Parameters!$B$2*E176</x:f>
        <x:v>0.45276232065882877</x:v>
      </x:c>
      <x:c r="G176" t="n">
        <x:f>D176*F176</x:f>
        <x:v>228.28963493466517</x:v>
      </x:c>
      <x:c r="H176" t="n">
        <x:f>C176*Parameters!$B$4</x:f>
        <x:v>21.7</x:v>
      </x:c>
      <x:c r="I176" t="n">
        <x:f>G176+H176</x:f>
        <x:v>249.98963493466516</x:v>
      </x:c>
      <x:c r="J176" t="n">
        <x:f>IF(A176=0,0,(A176-1)*12+B176)</x:f>
        <x:v>163</x:v>
      </x:c>
      <x:c r="K176" t="n">
        <x:f>(1+Parameters!$B$6)^(J176/12)</x:f>
        <x:v>1.5956577700543644</x:v>
      </x:c>
      <x:c r="L176" t="n">
        <x:f>I176/K176</x:f>
        <x:v>156.66870404557235</x:v>
      </x:c>
    </x:row>
    <x:row r="177">
      <x:c r="A177" t="n">
        <x:v>14</x:v>
      </x:c>
      <x:c r="B177" t="n">
        <x:v>8</x:v>
      </x:c>
      <x:c r="C177" t="n">
        <x:v>31</x:v>
      </x:c>
      <x:c r="D177" t="n">
        <x:v>495.0866822817727</x:v>
      </x:c>
      <x:c r="E177" t="n">
        <x:f>IF(A177=0,1,(1+Parameters!$B$5)^(A177-1))</x:f>
        <x:v>1.2936066304537965</x:v>
      </x:c>
      <x:c r="F177" t="n">
        <x:f>Parameters!$B$2*E177</x:f>
        <x:v>0.45276232065882877</x:v>
      </x:c>
      <x:c r="G177" t="n">
        <x:f>D177*F177</x:f>
        <x:v>224.15659519717565</x:v>
      </x:c>
      <x:c r="H177" t="n">
        <x:f>C177*Parameters!$B$4</x:f>
        <x:v>21.7</x:v>
      </x:c>
      <x:c r="I177" t="n">
        <x:f>G177+H177</x:f>
        <x:v>245.85659519717564</x:v>
      </x:c>
      <x:c r="J177" t="n">
        <x:f>IF(A177=0,0,(A177-1)*12+B177)</x:f>
        <x:v>164</x:v>
      </x:c>
      <x:c r="K177" t="n">
        <x:f>(1+Parameters!$B$6)^(J177/12)</x:f>
        <x:v>1.6002387419024982</x:v>
      </x:c>
      <x:c r="L177" t="n">
        <x:f>I177/K177</x:f>
        <x:v>153.6374471879619</x:v>
      </x:c>
    </x:row>
    <x:row r="178">
      <x:c r="A178" t="n">
        <x:v>14</x:v>
      </x:c>
      <x:c r="B178" t="n">
        <x:v>9</x:v>
      </x:c>
      <x:c r="C178" t="n">
        <x:v>30</x:v>
      </x:c>
      <x:c r="D178" t="n">
        <x:v>484.7338669519189</x:v>
      </x:c>
      <x:c r="E178" t="n">
        <x:f>IF(A178=0,1,(1+Parameters!$B$5)^(A178-1))</x:f>
        <x:v>1.2936066304537965</x:v>
      </x:c>
      <x:c r="F178" t="n">
        <x:f>Parameters!$B$2*E178</x:f>
        <x:v>0.45276232065882877</x:v>
      </x:c>
      <x:c r="G178" t="n">
        <x:f>D178*F178</x:f>
        <x:v>219.46923050307876</x:v>
      </x:c>
      <x:c r="H178" t="n">
        <x:f>C178*Parameters!$B$4</x:f>
        <x:v>21</x:v>
      </x:c>
      <x:c r="I178" t="n">
        <x:f>G178+H178</x:f>
        <x:v>240.46923050307876</x:v>
      </x:c>
      <x:c r="J178" t="n">
        <x:f>IF(A178=0,0,(A178-1)*12+B178)</x:f>
        <x:v>165</x:v>
      </x:c>
      <x:c r="K178" t="n">
        <x:f>(1+Parameters!$B$6)^(J178/12)</x:f>
        <x:v>1.6048328652568429</x:v>
      </x:c>
      <x:c r="L178" t="n">
        <x:f>I178/K178</x:f>
        <x:v>149.84066921173954</x:v>
      </x:c>
    </x:row>
    <x:row r="179">
      <x:c r="A179" t="n">
        <x:v>14</x:v>
      </x:c>
      <x:c r="B179" t="n">
        <x:v>10</x:v>
      </x:c>
      <x:c r="C179" t="n">
        <x:v>31</x:v>
      </x:c>
      <x:c r="D179" t="n">
        <x:v>965.136511636476</x:v>
      </x:c>
      <x:c r="E179" t="n">
        <x:f>IF(A179=0,1,(1+Parameters!$B$5)^(A179-1))</x:f>
        <x:v>1.2936066304537965</x:v>
      </x:c>
      <x:c r="F179" t="n">
        <x:f>Parameters!$B$2*E179</x:f>
        <x:v>0.45276232065882877</x:v>
      </x:c>
      <x:c r="G179" t="n">
        <x:f>D179*F179</x:f>
        <x:v>436.97744676109755</x:v>
      </x:c>
      <x:c r="H179" t="n">
        <x:f>C179*Parameters!$B$4</x:f>
        <x:v>21.7</x:v>
      </x:c>
      <x:c r="I179" t="n">
        <x:f>G179+H179</x:f>
        <x:v>458.67744676109754</x:v>
      </x:c>
      <x:c r="J179" t="n">
        <x:f>IF(A179=0,0,(A179-1)*12+B179)</x:f>
        <x:v>166</x:v>
      </x:c>
      <x:c r="K179" t="n">
        <x:f>(1+Parameters!$B$6)^(J179/12)</x:f>
        <x:v>1.6094401778740408</x:v>
      </x:c>
      <x:c r="L179" t="n">
        <x:f>I179/K179</x:f>
        <x:v>284.991920213511</x:v>
      </x:c>
    </x:row>
    <x:row r="180">
      <x:c r="A180" t="n">
        <x:v>14</x:v>
      </x:c>
      <x:c r="B180" t="n">
        <x:v>11</x:v>
      </x:c>
      <x:c r="C180" t="n">
        <x:v>30</x:v>
      </x:c>
      <x:c r="D180" t="n">
        <x:v>948.3641557590579</x:v>
      </x:c>
      <x:c r="E180" t="n">
        <x:f>IF(A180=0,1,(1+Parameters!$B$5)^(A180-1))</x:f>
        <x:v>1.2936066304537965</x:v>
      </x:c>
      <x:c r="F180" t="n">
        <x:f>Parameters!$B$2*E180</x:f>
        <x:v>0.45276232065882877</x:v>
      </x:c>
      <x:c r="G180" t="n">
        <x:f>D180*F180</x:f>
        <x:v>429.383555991122</x:v>
      </x:c>
      <x:c r="H180" t="n">
        <x:f>C180*Parameters!$B$4</x:f>
        <x:v>21</x:v>
      </x:c>
      <x:c r="I180" t="n">
        <x:f>G180+H180</x:f>
        <x:v>450.383555991122</x:v>
      </x:c>
      <x:c r="J180" t="n">
        <x:f>IF(A180=0,0,(A180-1)*12+B180)</x:f>
        <x:v>167</x:v>
      </x:c>
      <x:c r="K180" t="n">
        <x:f>(1+Parameters!$B$6)^(J180/12)</x:f>
        <x:v>1.6140607176191297</x:v>
      </x:c>
      <x:c r="L180" t="n">
        <x:f>I180/K180</x:f>
        <x:v>279.0375548297057</x:v>
      </x:c>
    </x:row>
    <x:row r="181">
      <x:c r="A181" t="n">
        <x:v>14</x:v>
      </x:c>
      <x:c r="B181" t="n">
        <x:v>12</x:v>
      </x:c>
      <x:c r="C181" t="n">
        <x:v>31</x:v>
      </x:c>
      <x:c r="D181" t="n">
        <x:v>928.0366698691505</x:v>
      </x:c>
      <x:c r="E181" t="n">
        <x:f>IF(A181=0,1,(1+Parameters!$B$5)^(A181-1))</x:f>
        <x:v>1.2936066304537965</x:v>
      </x:c>
      <x:c r="F181" t="n">
        <x:f>Parameters!$B$2*E181</x:f>
        <x:v>0.45276232065882877</x:v>
      </x:c>
      <x:c r="G181" t="n">
        <x:f>D181*F181</x:f>
        <x:v>420.1800363064479</x:v>
      </x:c>
      <x:c r="H181" t="n">
        <x:f>C181*Parameters!$B$4</x:f>
        <x:v>21.7</x:v>
      </x:c>
      <x:c r="I181" t="n">
        <x:f>G181+H181</x:f>
        <x:v>441.8800363064479</x:v>
      </x:c>
      <x:c r="J181" t="n">
        <x:f>IF(A181=0,0,(A181-1)*12+B181)</x:f>
        <x:v>168</x:v>
      </x:c>
      <x:c r="K181" t="n">
        <x:f>(1+Parameters!$B$6)^(J181/12)</x:f>
        <x:v>1.6186945224658544</x:v>
      </x:c>
      <x:c r="L181" t="n">
        <x:f>I181/K181</x:f>
        <x:v>272.98543991691866</x:v>
      </x:c>
    </x:row>
    <x:row r="182">
      <x:c r="A182" t="n">
        <x:v>15</x:v>
      </x:c>
      <x:c r="B182" t="n">
        <x:v>1</x:v>
      </x:c>
      <x:c r="C182" t="n">
        <x:v>31</x:v>
      </x:c>
      <x:c r="D182" t="n">
        <x:v>921.8588397150115</x:v>
      </x:c>
      <x:c r="E182" t="n">
        <x:f>IF(A182=0,1,(1+Parameters!$B$5)^(A182-1))</x:f>
        <x:v>1.3194787630628724</x:v>
      </x:c>
      <x:c r="F182" t="n">
        <x:f>Parameters!$B$2*E182</x:f>
        <x:v>0.4618175670720053</x:v>
      </x:c>
      <x:c r="G182" t="n">
        <x:f>D182*F182</x:f>
        <x:v>425.7306065410083</x:v>
      </x:c>
      <x:c r="H182" t="n">
        <x:f>C182*Parameters!$B$4</x:f>
        <x:v>21.7</x:v>
      </x:c>
      <x:c r="I182" t="n">
        <x:f>G182+H182</x:f>
        <x:v>447.4306065410083</x:v>
      </x:c>
      <x:c r="J182" t="n">
        <x:f>IF(A182=0,0,(A182-1)*12+B182)</x:f>
        <x:v>169</x:v>
      </x:c>
      <x:c r="K182" t="n">
        <x:f>(1+Parameters!$B$6)^(J182/12)</x:f>
        <x:v>1.623341630496978</x:v>
      </x:c>
      <x:c r="L182" t="n">
        <x:f>I182/K182</x:f>
        <x:v>275.6231948564207</x:v>
      </x:c>
    </x:row>
    <x:row r="183">
      <x:c r="A183" t="n">
        <x:v>15</x:v>
      </x:c>
      <x:c r="B183" t="n">
        <x:v>2</x:v>
      </x:c>
      <x:c r="C183" t="n">
        <x:v>28</x:v>
      </x:c>
      <x:c r="D183" t="n">
        <x:v>923.6252753036425</x:v>
      </x:c>
      <x:c r="E183" t="n">
        <x:f>IF(A183=0,1,(1+Parameters!$B$5)^(A183-1))</x:f>
        <x:v>1.3194787630628724</x:v>
      </x:c>
      <x:c r="F183" t="n">
        <x:f>Parameters!$B$2*E183</x:f>
        <x:v>0.4618175670720053</x:v>
      </x:c>
      <x:c r="G183" t="n">
        <x:f>D183*F183</x:f>
        <x:v>426.5463775269393</x:v>
      </x:c>
      <x:c r="H183" t="n">
        <x:f>C183*Parameters!$B$4</x:f>
        <x:v>19.599999999999998</x:v>
      </x:c>
      <x:c r="I183" t="n">
        <x:f>G183+H183</x:f>
        <x:v>446.1463775269393</x:v>
      </x:c>
      <x:c r="J183" t="n">
        <x:f>IF(A183=0,0,(A183-1)*12+B183)</x:f>
        <x:v>170</x:v>
      </x:c>
      <x:c r="K183" t="n">
        <x:f>(1+Parameters!$B$6)^(J183/12)</x:f>
        <x:v>1.6280020799045956</x:v>
      </x:c>
      <x:c r="L183" t="n">
        <x:f>I183/K183</x:f>
        <x:v>274.04533632603494</x:v>
      </x:c>
    </x:row>
    <x:row r="184">
      <x:c r="A184" t="n">
        <x:v>15</x:v>
      </x:c>
      <x:c r="B184" t="n">
        <x:v>3</x:v>
      </x:c>
      <x:c r="C184" t="n">
        <x:v>31</x:v>
      </x:c>
      <x:c r="D184" t="n">
        <x:v>907.7273550059616</x:v>
      </x:c>
      <x:c r="E184" t="n">
        <x:f>IF(A184=0,1,(1+Parameters!$B$5)^(A184-1))</x:f>
        <x:v>1.3194787630628724</x:v>
      </x:c>
      <x:c r="F184" t="n">
        <x:f>Parameters!$B$2*E184</x:f>
        <x:v>0.4618175670720053</x:v>
      </x:c>
      <x:c r="G184" t="n">
        <x:f>D184*F184</x:f>
        <x:v>419.20443865355963</x:v>
      </x:c>
      <x:c r="H184" t="n">
        <x:f>C184*Parameters!$B$4</x:f>
        <x:v>21.7</x:v>
      </x:c>
      <x:c r="I184" t="n">
        <x:f>G184+H184</x:f>
        <x:v>440.9044386535596</x:v>
      </x:c>
      <x:c r="J184" t="n">
        <x:f>IF(A184=0,0,(A184-1)*12+B184)</x:f>
        <x:v>171</x:v>
      </x:c>
      <x:c r="K184" t="n">
        <x:f>(1+Parameters!$B$6)^(J184/12)</x:f>
        <x:v>1.6326759089904477</x:v>
      </x:c>
      <x:c r="L184" t="n">
        <x:f>I184/K184</x:f>
        <x:v>270.0501895236449</x:v>
      </x:c>
    </x:row>
    <x:row r="185">
      <x:c r="A185" t="n">
        <x:v>15</x:v>
      </x:c>
      <x:c r="B185" t="n">
        <x:v>4</x:v>
      </x:c>
      <x:c r="C185" t="n">
        <x:v>30</x:v>
      </x:c>
      <x:c r="D185" t="n">
        <x:v>951.0096133576476</x:v>
      </x:c>
      <x:c r="E185" t="n">
        <x:f>IF(A185=0,1,(1+Parameters!$B$5)^(A185-1))</x:f>
        <x:v>1.3194787630628724</x:v>
      </x:c>
      <x:c r="F185" t="n">
        <x:f>Parameters!$B$2*E185</x:f>
        <x:v>0.4618175670720053</x:v>
      </x:c>
      <x:c r="G185" t="n">
        <x:f>D185*F185</x:f>
        <x:v>439.19294590291724</x:v>
      </x:c>
      <x:c r="H185" t="n">
        <x:f>C185*Parameters!$B$4</x:f>
        <x:v>21</x:v>
      </x:c>
      <x:c r="I185" t="n">
        <x:f>G185+H185</x:f>
        <x:v>460.19294590291724</x:v>
      </x:c>
      <x:c r="J185" t="n">
        <x:f>IF(A185=0,0,(A185-1)*12+B185)</x:f>
        <x:v>172</x:v>
      </x:c>
      <x:c r="K185" t="n">
        <x:f>(1+Parameters!$B$6)^(J185/12)</x:f>
        <x:v>1.6373631561662356</x:v>
      </x:c>
      <x:c r="L185" t="n">
        <x:f>I185/K185</x:f>
        <x:v>281.0573477055786</x:v>
      </x:c>
    </x:row>
    <x:row r="186">
      <x:c r="A186" t="n">
        <x:v>15</x:v>
      </x:c>
      <x:c r="B186" t="n">
        <x:v>5</x:v>
      </x:c>
      <x:c r="C186" t="n">
        <x:v>31</x:v>
      </x:c>
      <x:c r="D186" t="n">
        <x:v>480.47</x:v>
      </x:c>
      <x:c r="E186" t="n">
        <x:f>IF(A186=0,1,(1+Parameters!$B$5)^(A186-1))</x:f>
        <x:v>1.3194787630628724</x:v>
      </x:c>
      <x:c r="F186" t="n">
        <x:f>Parameters!$B$2*E186</x:f>
        <x:v>0.4618175670720053</x:v>
      </x:c>
      <x:c r="G186" t="n">
        <x:f>D186*F186</x:f>
        <x:v>221.88948645108638</x:v>
      </x:c>
      <x:c r="H186" t="n">
        <x:f>C186*Parameters!$B$4</x:f>
        <x:v>21.7</x:v>
      </x:c>
      <x:c r="I186" t="n">
        <x:f>G186+H186</x:f>
        <x:v>243.58948645108637</x:v>
      </x:c>
      <x:c r="J186" t="n">
        <x:f>IF(A186=0,0,(A186-1)*12+B186)</x:f>
        <x:v>173</x:v>
      </x:c>
      <x:c r="K186" t="n">
        <x:f>(1+Parameters!$B$6)^(J186/12)</x:f>
        <x:v>1.6420638599539366</x:v>
      </x:c>
      <x:c r="L186" t="n">
        <x:f>I186/K186</x:f>
        <x:v>148.34349162152535</x:v>
      </x:c>
    </x:row>
    <x:row r="187">
      <x:c r="A187" t="n">
        <x:v>15</x:v>
      </x:c>
      <x:c r="B187" t="n">
        <x:v>6</x:v>
      </x:c>
      <x:c r="C187" t="n">
        <x:v>30</x:v>
      </x:c>
      <x:c r="D187" t="n">
        <x:v>491.73604926348474</x:v>
      </x:c>
      <x:c r="E187" t="n">
        <x:f>IF(A187=0,1,(1+Parameters!$B$5)^(A187-1))</x:f>
        <x:v>1.3194787630628724</x:v>
      </x:c>
      <x:c r="F187" t="n">
        <x:f>Parameters!$B$2*E187</x:f>
        <x:v>0.4618175670720053</x:v>
      </x:c>
      <x:c r="G187" t="n">
        <x:f>D187*F187</x:f>
        <x:v>227.09234591246226</x:v>
      </x:c>
      <x:c r="H187" t="n">
        <x:f>C187*Parameters!$B$4</x:f>
        <x:v>21</x:v>
      </x:c>
      <x:c r="I187" t="n">
        <x:f>G187+H187</x:f>
        <x:v>248.09234591246226</x:v>
      </x:c>
      <x:c r="J187" t="n">
        <x:f>IF(A187=0,0,(A187-1)*12+B187)</x:f>
        <x:v>174</x:v>
      </x:c>
      <x:c r="K187" t="n">
        <x:f>(1+Parameters!$B$6)^(J187/12)</x:f>
        <x:v>1.6467780589861203</x:v>
      </x:c>
      <x:c r="L187" t="n">
        <x:f>I187/K187</x:f>
        <x:v>150.65317670385193</x:v>
      </x:c>
    </x:row>
    <x:row r="188">
      <x:c r="A188" t="n">
        <x:v>15</x:v>
      </x:c>
      <x:c r="B188" t="n">
        <x:v>7</x:v>
      </x:c>
      <x:c r="C188" t="n">
        <x:v>31</x:v>
      </x:c>
      <x:c r="D188" t="n">
        <x:v>504.2151798375662</x:v>
      </x:c>
      <x:c r="E188" t="n">
        <x:f>IF(A188=0,1,(1+Parameters!$B$5)^(A188-1))</x:f>
        <x:v>1.3194787630628724</x:v>
      </x:c>
      <x:c r="F188" t="n">
        <x:f>Parameters!$B$2*E188</x:f>
        <x:v>0.4618175670720053</x:v>
      </x:c>
      <x:c r="G188" t="n">
        <x:f>D188*F188</x:f>
        <x:v>232.85542763335843</x:v>
      </x:c>
      <x:c r="H188" t="n">
        <x:f>C188*Parameters!$B$4</x:f>
        <x:v>21.7</x:v>
      </x:c>
      <x:c r="I188" t="n">
        <x:f>G188+H188</x:f>
        <x:v>254.55542763335842</x:v>
      </x:c>
      <x:c r="J188" t="n">
        <x:f>IF(A188=0,0,(A188-1)*12+B188)</x:f>
        <x:v>175</x:v>
      </x:c>
      <x:c r="K188" t="n">
        <x:f>(1+Parameters!$B$6)^(J188/12)</x:f>
        <x:v>1.651505792006267</x:v>
      </x:c>
      <x:c r="L188" t="n">
        <x:f>I188/K188</x:f>
        <x:v>154.13535263725703</x:v>
      </x:c>
    </x:row>
    <x:row r="189">
      <x:c r="A189" t="n">
        <x:v>15</x:v>
      </x:c>
      <x:c r="B189" t="n">
        <x:v>8</x:v>
      </x:c>
      <x:c r="C189" t="n">
        <x:v>31</x:v>
      </x:c>
      <x:c r="D189" t="n">
        <x:v>495.0866822817727</x:v>
      </x:c>
      <x:c r="E189" t="n">
        <x:f>IF(A189=0,1,(1+Parameters!$B$5)^(A189-1))</x:f>
        <x:v>1.3194787630628724</x:v>
      </x:c>
      <x:c r="F189" t="n">
        <x:f>Parameters!$B$2*E189</x:f>
        <x:v>0.4618175670720053</x:v>
      </x:c>
      <x:c r="G189" t="n">
        <x:f>D189*F189</x:f>
        <x:v>228.63972710111912</x:v>
      </x:c>
      <x:c r="H189" t="n">
        <x:f>C189*Parameters!$B$4</x:f>
        <x:v>21.7</x:v>
      </x:c>
      <x:c r="I189" t="n">
        <x:f>G189+H189</x:f>
        <x:v>250.3397271011191</x:v>
      </x:c>
      <x:c r="J189" t="n">
        <x:f>IF(A189=0,0,(A189-1)*12+B189)</x:f>
        <x:v>176</x:v>
      </x:c>
      <x:c r="K189" t="n">
        <x:f>(1+Parameters!$B$6)^(J189/12)</x:f>
        <x:v>1.6562470978690855</x:v>
      </x:c>
      <x:c r="L189" t="n">
        <x:f>I189/K189</x:f>
        <x:v>151.1487793235709</x:v>
      </x:c>
    </x:row>
    <x:row r="190">
      <x:c r="A190" t="n">
        <x:v>15</x:v>
      </x:c>
      <x:c r="B190" t="n">
        <x:v>9</x:v>
      </x:c>
      <x:c r="C190" t="n">
        <x:v>30</x:v>
      </x:c>
      <x:c r="D190" t="n">
        <x:v>484.7338669519189</x:v>
      </x:c>
      <x:c r="E190" t="n">
        <x:f>IF(A190=0,1,(1+Parameters!$B$5)^(A190-1))</x:f>
        <x:v>1.3194787630628724</x:v>
      </x:c>
      <x:c r="F190" t="n">
        <x:f>Parameters!$B$2*E190</x:f>
        <x:v>0.4618175670720053</x:v>
      </x:c>
      <x:c r="G190" t="n">
        <x:f>D190*F190</x:f>
        <x:v>223.8586151131403</x:v>
      </x:c>
      <x:c r="H190" t="n">
        <x:f>C190*Parameters!$B$4</x:f>
        <x:v>21</x:v>
      </x:c>
      <x:c r="I190" t="n">
        <x:f>G190+H190</x:f>
        <x:v>244.8586151131403</x:v>
      </x:c>
      <x:c r="J190" t="n">
        <x:f>IF(A190=0,0,(A190-1)*12+B190)</x:f>
        <x:v>177</x:v>
      </x:c>
      <x:c r="K190" t="n">
        <x:f>(1+Parameters!$B$6)^(J190/12)</x:f>
        <x:v>1.6610020155408323</x:v>
      </x:c>
      <x:c r="L190" t="n">
        <x:f>I190/K190</x:f>
        <x:v>147.41620589389404</x:v>
      </x:c>
    </x:row>
    <x:row r="191">
      <x:c r="A191" t="n">
        <x:v>15</x:v>
      </x:c>
      <x:c r="B191" t="n">
        <x:v>10</x:v>
      </x:c>
      <x:c r="C191" t="n">
        <x:v>31</x:v>
      </x:c>
      <x:c r="D191" t="n">
        <x:v>965.136511636476</x:v>
      </x:c>
      <x:c r="E191" t="n">
        <x:f>IF(A191=0,1,(1+Parameters!$B$5)^(A191-1))</x:f>
        <x:v>1.3194787630628724</x:v>
      </x:c>
      <x:c r="F191" t="n">
        <x:f>Parameters!$B$2*E191</x:f>
        <x:v>0.4618175670720053</x:v>
      </x:c>
      <x:c r="G191" t="n">
        <x:f>D191*F191</x:f>
        <x:v>445.7169956963195</x:v>
      </x:c>
      <x:c r="H191" t="n">
        <x:f>C191*Parameters!$B$4</x:f>
        <x:v>21.7</x:v>
      </x:c>
      <x:c r="I191" t="n">
        <x:f>G191+H191</x:f>
        <x:v>467.4169956963195</x:v>
      </x:c>
      <x:c r="J191" t="n">
        <x:f>IF(A191=0,0,(A191-1)*12+B191)</x:f>
        <x:v>178</x:v>
      </x:c>
      <x:c r="K191" t="n">
        <x:f>(1+Parameters!$B$6)^(J191/12)</x:f>
        <x:v>1.6657705840996322</x:v>
      </x:c>
      <x:c r="L191" t="n">
        <x:f>I191/K191</x:f>
        <x:v>280.6010624500034</x:v>
      </x:c>
    </x:row>
    <x:row r="192">
      <x:c r="A192" t="n">
        <x:v>15</x:v>
      </x:c>
      <x:c r="B192" t="n">
        <x:v>11</x:v>
      </x:c>
      <x:c r="C192" t="n">
        <x:v>30</x:v>
      </x:c>
      <x:c r="D192" t="n">
        <x:v>948.3641557590579</x:v>
      </x:c>
      <x:c r="E192" t="n">
        <x:f>IF(A192=0,1,(1+Parameters!$B$5)^(A192-1))</x:f>
        <x:v>1.3194787630628724</x:v>
      </x:c>
      <x:c r="F192" t="n">
        <x:f>Parameters!$B$2*E192</x:f>
        <x:v>0.4618175670720053</x:v>
      </x:c>
      <x:c r="G192" t="n">
        <x:f>D192*F192</x:f>
        <x:v>437.97122711094437</x:v>
      </x:c>
      <x:c r="H192" t="n">
        <x:f>C192*Parameters!$B$4</x:f>
        <x:v>21</x:v>
      </x:c>
      <x:c r="I192" t="n">
        <x:f>G192+H192</x:f>
        <x:v>458.97122711094437</x:v>
      </x:c>
      <x:c r="J192" t="n">
        <x:f>IF(A192=0,0,(A192-1)*12+B192)</x:f>
        <x:v>179</x:v>
      </x:c>
      <x:c r="K192" t="n">
        <x:f>(1+Parameters!$B$6)^(J192/12)</x:f>
        <x:v>1.6705528427357992</x:v>
      </x:c>
      <x:c r="L192" t="n">
        <x:f>I192/K192</x:f>
        <x:v>274.7421185188642</x:v>
      </x:c>
    </x:row>
    <x:row r="193">
      <x:c r="A193" t="n">
        <x:v>15</x:v>
      </x:c>
      <x:c r="B193" t="n">
        <x:v>12</x:v>
      </x:c>
      <x:c r="C193" t="n">
        <x:v>31</x:v>
      </x:c>
      <x:c r="D193" t="n">
        <x:v>928.0366698691505</x:v>
      </x:c>
      <x:c r="E193" t="n">
        <x:f>IF(A193=0,1,(1+Parameters!$B$5)^(A193-1))</x:f>
        <x:v>1.3194787630628724</x:v>
      </x:c>
      <x:c r="F193" t="n">
        <x:f>Parameters!$B$2*E193</x:f>
        <x:v>0.4618175670720053</x:v>
      </x:c>
      <x:c r="G193" t="n">
        <x:f>D193*F193</x:f>
        <x:v>428.5836370325768</x:v>
      </x:c>
      <x:c r="H193" t="n">
        <x:f>C193*Parameters!$B$4</x:f>
        <x:v>21.7</x:v>
      </x:c>
      <x:c r="I193" t="n">
        <x:f>G193+H193</x:f>
        <x:v>450.2836370325768</x:v>
      </x:c>
      <x:c r="J193" t="n">
        <x:f>IF(A193=0,0,(A193-1)*12+B193)</x:f>
        <x:v>180</x:v>
      </x:c>
      <x:c r="K193" t="n">
        <x:f>(1+Parameters!$B$6)^(J193/12)</x:f>
        <x:v>1.6753488307521593</x:v>
      </x:c>
      <x:c r="L193" t="n">
        <x:f>I193/K193</x:f>
        <x:v>268.7700786650019</x:v>
      </x:c>
    </x:row>
    <x:row r="194">
      <x:c r="A194" t="n">
        <x:v>16</x:v>
      </x:c>
      <x:c r="B194" t="n">
        <x:v>1</x:v>
      </x:c>
      <x:c r="C194" t="n">
        <x:v>31</x:v>
      </x:c>
      <x:c r="D194" t="n">
        <x:v>921.8588397150115</x:v>
      </x:c>
      <x:c r="E194" t="n">
        <x:f>IF(A194=0,1,(1+Parameters!$B$5)^(A194-1))</x:f>
        <x:v>1.3458683383241299</x:v>
      </x:c>
      <x:c r="F194" t="n">
        <x:f>Parameters!$B$2*E194</x:f>
        <x:v>0.4710539184134454</x:v>
      </x:c>
      <x:c r="G194" t="n">
        <x:f>D194*F194</x:f>
        <x:v>434.24521867182847</x:v>
      </x:c>
      <x:c r="H194" t="n">
        <x:f>C194*Parameters!$B$4</x:f>
        <x:v>21.7</x:v>
      </x:c>
      <x:c r="I194" t="n">
        <x:f>G194+H194</x:f>
        <x:v>455.94521867182846</x:v>
      </x:c>
      <x:c r="J194" t="n">
        <x:f>IF(A194=0,0,(A194-1)*12+B194)</x:f>
        <x:v>181</x:v>
      </x:c>
      <x:c r="K194" t="n">
        <x:f>(1+Parameters!$B$6)^(J194/12)</x:f>
        <x:v>1.680158587564372</x:v>
      </x:c>
      <x:c r="L194" t="n">
        <x:f>I194/K194</x:f>
        <x:v>271.3703468508801</x:v>
      </x:c>
    </x:row>
    <x:row r="195">
      <x:c r="A195" t="n">
        <x:v>16</x:v>
      </x:c>
      <x:c r="B195" t="n">
        <x:v>2</x:v>
      </x:c>
      <x:c r="C195" t="n">
        <x:v>28</x:v>
      </x:c>
      <x:c r="D195" t="n">
        <x:v>923.6252753036425</x:v>
      </x:c>
      <x:c r="E195" t="n">
        <x:f>IF(A195=0,1,(1+Parameters!$B$5)^(A195-1))</x:f>
        <x:v>1.3458683383241299</x:v>
      </x:c>
      <x:c r="F195" t="n">
        <x:f>Parameters!$B$2*E195</x:f>
        <x:v>0.4710539184134454</x:v>
      </x:c>
      <x:c r="G195" t="n">
        <x:f>D195*F195</x:f>
        <x:v>435.07730507747806</x:v>
      </x:c>
      <x:c r="H195" t="n">
        <x:f>C195*Parameters!$B$4</x:f>
        <x:v>19.599999999999998</x:v>
      </x:c>
      <x:c r="I195" t="n">
        <x:f>G195+H195</x:f>
        <x:v>454.6773050774781</x:v>
      </x:c>
      <x:c r="J195" t="n">
        <x:f>IF(A195=0,0,(A195-1)*12+B195)</x:f>
        <x:v>182</x:v>
      </x:c>
      <x:c r="K195" t="n">
        <x:f>(1+Parameters!$B$6)^(J195/12)</x:f>
        <x:v>1.6849821527012563</x:v>
      </x:c>
      <x:c r="L195" t="n">
        <x:f>I195/K195</x:f>
        <x:v>269.84102137139456</x:v>
      </x:c>
    </x:row>
    <x:row r="196">
      <x:c r="A196" t="n">
        <x:v>16</x:v>
      </x:c>
      <x:c r="B196" t="n">
        <x:v>3</x:v>
      </x:c>
      <x:c r="C196" t="n">
        <x:v>31</x:v>
      </x:c>
      <x:c r="D196" t="n">
        <x:v>907.7273550059616</x:v>
      </x:c>
      <x:c r="E196" t="n">
        <x:f>IF(A196=0,1,(1+Parameters!$B$5)^(A196-1))</x:f>
        <x:v>1.3458683383241299</x:v>
      </x:c>
      <x:c r="F196" t="n">
        <x:f>Parameters!$B$2*E196</x:f>
        <x:v>0.4710539184134454</x:v>
      </x:c>
      <x:c r="G196" t="n">
        <x:f>D196*F196</x:f>
        <x:v>427.58852742663083</x:v>
      </x:c>
      <x:c r="H196" t="n">
        <x:f>C196*Parameters!$B$4</x:f>
        <x:v>21.7</x:v>
      </x:c>
      <x:c r="I196" t="n">
        <x:f>G196+H196</x:f>
        <x:v>449.2885274266308</x:v>
      </x:c>
      <x:c r="J196" t="n">
        <x:f>IF(A196=0,0,(A196-1)*12+B196)</x:f>
        <x:v>183</x:v>
      </x:c>
      <x:c r="K196" t="n">
        <x:f>(1+Parameters!$B$6)^(J196/12)</x:f>
        <x:v>1.6898195658051132</x:v>
      </x:c>
      <x:c r="L196" t="n">
        <x:f>I196/K196</x:f>
        <x:v>265.87958650636625</x:v>
      </x:c>
    </x:row>
    <x:row r="197">
      <x:c r="A197" t="n">
        <x:v>16</x:v>
      </x:c>
      <x:c r="B197" t="n">
        <x:v>4</x:v>
      </x:c>
      <x:c r="C197" t="n">
        <x:v>30</x:v>
      </x:c>
      <x:c r="D197" t="n">
        <x:v>951.0096133576476</x:v>
      </x:c>
      <x:c r="E197" t="n">
        <x:f>IF(A197=0,1,(1+Parameters!$B$5)^(A197-1))</x:f>
        <x:v>1.3458683383241299</x:v>
      </x:c>
      <x:c r="F197" t="n">
        <x:f>Parameters!$B$2*E197</x:f>
        <x:v>0.4710539184134454</x:v>
      </x:c>
      <x:c r="G197" t="n">
        <x:f>D197*F197</x:f>
        <x:v>447.9768048209756</x:v>
      </x:c>
      <x:c r="H197" t="n">
        <x:f>C197*Parameters!$B$4</x:f>
        <x:v>21</x:v>
      </x:c>
      <x:c r="I197" t="n">
        <x:f>G197+H197</x:f>
        <x:v>468.9768048209756</x:v>
      </x:c>
      <x:c r="J197" t="n">
        <x:f>IF(A197=0,0,(A197-1)*12+B197)</x:f>
        <x:v>184</x:v>
      </x:c>
      <x:c r="K197" t="n">
        <x:f>(1+Parameters!$B$6)^(J197/12)</x:f>
        <x:v>1.6946708666320538</x:v>
      </x:c>
      <x:c r="L197" t="n">
        <x:f>I197/K197</x:f>
        <x:v>276.7362170761856</x:v>
      </x:c>
    </x:row>
    <x:row r="198">
      <x:c r="A198" t="n">
        <x:v>16</x:v>
      </x:c>
      <x:c r="B198" t="n">
        <x:v>5</x:v>
      </x:c>
      <x:c r="C198" t="n">
        <x:v>31</x:v>
      </x:c>
      <x:c r="D198" t="n">
        <x:v>480.47</x:v>
      </x:c>
      <x:c r="E198" t="n">
        <x:f>IF(A198=0,1,(1+Parameters!$B$5)^(A198-1))</x:f>
        <x:v>1.3458683383241299</x:v>
      </x:c>
      <x:c r="F198" t="n">
        <x:f>Parameters!$B$2*E198</x:f>
        <x:v>0.4710539184134454</x:v>
      </x:c>
      <x:c r="G198" t="n">
        <x:f>D198*F198</x:f>
        <x:v>226.32727618010813</x:v>
      </x:c>
      <x:c r="H198" t="n">
        <x:f>C198*Parameters!$B$4</x:f>
        <x:v>21.7</x:v>
      </x:c>
      <x:c r="I198" t="n">
        <x:f>G198+H198</x:f>
        <x:v>248.02727618010812</x:v>
      </x:c>
      <x:c r="J198" t="n">
        <x:f>IF(A198=0,0,(A198-1)*12+B198)</x:f>
        <x:v>185</x:v>
      </x:c>
      <x:c r="K198" t="n">
        <x:f>(1+Parameters!$B$6)^(J198/12)</x:f>
        <x:v>1.6995360950523242</x:v>
      </x:c>
      <x:c r="L198" t="n">
        <x:f>I198/K198</x:f>
        <x:v>145.9382221431855</x:v>
      </x:c>
    </x:row>
    <x:row r="199">
      <x:c r="A199" t="n">
        <x:v>16</x:v>
      </x:c>
      <x:c r="B199" t="n">
        <x:v>6</x:v>
      </x:c>
      <x:c r="C199" t="n">
        <x:v>30</x:v>
      </x:c>
      <x:c r="D199" t="n">
        <x:v>491.73604926348474</x:v>
      </x:c>
      <x:c r="E199" t="n">
        <x:f>IF(A199=0,1,(1+Parameters!$B$5)^(A199-1))</x:f>
        <x:v>1.3458683383241299</x:v>
      </x:c>
      <x:c r="F199" t="n">
        <x:f>Parameters!$B$2*E199</x:f>
        <x:v>0.4710539184134454</x:v>
      </x:c>
      <x:c r="G199" t="n">
        <x:f>D199*F199</x:f>
        <x:v>231.63419283071153</x:v>
      </x:c>
      <x:c r="H199" t="n">
        <x:f>C199*Parameters!$B$4</x:f>
        <x:v>21</x:v>
      </x:c>
      <x:c r="I199" t="n">
        <x:f>G199+H199</x:f>
        <x:v>252.63419283071153</x:v>
      </x:c>
      <x:c r="J199" t="n">
        <x:f>IF(A199=0,0,(A199-1)*12+B199)</x:f>
        <x:v>186</x:v>
      </x:c>
      <x:c r="K199" t="n">
        <x:f>(1+Parameters!$B$6)^(J199/12)</x:f>
        <x:v>1.7044152910506345</x:v>
      </x:c>
      <x:c r="L199" t="n">
        <x:f>I199/K199</x:f>
        <x:v>148.2233785141548</x:v>
      </x:c>
    </x:row>
    <x:row r="200">
      <x:c r="A200" t="n">
        <x:v>16</x:v>
      </x:c>
      <x:c r="B200" t="n">
        <x:v>7</x:v>
      </x:c>
      <x:c r="C200" t="n">
        <x:v>31</x:v>
      </x:c>
      <x:c r="D200" t="n">
        <x:v>504.2151798375662</x:v>
      </x:c>
      <x:c r="E200" t="n">
        <x:f>IF(A200=0,1,(1+Parameters!$B$5)^(A200-1))</x:f>
        <x:v>1.3458683383241299</x:v>
      </x:c>
      <x:c r="F200" t="n">
        <x:f>Parameters!$B$2*E200</x:f>
        <x:v>0.4710539184134454</x:v>
      </x:c>
      <x:c r="G200" t="n">
        <x:f>D200*F200</x:f>
        <x:v>237.5125361860256</x:v>
      </x:c>
      <x:c r="H200" t="n">
        <x:f>C200*Parameters!$B$4</x:f>
        <x:v>21.7</x:v>
      </x:c>
      <x:c r="I200" t="n">
        <x:f>G200+H200</x:f>
        <x:v>259.2125361860256</x:v>
      </x:c>
      <x:c r="J200" t="n">
        <x:f>IF(A200=0,0,(A200-1)*12+B200)</x:f>
        <x:v>187</x:v>
      </x:c>
      <x:c r="K200" t="n">
        <x:f>(1+Parameters!$B$6)^(J200/12)</x:f>
        <x:v>1.7093084947264863</x:v>
      </x:c>
      <x:c r="L200" t="n">
        <x:f>I200/K200</x:f>
        <x:v>151.64760310133678</x:v>
      </x:c>
    </x:row>
    <x:row r="201">
      <x:c r="A201" t="n">
        <x:v>16</x:v>
      </x:c>
      <x:c r="B201" t="n">
        <x:v>8</x:v>
      </x:c>
      <x:c r="C201" t="n">
        <x:v>31</x:v>
      </x:c>
      <x:c r="D201" t="n">
        <x:v>495.0866822817727</x:v>
      </x:c>
      <x:c r="E201" t="n">
        <x:f>IF(A201=0,1,(1+Parameters!$B$5)^(A201-1))</x:f>
        <x:v>1.3458683383241299</x:v>
      </x:c>
      <x:c r="F201" t="n">
        <x:f>Parameters!$B$2*E201</x:f>
        <x:v>0.4710539184134454</x:v>
      </x:c>
      <x:c r="G201" t="n">
        <x:f>D201*F201</x:f>
        <x:v>233.21252164314154</x:v>
      </x:c>
      <x:c r="H201" t="n">
        <x:f>C201*Parameters!$B$4</x:f>
        <x:v>21.7</x:v>
      </x:c>
      <x:c r="I201" t="n">
        <x:f>G201+H201</x:f>
        <x:v>254.91252164314153</x:v>
      </x:c>
      <x:c r="J201" t="n">
        <x:f>IF(A201=0,0,(A201-1)*12+B201)</x:f>
        <x:v>188</x:v>
      </x:c>
      <x:c r="K201" t="n">
        <x:f>(1+Parameters!$B$6)^(J201/12)</x:f>
        <x:v>1.7142157462945034</x:v>
      </x:c>
      <x:c r="L201" t="n">
        <x:f>I201/K201</x:f>
        <x:v>148.7050403043885</x:v>
      </x:c>
    </x:row>
    <x:row r="202">
      <x:c r="A202" t="n">
        <x:v>16</x:v>
      </x:c>
      <x:c r="B202" t="n">
        <x:v>9</x:v>
      </x:c>
      <x:c r="C202" t="n">
        <x:v>30</x:v>
      </x:c>
      <x:c r="D202" t="n">
        <x:v>484.7338669519189</x:v>
      </x:c>
      <x:c r="E202" t="n">
        <x:f>IF(A202=0,1,(1+Parameters!$B$5)^(A202-1))</x:f>
        <x:v>1.3458683383241299</x:v>
      </x:c>
      <x:c r="F202" t="n">
        <x:f>Parameters!$B$2*E202</x:f>
        <x:v>0.4710539184134454</x:v>
      </x:c>
      <x:c r="G202" t="n">
        <x:f>D202*F202</x:f>
        <x:v>228.3357874154031</x:v>
      </x:c>
      <x:c r="H202" t="n">
        <x:f>C202*Parameters!$B$4</x:f>
        <x:v>21</x:v>
      </x:c>
      <x:c r="I202" t="n">
        <x:f>G202+H202</x:f>
        <x:v>249.3357874154031</x:v>
      </x:c>
      <x:c r="J202" t="n">
        <x:f>IF(A202=0,0,(A202-1)*12+B202)</x:f>
        <x:v>189</x:v>
      </x:c>
      <x:c r="K202" t="n">
        <x:f>(1+Parameters!$B$6)^(J202/12)</x:f>
        <x:v>1.7191370860847612</x:v>
      </x:c>
      <x:c r="L202" t="n">
        <x:f>I202/K202</x:f>
        <x:v>145.03543052709742</x:v>
      </x:c>
    </x:row>
    <x:row r="203">
      <x:c r="A203" t="n">
        <x:v>16</x:v>
      </x:c>
      <x:c r="B203" t="n">
        <x:v>10</x:v>
      </x:c>
      <x:c r="C203" t="n">
        <x:v>31</x:v>
      </x:c>
      <x:c r="D203" t="n">
        <x:v>965.136511636476</x:v>
      </x:c>
      <x:c r="E203" t="n">
        <x:f>IF(A203=0,1,(1+Parameters!$B$5)^(A203-1))</x:f>
        <x:v>1.3458683383241299</x:v>
      </x:c>
      <x:c r="F203" t="n">
        <x:f>Parameters!$B$2*E203</x:f>
        <x:v>0.4710539184134454</x:v>
      </x:c>
      <x:c r="G203" t="n">
        <x:f>D203*F203</x:f>
        <x:v>454.63133561024586</x:v>
      </x:c>
      <x:c r="H203" t="n">
        <x:f>C203*Parameters!$B$4</x:f>
        <x:v>21.7</x:v>
      </x:c>
      <x:c r="I203" t="n">
        <x:f>G203+H203</x:f>
        <x:v>476.33133561024584</x:v>
      </x:c>
      <x:c r="J203" t="n">
        <x:f>IF(A203=0,0,(A203-1)*12+B203)</x:f>
        <x:v>190</x:v>
      </x:c>
      <x:c r="K203" t="n">
        <x:f>(1+Parameters!$B$6)^(J203/12)</x:f>
        <x:v>1.724072554543119</x:v>
      </x:c>
      <x:c r="L203" t="n">
        <x:f>I203/K203</x:f>
        <x:v>276.28265084033785</x:v>
      </x:c>
    </x:row>
    <x:row r="204">
      <x:c r="A204" t="n">
        <x:v>16</x:v>
      </x:c>
      <x:c r="B204" t="n">
        <x:v>11</x:v>
      </x:c>
      <x:c r="C204" t="n">
        <x:v>30</x:v>
      </x:c>
      <x:c r="D204" t="n">
        <x:v>948.3641557590579</x:v>
      </x:c>
      <x:c r="E204" t="n">
        <x:f>IF(A204=0,1,(1+Parameters!$B$5)^(A204-1))</x:f>
        <x:v>1.3458683383241299</x:v>
      </x:c>
      <x:c r="F204" t="n">
        <x:f>Parameters!$B$2*E204</x:f>
        <x:v>0.4710539184134454</x:v>
      </x:c>
      <x:c r="G204" t="n">
        <x:f>D204*F204</x:f>
        <x:v>446.7306516531633</x:v>
      </x:c>
      <x:c r="H204" t="n">
        <x:f>C204*Parameters!$B$4</x:f>
        <x:v>21</x:v>
      </x:c>
      <x:c r="I204" t="n">
        <x:f>G204+H204</x:f>
        <x:v>467.7306516531633</x:v>
      </x:c>
      <x:c r="J204" t="n">
        <x:f>IF(A204=0,0,(A204-1)*12+B204)</x:f>
        <x:v>191</x:v>
      </x:c>
      <x:c r="K204" t="n">
        <x:f>(1+Parameters!$B$6)^(J204/12)</x:f>
        <x:v>1.729022192231552</x:v>
      </x:c>
      <x:c r="L204" t="n">
        <x:f>I204/K204</x:f>
        <x:v>270.5174368233467</x:v>
      </x:c>
    </x:row>
    <x:row r="205">
      <x:c r="A205" t="n">
        <x:v>16</x:v>
      </x:c>
      <x:c r="B205" t="n">
        <x:v>12</x:v>
      </x:c>
      <x:c r="C205" t="n">
        <x:v>31</x:v>
      </x:c>
      <x:c r="D205" t="n">
        <x:v>928.0366698691505</x:v>
      </x:c>
      <x:c r="E205" t="n">
        <x:f>IF(A205=0,1,(1+Parameters!$B$5)^(A205-1))</x:f>
        <x:v>1.3458683383241299</x:v>
      </x:c>
      <x:c r="F205" t="n">
        <x:f>Parameters!$B$2*E205</x:f>
        <x:v>0.4710539184134454</x:v>
      </x:c>
      <x:c r="G205" t="n">
        <x:f>D205*F205</x:f>
        <x:v>437.1553097732284</x:v>
      </x:c>
      <x:c r="H205" t="n">
        <x:f>C205*Parameters!$B$4</x:f>
        <x:v>21.7</x:v>
      </x:c>
      <x:c r="I205" t="n">
        <x:f>G205+H205</x:f>
        <x:v>458.8553097732284</x:v>
      </x:c>
      <x:c r="J205" t="n">
        <x:f>IF(A205=0,0,(A205-1)*12+B205)</x:f>
        <x:v>192</x:v>
      </x:c>
      <x:c r="K205" t="n">
        <x:f>(1+Parameters!$B$6)^(J205/12)</x:f>
        <x:v>1.7339860398284848</x:v>
      </x:c>
      <x:c r="L205" t="n">
        <x:f>I205/K205</x:f>
        <x:v>264.6245697679409</x:v>
      </x:c>
    </x:row>
    <x:row r="206">
      <x:c r="A206" t="n">
        <x:v>17</x:v>
      </x:c>
      <x:c r="B206" t="n">
        <x:v>1</x:v>
      </x:c>
      <x:c r="C206" t="n">
        <x:v>31</x:v>
      </x:c>
      <x:c r="D206" t="n">
        <x:v>921.8588397150115</x:v>
      </x:c>
      <x:c r="E206" t="n">
        <x:f>IF(A206=0,1,(1+Parameters!$B$5)^(A206-1))</x:f>
        <x:v>1.3727857050906125</x:v>
      </x:c>
      <x:c r="F206" t="n">
        <x:f>Parameters!$B$2*E206</x:f>
        <x:v>0.48047499678171435</x:v>
      </x:c>
      <x:c r="G206" t="n">
        <x:f>D206*F206</x:f>
        <x:v>442.9301230452651</x:v>
      </x:c>
      <x:c r="H206" t="n">
        <x:f>C206*Parameters!$B$4</x:f>
        <x:v>21.7</x:v>
      </x:c>
      <x:c r="I206" t="n">
        <x:f>G206+H206</x:f>
        <x:v>464.63012304526507</x:v>
      </x:c>
      <x:c r="J206" t="n">
        <x:f>IF(A206=0,0,(A206-1)*12+B206)</x:f>
        <x:v>193</x:v>
      </x:c>
      <x:c r="K206" t="n">
        <x:f>(1+Parameters!$B$6)^(J206/12)</x:f>
        <x:v>1.738964138129125</x:v>
      </x:c>
      <x:c r="L206" t="n">
        <x:f>I206/K206</x:f>
        <x:v>267.18786940893455</x:v>
      </x:c>
    </x:row>
    <x:row r="207">
      <x:c r="A207" t="n">
        <x:v>17</x:v>
      </x:c>
      <x:c r="B207" t="n">
        <x:v>2</x:v>
      </x:c>
      <x:c r="C207" t="n">
        <x:v>28</x:v>
      </x:c>
      <x:c r="D207" t="n">
        <x:v>923.6252753036425</x:v>
      </x:c>
      <x:c r="E207" t="n">
        <x:f>IF(A207=0,1,(1+Parameters!$B$5)^(A207-1))</x:f>
        <x:v>1.3727857050906125</x:v>
      </x:c>
      <x:c r="F207" t="n">
        <x:f>Parameters!$B$2*E207</x:f>
        <x:v>0.48047499678171435</x:v>
      </x:c>
      <x:c r="G207" t="n">
        <x:f>D207*F207</x:f>
        <x:v>443.7788511790277</x:v>
      </x:c>
      <x:c r="H207" t="n">
        <x:f>C207*Parameters!$B$4</x:f>
        <x:v>19.599999999999998</x:v>
      </x:c>
      <x:c r="I207" t="n">
        <x:f>G207+H207</x:f>
        <x:v>463.3788511790277</x:v>
      </x:c>
      <x:c r="J207" t="n">
        <x:f>IF(A207=0,0,(A207-1)*12+B207)</x:f>
        <x:v>194</x:v>
      </x:c>
      <x:c r="K207" t="n">
        <x:f>(1+Parameters!$B$6)^(J207/12)</x:f>
        <x:v>1.7439565280458003</x:v>
      </x:c>
      <x:c r="L207" t="n">
        <x:f>I207/K207</x:f>
        <x:v>265.70550568612475</x:v>
      </x:c>
    </x:row>
    <x:row r="208">
      <x:c r="A208" t="n">
        <x:v>17</x:v>
      </x:c>
      <x:c r="B208" t="n">
        <x:v>3</x:v>
      </x:c>
      <x:c r="C208" t="n">
        <x:v>31</x:v>
      </x:c>
      <x:c r="D208" t="n">
        <x:v>907.7273550059616</x:v>
      </x:c>
      <x:c r="E208" t="n">
        <x:f>IF(A208=0,1,(1+Parameters!$B$5)^(A208-1))</x:f>
        <x:v>1.3727857050906125</x:v>
      </x:c>
      <x:c r="F208" t="n">
        <x:f>Parameters!$B$2*E208</x:f>
        <x:v>0.48047499678171435</x:v>
      </x:c>
      <x:c r="G208" t="n">
        <x:f>D208*F208</x:f>
        <x:v>436.1402979751635</x:v>
      </x:c>
      <x:c r="H208" t="n">
        <x:f>C208*Parameters!$B$4</x:f>
        <x:v>21.7</x:v>
      </x:c>
      <x:c r="I208" t="n">
        <x:f>G208+H208</x:f>
        <x:v>457.8402979751635</x:v>
      </x:c>
      <x:c r="J208" t="n">
        <x:f>IF(A208=0,0,(A208-1)*12+B208)</x:f>
        <x:v>195</x:v>
      </x:c>
      <x:c r="K208" t="n">
        <x:f>(1+Parameters!$B$6)^(J208/12)</x:f>
        <x:v>1.7489632506082922</x:v>
      </x:c>
      <x:c r="L208" t="n">
        <x:f>I208/K208</x:f>
        <x:v>261.7781121564023</x:v>
      </x:c>
    </x:row>
    <x:row r="209">
      <x:c r="A209" t="n">
        <x:v>17</x:v>
      </x:c>
      <x:c r="B209" t="n">
        <x:v>4</x:v>
      </x:c>
      <x:c r="C209" t="n">
        <x:v>30</x:v>
      </x:c>
      <x:c r="D209" t="n">
        <x:v>951.0096133576476</x:v>
      </x:c>
      <x:c r="E209" t="n">
        <x:f>IF(A209=0,1,(1+Parameters!$B$5)^(A209-1))</x:f>
        <x:v>1.3727857050906125</x:v>
      </x:c>
      <x:c r="F209" t="n">
        <x:f>Parameters!$B$2*E209</x:f>
        <x:v>0.48047499678171435</x:v>
      </x:c>
      <x:c r="G209" t="n">
        <x:f>D209*F209</x:f>
        <x:v>456.9363409173951</x:v>
      </x:c>
      <x:c r="H209" t="n">
        <x:f>C209*Parameters!$B$4</x:f>
        <x:v>21</x:v>
      </x:c>
      <x:c r="I209" t="n">
        <x:f>G209+H209</x:f>
        <x:v>477.9363409173951</x:v>
      </x:c>
      <x:c r="J209" t="n">
        <x:f>IF(A209=0,0,(A209-1)*12+B209)</x:f>
        <x:v>196</x:v>
      </x:c>
      <x:c r="K209" t="n">
        <x:f>(1+Parameters!$B$6)^(J209/12)</x:f>
        <x:v>1.7539843469641754</x:v>
      </x:c>
      <x:c r="L209" t="n">
        <x:f>I209/K209</x:f>
        <x:v>272.4860924469566</x:v>
      </x:c>
    </x:row>
    <x:row r="210">
      <x:c r="A210" t="n">
        <x:v>17</x:v>
      </x:c>
      <x:c r="B210" t="n">
        <x:v>5</x:v>
      </x:c>
      <x:c r="C210" t="n">
        <x:v>31</x:v>
      </x:c>
      <x:c r="D210" t="n">
        <x:v>480.47</x:v>
      </x:c>
      <x:c r="E210" t="n">
        <x:f>IF(A210=0,1,(1+Parameters!$B$5)^(A210-1))</x:f>
        <x:v>1.3727857050906125</x:v>
      </x:c>
      <x:c r="F210" t="n">
        <x:f>Parameters!$B$2*E210</x:f>
        <x:v>0.48047499678171435</x:v>
      </x:c>
      <x:c r="G210" t="n">
        <x:f>D210*F210</x:f>
        <x:v>230.8538217037103</x:v>
      </x:c>
      <x:c r="H210" t="n">
        <x:f>C210*Parameters!$B$4</x:f>
        <x:v>21.7</x:v>
      </x:c>
      <x:c r="I210" t="n">
        <x:f>G210+H210</x:f>
        <x:v>252.5538217037103</x:v>
      </x:c>
      <x:c r="J210" t="n">
        <x:f>IF(A210=0,0,(A210-1)*12+B210)</x:f>
        <x:v>197</x:v>
      </x:c>
      <x:c r="K210" t="n">
        <x:f>(1+Parameters!$B$6)^(J210/12)</x:f>
        <x:v>1.7590198583791554</x:v>
      </x:c>
      <x:c r="L210" t="n">
        <x:f>I210/K210</x:f>
        <x:v>143.576447133704</x:v>
      </x:c>
    </x:row>
    <x:row r="211">
      <x:c r="A211" t="n">
        <x:v>17</x:v>
      </x:c>
      <x:c r="B211" t="n">
        <x:v>6</x:v>
      </x:c>
      <x:c r="C211" t="n">
        <x:v>30</x:v>
      </x:c>
      <x:c r="D211" t="n">
        <x:v>491.73604926348474</x:v>
      </x:c>
      <x:c r="E211" t="n">
        <x:f>IF(A211=0,1,(1+Parameters!$B$5)^(A211-1))</x:f>
        <x:v>1.3727857050906125</x:v>
      </x:c>
      <x:c r="F211" t="n">
        <x:f>Parameters!$B$2*E211</x:f>
        <x:v>0.48047499678171435</x:v>
      </x:c>
      <x:c r="G211" t="n">
        <x:f>D211*F211</x:f>
        <x:v>236.26687668732575</x:v>
      </x:c>
      <x:c r="H211" t="n">
        <x:f>C211*Parameters!$B$4</x:f>
        <x:v>21</x:v>
      </x:c>
      <x:c r="I211" t="n">
        <x:f>G211+H211</x:f>
        <x:v>257.26687668732575</x:v>
      </x:c>
      <x:c r="J211" t="n">
        <x:f>IF(A211=0,0,(A211-1)*12+B211)</x:f>
        <x:v>198</x:v>
      </x:c>
      <x:c r="K211" t="n">
        <x:f>(1+Parameters!$B$6)^(J211/12)</x:f>
        <x:v>1.7640698262374064</x:v>
      </x:c>
      <x:c r="L211" t="n">
        <x:f>I211/K211</x:f>
        <x:v>145.8371277944545</x:v>
      </x:c>
    </x:row>
    <x:row r="212">
      <x:c r="A212" t="n">
        <x:v>17</x:v>
      </x:c>
      <x:c r="B212" t="n">
        <x:v>7</x:v>
      </x:c>
      <x:c r="C212" t="n">
        <x:v>31</x:v>
      </x:c>
      <x:c r="D212" t="n">
        <x:v>504.2151798375662</x:v>
      </x:c>
      <x:c r="E212" t="n">
        <x:f>IF(A212=0,1,(1+Parameters!$B$5)^(A212-1))</x:f>
        <x:v>1.3727857050906125</x:v>
      </x:c>
      <x:c r="F212" t="n">
        <x:f>Parameters!$B$2*E212</x:f>
        <x:v>0.48047499678171435</x:v>
      </x:c>
      <x:c r="G212" t="n">
        <x:f>D212*F212</x:f>
        <x:v>242.26278690974615</x:v>
      </x:c>
      <x:c r="H212" t="n">
        <x:f>C212*Parameters!$B$4</x:f>
        <x:v>21.7</x:v>
      </x:c>
      <x:c r="I212" t="n">
        <x:f>G212+H212</x:f>
        <x:v>263.96278690974617</x:v>
      </x:c>
      <x:c r="J212" t="n">
        <x:f>IF(A212=0,0,(A212-1)*12+B212)</x:f>
        <x:v>199</x:v>
      </x:c>
      <x:c r="K212" t="n">
        <x:f>(1+Parameters!$B$6)^(J212/12)</x:f>
        <x:v>1.769134292041913</x:v>
      </x:c>
      <x:c r="L212" t="n">
        <x:f>I212/K212</x:f>
        <x:v>149.20449402689695</x:v>
      </x:c>
    </x:row>
    <x:row r="213">
      <x:c r="A213" t="n">
        <x:v>17</x:v>
      </x:c>
      <x:c r="B213" t="n">
        <x:v>8</x:v>
      </x:c>
      <x:c r="C213" t="n">
        <x:v>31</x:v>
      </x:c>
      <x:c r="D213" t="n">
        <x:v>495.0866822817727</x:v>
      </x:c>
      <x:c r="E213" t="n">
        <x:f>IF(A213=0,1,(1+Parameters!$B$5)^(A213-1))</x:f>
        <x:v>1.3727857050906125</x:v>
      </x:c>
      <x:c r="F213" t="n">
        <x:f>Parameters!$B$2*E213</x:f>
        <x:v>0.48047499678171435</x:v>
      </x:c>
      <x:c r="G213" t="n">
        <x:f>D213*F213</x:f>
        <x:v>237.87677207600439</x:v>
      </x:c>
      <x:c r="H213" t="n">
        <x:f>C213*Parameters!$B$4</x:f>
        <x:v>21.7</x:v>
      </x:c>
      <x:c r="I213" t="n">
        <x:f>G213+H213</x:f>
        <x:v>259.5767720760044</x:v>
      </x:c>
      <x:c r="J213" t="n">
        <x:f>IF(A213=0,0,(A213-1)*12+B213)</x:f>
        <x:v>200</x:v>
      </x:c>
      <x:c r="K213" t="n">
        <x:f>(1+Parameters!$B$6)^(J213/12)</x:f>
        <x:v>1.7742132974148108</x:v>
      </x:c>
      <x:c r="L213" t="n">
        <x:f>I213/K213</x:f>
        <x:v>146.3052793337933</x:v>
      </x:c>
    </x:row>
    <x:row r="214">
      <x:c r="A214" t="n">
        <x:v>17</x:v>
      </x:c>
      <x:c r="B214" t="n">
        <x:v>9</x:v>
      </x:c>
      <x:c r="C214" t="n">
        <x:v>30</x:v>
      </x:c>
      <x:c r="D214" t="n">
        <x:v>484.7338669519189</x:v>
      </x:c>
      <x:c r="E214" t="n">
        <x:f>IF(A214=0,1,(1+Parameters!$B$5)^(A214-1))</x:f>
        <x:v>1.3727857050906125</x:v>
      </x:c>
      <x:c r="F214" t="n">
        <x:f>Parameters!$B$2*E214</x:f>
        <x:v>0.48047499678171435</x:v>
      </x:c>
      <x:c r="G214" t="n">
        <x:f>D214*F214</x:f>
        <x:v>232.9025031637112</x:v>
      </x:c>
      <x:c r="H214" t="n">
        <x:f>C214*Parameters!$B$4</x:f>
        <x:v>21</x:v>
      </x:c>
      <x:c r="I214" t="n">
        <x:f>G214+H214</x:f>
        <x:v>253.9025031637112</x:v>
      </x:c>
      <x:c r="J214" t="n">
        <x:f>IF(A214=0,0,(A214-1)*12+B214)</x:f>
        <x:v>201</x:v>
      </x:c>
      <x:c r="K214" t="n">
        <x:f>(1+Parameters!$B$6)^(J214/12)</x:f>
        <x:v>1.7793068840977277</x:v>
      </x:c>
      <x:c r="L214" t="n">
        <x:f>I214/K214</x:f>
        <x:v>142.69742079509973</x:v>
      </x:c>
    </x:row>
    <x:row r="215">
      <x:c r="A215" t="n">
        <x:v>17</x:v>
      </x:c>
      <x:c r="B215" t="n">
        <x:v>10</x:v>
      </x:c>
      <x:c r="C215" t="n">
        <x:v>31</x:v>
      </x:c>
      <x:c r="D215" t="n">
        <x:v>965.136511636476</x:v>
      </x:c>
      <x:c r="E215" t="n">
        <x:f>IF(A215=0,1,(1+Parameters!$B$5)^(A215-1))</x:f>
        <x:v>1.3727857050906125</x:v>
      </x:c>
      <x:c r="F215" t="n">
        <x:f>Parameters!$B$2*E215</x:f>
        <x:v>0.48047499678171435</x:v>
      </x:c>
      <x:c r="G215" t="n">
        <x:f>D215*F215</x:f>
        <x:v>463.72396232245086</x:v>
      </x:c>
      <x:c r="H215" t="n">
        <x:f>C215*Parameters!$B$4</x:f>
        <x:v>21.7</x:v>
      </x:c>
      <x:c r="I215" t="n">
        <x:f>G215+H215</x:f>
        <x:v>485.42396232245085</x:v>
      </x:c>
      <x:c r="J215" t="n">
        <x:f>IF(A215=0,0,(A215-1)*12+B215)</x:f>
        <x:v>202</x:v>
      </x:c>
      <x:c r="K215" t="n">
        <x:f>(1+Parameters!$B$6)^(J215/12)</x:f>
        <x:v>1.784415093952128</x:v>
      </x:c>
      <x:c r="L215" t="n">
        <x:f>I215/K215</x:f>
        <x:v>272.03533749948974</x:v>
      </x:c>
    </x:row>
    <x:row r="216">
      <x:c r="A216" t="n">
        <x:v>17</x:v>
      </x:c>
      <x:c r="B216" t="n">
        <x:v>11</x:v>
      </x:c>
      <x:c r="C216" t="n">
        <x:v>30</x:v>
      </x:c>
      <x:c r="D216" t="n">
        <x:v>948.3641557590579</x:v>
      </x:c>
      <x:c r="E216" t="n">
        <x:f>IF(A216=0,1,(1+Parameters!$B$5)^(A216-1))</x:f>
        <x:v>1.3727857050906125</x:v>
      </x:c>
      <x:c r="F216" t="n">
        <x:f>Parameters!$B$2*E216</x:f>
        <x:v>0.48047499678171435</x:v>
      </x:c>
      <x:c r="G216" t="n">
        <x:f>D216*F216</x:f>
        <x:v>455.6652646862266</x:v>
      </x:c>
      <x:c r="H216" t="n">
        <x:f>C216*Parameters!$B$4</x:f>
        <x:v>21</x:v>
      </x:c>
      <x:c r="I216" t="n">
        <x:f>G216+H216</x:f>
        <x:v>476.6652646862266</x:v>
      </x:c>
      <x:c r="J216" t="n">
        <x:f>IF(A216=0,0,(A216-1)*12+B216)</x:f>
        <x:v>203</x:v>
      </x:c>
      <x:c r="K216" t="n">
        <x:f>(1+Parameters!$B$6)^(J216/12)</x:f>
        <x:v>1.7895379689596562</x:v>
      </x:c>
      <x:c r="L216" t="n">
        <x:f>I216/K216</x:f>
        <x:v>266.36219680956805</x:v>
      </x:c>
    </x:row>
    <x:row r="217">
      <x:c r="A217" t="n">
        <x:v>17</x:v>
      </x:c>
      <x:c r="B217" t="n">
        <x:v>12</x:v>
      </x:c>
      <x:c r="C217" t="n">
        <x:v>31</x:v>
      </x:c>
      <x:c r="D217" t="n">
        <x:v>928.0366698691505</x:v>
      </x:c>
      <x:c r="E217" t="n">
        <x:f>IF(A217=0,1,(1+Parameters!$B$5)^(A217-1))</x:f>
        <x:v>1.3727857050906125</x:v>
      </x:c>
      <x:c r="F217" t="n">
        <x:f>Parameters!$B$2*E217</x:f>
        <x:v>0.48047499678171435</x:v>
      </x:c>
      <x:c r="G217" t="n">
        <x:f>D217*F217</x:f>
        <x:v>445.898415968693</x:v>
      </x:c>
      <x:c r="H217" t="n">
        <x:f>C217*Parameters!$B$4</x:f>
        <x:v>21.7</x:v>
      </x:c>
      <x:c r="I217" t="n">
        <x:f>G217+H217</x:f>
        <x:v>467.59841596869296</x:v>
      </x:c>
      <x:c r="J217" t="n">
        <x:f>IF(A217=0,0,(A217-1)*12+B217)</x:f>
        <x:v>204</x:v>
      </x:c>
      <x:c r="K217" t="n">
        <x:f>(1+Parameters!$B$6)^(J217/12)</x:f>
        <x:v>1.7946755512224815</x:v>
      </x:c>
      <x:c r="L217" t="n">
        <x:f>I217/K217</x:f>
        <x:v>260.5476046353773</x:v>
      </x:c>
    </x:row>
    <x:row r="218">
      <x:c r="A218" t="n">
        <x:v>18</x:v>
      </x:c>
      <x:c r="B218" t="n">
        <x:v>1</x:v>
      </x:c>
      <x:c r="C218" t="n">
        <x:v>31</x:v>
      </x:c>
      <x:c r="D218" t="n">
        <x:v>921.8588397150115</x:v>
      </x:c>
      <x:c r="E218" t="n">
        <x:f>IF(A218=0,1,(1+Parameters!$B$5)^(A218-1))</x:f>
        <x:v>1.4002414191924248</x:v>
      </x:c>
      <x:c r="F218" t="n">
        <x:f>Parameters!$B$2*E218</x:f>
        <x:v>0.49008449671734866</x:v>
      </x:c>
      <x:c r="G218" t="n">
        <x:f>D218*F218</x:f>
        <x:v>451.7887255061704</x:v>
      </x:c>
      <x:c r="H218" t="n">
        <x:f>C218*Parameters!$B$4</x:f>
        <x:v>21.7</x:v>
      </x:c>
      <x:c r="I218" t="n">
        <x:f>G218+H218</x:f>
        <x:v>473.4887255061704</x:v>
      </x:c>
      <x:c r="J218" t="n">
        <x:f>IF(A218=0,0,(A218-1)*12+B218)</x:f>
        <x:v>205</x:v>
      </x:c>
      <x:c r="K218" t="n">
        <x:f>(1+Parameters!$B$6)^(J218/12)</x:f>
        <x:v>1.7998278829636443</x:v>
      </x:c>
      <x:c r="L218" t="n">
        <x:f>I218/K218</x:f>
        <x:v>263.07444727798713</x:v>
      </x:c>
    </x:row>
    <x:row r="219">
      <x:c r="A219" t="n">
        <x:v>18</x:v>
      </x:c>
      <x:c r="B219" t="n">
        <x:v>2</x:v>
      </x:c>
      <x:c r="C219" t="n">
        <x:v>28</x:v>
      </x:c>
      <x:c r="D219" t="n">
        <x:v>923.6252753036425</x:v>
      </x:c>
      <x:c r="E219" t="n">
        <x:f>IF(A219=0,1,(1+Parameters!$B$5)^(A219-1))</x:f>
        <x:v>1.4002414191924248</x:v>
      </x:c>
      <x:c r="F219" t="n">
        <x:f>Parameters!$B$2*E219</x:f>
        <x:v>0.49008449671734866</x:v>
      </x:c>
      <x:c r="G219" t="n">
        <x:f>D219*F219</x:f>
        <x:v>452.65442820260824</x:v>
      </x:c>
      <x:c r="H219" t="n">
        <x:f>C219*Parameters!$B$4</x:f>
        <x:v>19.599999999999998</x:v>
      </x:c>
      <x:c r="I219" t="n">
        <x:f>G219+H219</x:f>
        <x:v>472.25442820260827</x:v>
      </x:c>
      <x:c r="J219" t="n">
        <x:f>IF(A219=0,0,(A219-1)*12+B219)</x:f>
        <x:v>206</x:v>
      </x:c>
      <x:c r="K219" t="n">
        <x:f>(1+Parameters!$B$6)^(J219/12)</x:f>
        <x:v>1.804995006527403</x:v>
      </x:c>
      <x:c r="L219" t="n">
        <x:f>I219/K219</x:f>
        <x:v>261.63752613984786</x:v>
      </x:c>
    </x:row>
    <x:row r="220">
      <x:c r="A220" t="n">
        <x:v>18</x:v>
      </x:c>
      <x:c r="B220" t="n">
        <x:v>3</x:v>
      </x:c>
      <x:c r="C220" t="n">
        <x:v>31</x:v>
      </x:c>
      <x:c r="D220" t="n">
        <x:v>907.7273550059616</x:v>
      </x:c>
      <x:c r="E220" t="n">
        <x:f>IF(A220=0,1,(1+Parameters!$B$5)^(A220-1))</x:f>
        <x:v>1.4002414191924248</x:v>
      </x:c>
      <x:c r="F220" t="n">
        <x:f>Parameters!$B$2*E220</x:f>
        <x:v>0.49008449671734866</x:v>
      </x:c>
      <x:c r="G220" t="n">
        <x:f>D220*F220</x:f>
        <x:v>444.86310393466675</x:v>
      </x:c>
      <x:c r="H220" t="n">
        <x:f>C220*Parameters!$B$4</x:f>
        <x:v>21.7</x:v>
      </x:c>
      <x:c r="I220" t="n">
        <x:f>G220+H220</x:f>
        <x:v>466.56310393466674</x:v>
      </x:c>
      <x:c r="J220" t="n">
        <x:f>IF(A220=0,0,(A220-1)*12+B220)</x:f>
        <x:v>207</x:v>
      </x:c>
      <x:c r="K220" t="n">
        <x:f>(1+Parameters!$B$6)^(J220/12)</x:f>
        <x:v>1.8101769643795822</x:v>
      </x:c>
      <x:c r="L220" t="n">
        <x:f>I220/K220</x:f>
        <x:v>257.7444709084429</x:v>
      </x:c>
    </x:row>
    <x:row r="221">
      <x:c r="A221" t="n">
        <x:v>18</x:v>
      </x:c>
      <x:c r="B221" t="n">
        <x:v>4</x:v>
      </x:c>
      <x:c r="C221" t="n">
        <x:v>30</x:v>
      </x:c>
      <x:c r="D221" t="n">
        <x:v>951.0096133576476</x:v>
      </x:c>
      <x:c r="E221" t="n">
        <x:f>IF(A221=0,1,(1+Parameters!$B$5)^(A221-1))</x:f>
        <x:v>1.4002414191924248</x:v>
      </x:c>
      <x:c r="F221" t="n">
        <x:f>Parameters!$B$2*E221</x:f>
        <x:v>0.49008449671734866</x:v>
      </x:c>
      <x:c r="G221" t="n">
        <x:f>D221*F221</x:f>
        <x:v>466.07506773574306</x:v>
      </x:c>
      <x:c r="H221" t="n">
        <x:f>C221*Parameters!$B$4</x:f>
        <x:v>21</x:v>
      </x:c>
      <x:c r="I221" t="n">
        <x:f>G221+H221</x:f>
        <x:v>487.07506773574306</x:v>
      </x:c>
      <x:c r="J221" t="n">
        <x:f>IF(A221=0,0,(A221-1)*12+B221)</x:f>
        <x:v>208</x:v>
      </x:c>
      <x:c r="K221" t="n">
        <x:f>(1+Parameters!$B$6)^(J221/12)</x:f>
        <x:v>1.8153737991079215</x:v>
      </x:c>
      <x:c r="L221" t="n">
        <x:f>I221/K221</x:f>
        <x:v>268.30566133271986</x:v>
      </x:c>
    </x:row>
    <x:row r="222">
      <x:c r="A222" t="n">
        <x:v>18</x:v>
      </x:c>
      <x:c r="B222" t="n">
        <x:v>5</x:v>
      </x:c>
      <x:c r="C222" t="n">
        <x:v>31</x:v>
      </x:c>
      <x:c r="D222" t="n">
        <x:v>480.47</x:v>
      </x:c>
      <x:c r="E222" t="n">
        <x:f>IF(A222=0,1,(1+Parameters!$B$5)^(A222-1))</x:f>
        <x:v>1.4002414191924248</x:v>
      </x:c>
      <x:c r="F222" t="n">
        <x:f>Parameters!$B$2*E222</x:f>
        <x:v>0.49008449671734866</x:v>
      </x:c>
      <x:c r="G222" t="n">
        <x:f>D222*F222</x:f>
        <x:v>235.47089813778453</x:v>
      </x:c>
      <x:c r="H222" t="n">
        <x:f>C222*Parameters!$B$4</x:f>
        <x:v>21.7</x:v>
      </x:c>
      <x:c r="I222" t="n">
        <x:f>G222+H222</x:f>
        <x:v>257.17089813778455</x:v>
      </x:c>
      <x:c r="J222" t="n">
        <x:f>IF(A222=0,0,(A222-1)*12+B222)</x:f>
        <x:v>209</x:v>
      </x:c>
      <x:c r="K222" t="n">
        <x:f>(1+Parameters!$B$6)^(J222/12)</x:f>
        <x:v>1.8205855534224258</x:v>
      </x:c>
      <x:c r="L222" t="n">
        <x:f>I222/K222</x:f>
        <x:v>141.25724421702793</x:v>
      </x:c>
    </x:row>
    <x:row r="223">
      <x:c r="A223" t="n">
        <x:v>18</x:v>
      </x:c>
      <x:c r="B223" t="n">
        <x:v>6</x:v>
      </x:c>
      <x:c r="C223" t="n">
        <x:v>30</x:v>
      </x:c>
      <x:c r="D223" t="n">
        <x:v>491.73604926348474</x:v>
      </x:c>
      <x:c r="E223" t="n">
        <x:f>IF(A223=0,1,(1+Parameters!$B$5)^(A223-1))</x:f>
        <x:v>1.4002414191924248</x:v>
      </x:c>
      <x:c r="F223" t="n">
        <x:f>Parameters!$B$2*E223</x:f>
        <x:v>0.49008449671734866</x:v>
      </x:c>
      <x:c r="G223" t="n">
        <x:f>D223*F223</x:f>
        <x:v>240.9922142210723</x:v>
      </x:c>
      <x:c r="H223" t="n">
        <x:f>C223*Parameters!$B$4</x:f>
        <x:v>21</x:v>
      </x:c>
      <x:c r="I223" t="n">
        <x:f>G223+H223</x:f>
        <x:v>261.9922142210723</x:v>
      </x:c>
      <x:c r="J223" t="n">
        <x:f>IF(A223=0,0,(A223-1)*12+B223)</x:f>
        <x:v>210</x:v>
      </x:c>
      <x:c r="K223" t="n">
        <x:f>(1+Parameters!$B$6)^(J223/12)</x:f>
        <x:v>1.8258122701557156</x:v>
      </x:c>
      <x:c r="L223" t="n">
        <x:f>I223/K223</x:f>
        <x:v>143.49351162960917</x:v>
      </x:c>
    </x:row>
    <x:row r="224">
      <x:c r="A224" t="n">
        <x:v>18</x:v>
      </x:c>
      <x:c r="B224" t="n">
        <x:v>7</x:v>
      </x:c>
      <x:c r="C224" t="n">
        <x:v>31</x:v>
      </x:c>
      <x:c r="D224" t="n">
        <x:v>504.2151798375662</x:v>
      </x:c>
      <x:c r="E224" t="n">
        <x:f>IF(A224=0,1,(1+Parameters!$B$5)^(A224-1))</x:f>
        <x:v>1.4002414191924248</x:v>
      </x:c>
      <x:c r="F224" t="n">
        <x:f>Parameters!$B$2*E224</x:f>
        <x:v>0.49008449671734866</x:v>
      </x:c>
      <x:c r="G224" t="n">
        <x:f>D224*F224</x:f>
        <x:v>247.1080426479411</x:v>
      </x:c>
      <x:c r="H224" t="n">
        <x:f>C224*Parameters!$B$4</x:f>
        <x:v>21.7</x:v>
      </x:c>
      <x:c r="I224" t="n">
        <x:f>G224+H224</x:f>
        <x:v>268.8080426479411</x:v>
      </x:c>
      <x:c r="J224" t="n">
        <x:f>IF(A224=0,0,(A224-1)*12+B224)</x:f>
        <x:v>211</x:v>
      </x:c>
      <x:c r="K224" t="n">
        <x:f>(1+Parameters!$B$6)^(J224/12)</x:f>
        <x:v>1.83105399226338</x:v>
      </x:c>
      <x:c r="L224" t="n">
        <x:f>I224/K224</x:f>
        <x:v>146.80508809883065</x:v>
      </x:c>
    </x:row>
    <x:row r="225">
      <x:c r="A225" t="n">
        <x:v>18</x:v>
      </x:c>
      <x:c r="B225" t="n">
        <x:v>8</x:v>
      </x:c>
      <x:c r="C225" t="n">
        <x:v>31</x:v>
      </x:c>
      <x:c r="D225" t="n">
        <x:v>495.0866822817727</x:v>
      </x:c>
      <x:c r="E225" t="n">
        <x:f>IF(A225=0,1,(1+Parameters!$B$5)^(A225-1))</x:f>
        <x:v>1.4002414191924248</x:v>
      </x:c>
      <x:c r="F225" t="n">
        <x:f>Parameters!$B$2*E225</x:f>
        <x:v>0.49008449671734866</x:v>
      </x:c>
      <x:c r="G225" t="n">
        <x:f>D225*F225</x:f>
        <x:v>242.6343075175245</x:v>
      </x:c>
      <x:c r="H225" t="n">
        <x:f>C225*Parameters!$B$4</x:f>
        <x:v>21.7</x:v>
      </x:c>
      <x:c r="I225" t="n">
        <x:f>G225+H225</x:f>
        <x:v>264.3343075175245</x:v>
      </x:c>
      <x:c r="J225" t="n">
        <x:f>IF(A225=0,0,(A225-1)*12+B225)</x:f>
        <x:v>212</x:v>
      </x:c>
      <x:c r="K225" t="n">
        <x:f>(1+Parameters!$B$6)^(J225/12)</x:f>
        <x:v>1.8363107628243291</x:v>
      </x:c>
      <x:c r="L225" t="n">
        <x:f>I225/K225</x:f>
        <x:v>143.94856952805003</x:v>
      </x:c>
    </x:row>
    <x:row r="226">
      <x:c r="A226" t="n">
        <x:v>18</x:v>
      </x:c>
      <x:c r="B226" t="n">
        <x:v>9</x:v>
      </x:c>
      <x:c r="C226" t="n">
        <x:v>30</x:v>
      </x:c>
      <x:c r="D226" t="n">
        <x:v>484.7338669519189</x:v>
      </x:c>
      <x:c r="E226" t="n">
        <x:f>IF(A226=0,1,(1+Parameters!$B$5)^(A226-1))</x:f>
        <x:v>1.4002414191924248</x:v>
      </x:c>
      <x:c r="F226" t="n">
        <x:f>Parameters!$B$2*E226</x:f>
        <x:v>0.49008449671734866</x:v>
      </x:c>
      <x:c r="G226" t="n">
        <x:f>D226*F226</x:f>
        <x:v>237.56055322698543</x:v>
      </x:c>
      <x:c r="H226" t="n">
        <x:f>C226*Parameters!$B$4</x:f>
        <x:v>21</x:v>
      </x:c>
      <x:c r="I226" t="n">
        <x:f>G226+H226</x:f>
        <x:v>258.56055322698546</x:v>
      </x:c>
      <x:c r="J226" t="n">
        <x:f>IF(A226=0,0,(A226-1)*12+B226)</x:f>
        <x:v>213</x:v>
      </x:c>
      <x:c r="K226" t="n">
        <x:f>(1+Parameters!$B$6)^(J226/12)</x:f>
        <x:v>1.841582625041148</x:v>
      </x:c>
      <x:c r="L226" t="n">
        <x:f>I226/K226</x:f>
        <x:v>140.40127752682736</x:v>
      </x:c>
    </x:row>
    <x:row r="227">
      <x:c r="A227" t="n">
        <x:v>18</x:v>
      </x:c>
      <x:c r="B227" t="n">
        <x:v>10</x:v>
      </x:c>
      <x:c r="C227" t="n">
        <x:v>31</x:v>
      </x:c>
      <x:c r="D227" t="n">
        <x:v>965.136511636476</x:v>
      </x:c>
      <x:c r="E227" t="n">
        <x:f>IF(A227=0,1,(1+Parameters!$B$5)^(A227-1))</x:f>
        <x:v>1.4002414191924248</x:v>
      </x:c>
      <x:c r="F227" t="n">
        <x:f>Parameters!$B$2*E227</x:f>
        <x:v>0.49008449671734866</x:v>
      </x:c>
      <x:c r="G227" t="n">
        <x:f>D227*F227</x:f>
        <x:v>472.99844156889986</x:v>
      </x:c>
      <x:c r="H227" t="n">
        <x:f>C227*Parameters!$B$4</x:f>
        <x:v>21.7</x:v>
      </x:c>
      <x:c r="I227" t="n">
        <x:f>G227+H227</x:f>
        <x:v>494.69844156889985</x:v>
      </x:c>
      <x:c r="J227" t="n">
        <x:f>IF(A227=0,0,(A227-1)*12+B227)</x:f>
        <x:v>214</x:v>
      </x:c>
      <x:c r="K227" t="n">
        <x:f>(1+Parameters!$B$6)^(J227/12)</x:f>
        <x:v>1.8468696222404524</x:v>
      </x:c>
      <x:c r="L227" t="n">
        <x:f>I227/K227</x:f>
        <x:v>267.8578041522916</x:v>
      </x:c>
    </x:row>
    <x:row r="228">
      <x:c r="A228" t="n">
        <x:v>18</x:v>
      </x:c>
      <x:c r="B228" t="n">
        <x:v>11</x:v>
      </x:c>
      <x:c r="C228" t="n">
        <x:v>30</x:v>
      </x:c>
      <x:c r="D228" t="n">
        <x:v>948.3641557590579</x:v>
      </x:c>
      <x:c r="E228" t="n">
        <x:f>IF(A228=0,1,(1+Parameters!$B$5)^(A228-1))</x:f>
        <x:v>1.4002414191924248</x:v>
      </x:c>
      <x:c r="F228" t="n">
        <x:f>Parameters!$B$2*E228</x:f>
        <x:v>0.49008449671734866</x:v>
      </x:c>
      <x:c r="G228" t="n">
        <x:f>D228*F228</x:f>
        <x:v>464.77856997995116</x:v>
      </x:c>
      <x:c r="H228" t="n">
        <x:f>C228*Parameters!$B$4</x:f>
        <x:v>21</x:v>
      </x:c>
      <x:c r="I228" t="n">
        <x:f>G228+H228</x:f>
        <x:v>485.77856997995116</x:v>
      </x:c>
      <x:c r="J228" t="n">
        <x:f>IF(A228=0,0,(A228-1)*12+B228)</x:f>
        <x:v>215</x:v>
      </x:c>
      <x:c r="K228" t="n">
        <x:f>(1+Parameters!$B$6)^(J228/12)</x:f>
        <x:v>1.8521717978732442</x:v>
      </x:c>
      <x:c r="L228" t="n">
        <x:f>I228/K228</x:f>
        <x:v>262.27511429433616</x:v>
      </x:c>
    </x:row>
    <x:row r="229">
      <x:c r="A229" t="n">
        <x:v>18</x:v>
      </x:c>
      <x:c r="B229" t="n">
        <x:v>12</x:v>
      </x:c>
      <x:c r="C229" t="n">
        <x:v>31</x:v>
      </x:c>
      <x:c r="D229" t="n">
        <x:v>928.0366698691505</x:v>
      </x:c>
      <x:c r="E229" t="n">
        <x:f>IF(A229=0,1,(1+Parameters!$B$5)^(A229-1))</x:f>
        <x:v>1.4002414191924248</x:v>
      </x:c>
      <x:c r="F229" t="n">
        <x:f>Parameters!$B$2*E229</x:f>
        <x:v>0.49008449671734866</x:v>
      </x:c>
      <x:c r="G229" t="n">
        <x:f>D229*F229</x:f>
        <x:v>454.8163842880669</x:v>
      </x:c>
      <x:c r="H229" t="n">
        <x:f>C229*Parameters!$B$4</x:f>
        <x:v>21.7</x:v>
      </x:c>
      <x:c r="I229" t="n">
        <x:f>G229+H229</x:f>
        <x:v>476.5163842880669</x:v>
      </x:c>
      <x:c r="J229" t="n">
        <x:f>IF(A229=0,0,(A229-1)*12+B229)</x:f>
        <x:v>216</x:v>
      </x:c>
      <x:c r="K229" t="n">
        <x:f>(1+Parameters!$B$6)^(J229/12)</x:f>
        <x:v>1.8574891955152681</x:v>
      </x:c>
      <x:c r="L229" t="n">
        <x:f>I229/K229</x:f>
        <x:v>256.53790365972014</x:v>
      </x:c>
    </x:row>
    <x:row r="230">
      <x:c r="A230" t="n">
        <x:v>19</x:v>
      </x:c>
      <x:c r="B230" t="n">
        <x:v>1</x:v>
      </x:c>
      <x:c r="C230" t="n">
        <x:v>31</x:v>
      </x:c>
      <x:c r="D230" t="n">
        <x:v>921.8588397150115</x:v>
      </x:c>
      <x:c r="E230" t="n">
        <x:f>IF(A230=0,1,(1+Parameters!$B$5)^(A230-1))</x:f>
        <x:v>1.4282462475762734</x:v>
      </x:c>
      <x:c r="F230" t="n">
        <x:f>Parameters!$B$2*E230</x:f>
        <x:v>0.49988618665169565</x:v>
      </x:c>
      <x:c r="G230" t="n">
        <x:f>D230*F230</x:f>
        <x:v>460.8245000162938</x:v>
      </x:c>
      <x:c r="H230" t="n">
        <x:f>C230*Parameters!$B$4</x:f>
        <x:v>21.7</x:v>
      </x:c>
      <x:c r="I230" t="n">
        <x:f>G230+H230</x:f>
        <x:v>482.5245000162938</x:v>
      </x:c>
      <x:c r="J230" t="n">
        <x:f>IF(A230=0,0,(A230-1)*12+B230)</x:f>
        <x:v>217</x:v>
      </x:c>
      <x:c r="K230" t="n">
        <x:f>(1+Parameters!$B$6)^(J230/12)</x:f>
        <x:v>1.8628218588673715</x:v>
      </x:c>
      <x:c r="L230" t="n">
        <x:f>I230/K230</x:f>
        <x:v>259.0287942560848</x:v>
      </x:c>
    </x:row>
    <x:row r="231">
      <x:c r="A231" t="n">
        <x:v>19</x:v>
      </x:c>
      <x:c r="B231" t="n">
        <x:v>2</x:v>
      </x:c>
      <x:c r="C231" t="n">
        <x:v>28</x:v>
      </x:c>
      <x:c r="D231" t="n">
        <x:v>923.6252753036425</x:v>
      </x:c>
      <x:c r="E231" t="n">
        <x:f>IF(A231=0,1,(1+Parameters!$B$5)^(A231-1))</x:f>
        <x:v>1.4282462475762734</x:v>
      </x:c>
      <x:c r="F231" t="n">
        <x:f>Parameters!$B$2*E231</x:f>
        <x:v>0.49988618665169565</x:v>
      </x:c>
      <x:c r="G231" t="n">
        <x:f>D231*F231</x:f>
        <x:v>461.70751676666043</x:v>
      </x:c>
      <x:c r="H231" t="n">
        <x:f>C231*Parameters!$B$4</x:f>
        <x:v>19.599999999999998</x:v>
      </x:c>
      <x:c r="I231" t="n">
        <x:f>G231+H231</x:f>
        <x:v>481.30751676666046</x:v>
      </x:c>
      <x:c r="J231" t="n">
        <x:f>IF(A231=0,0,(A231-1)*12+B231)</x:f>
        <x:v>218</x:v>
      </x:c>
      <x:c r="K231" t="n">
        <x:f>(1+Parameters!$B$6)^(J231/12)</x:f>
        <x:v>1.868169831755862</x:v>
      </x:c>
      <x:c r="L231" t="n">
        <x:f>I231/K231</x:f>
        <x:v>257.6358469049291</x:v>
      </x:c>
    </x:row>
    <x:row r="232">
      <x:c r="A232" t="n">
        <x:v>19</x:v>
      </x:c>
      <x:c r="B232" t="n">
        <x:v>3</x:v>
      </x:c>
      <x:c r="C232" t="n">
        <x:v>31</x:v>
      </x:c>
      <x:c r="D232" t="n">
        <x:v>907.7273550059616</x:v>
      </x:c>
      <x:c r="E232" t="n">
        <x:f>IF(A232=0,1,(1+Parameters!$B$5)^(A232-1))</x:f>
        <x:v>1.4282462475762734</x:v>
      </x:c>
      <x:c r="F232" t="n">
        <x:f>Parameters!$B$2*E232</x:f>
        <x:v>0.49988618665169565</x:v>
      </x:c>
      <x:c r="G232" t="n">
        <x:f>D232*F232</x:f>
        <x:v>453.7603660133601</x:v>
      </x:c>
      <x:c r="H232" t="n">
        <x:f>C232*Parameters!$B$4</x:f>
        <x:v>21.7</x:v>
      </x:c>
      <x:c r="I232" t="n">
        <x:f>G232+H232</x:f>
        <x:v>475.4603660133601</x:v>
      </x:c>
      <x:c r="J232" t="n">
        <x:f>IF(A232=0,0,(A232-1)*12+B232)</x:f>
        <x:v>219</x:v>
      </x:c>
      <x:c r="K232" t="n">
        <x:f>(1+Parameters!$B$6)^(J232/12)</x:f>
        <x:v>1.8735331581328674</x:v>
      </x:c>
      <x:c r="L232" t="n">
        <x:f>I232/K232</x:f>
        <x:v>253.77739590538988</x:v>
      </x:c>
    </x:row>
    <x:row r="233">
      <x:c r="A233" t="n">
        <x:v>19</x:v>
      </x:c>
      <x:c r="B233" t="n">
        <x:v>4</x:v>
      </x:c>
      <x:c r="C233" t="n">
        <x:v>30</x:v>
      </x:c>
      <x:c r="D233" t="n">
        <x:v>951.0096133576476</x:v>
      </x:c>
      <x:c r="E233" t="n">
        <x:f>IF(A233=0,1,(1+Parameters!$B$5)^(A233-1))</x:f>
        <x:v>1.4282462475762734</x:v>
      </x:c>
      <x:c r="F233" t="n">
        <x:f>Parameters!$B$2*E233</x:f>
        <x:v>0.49988618665169565</x:v>
      </x:c>
      <x:c r="G233" t="n">
        <x:f>D233*F233</x:f>
        <x:v>475.39656909045794</x:v>
      </x:c>
      <x:c r="H233" t="n">
        <x:f>C233*Parameters!$B$4</x:f>
        <x:v>21</x:v>
      </x:c>
      <x:c r="I233" t="n">
        <x:f>G233+H233</x:f>
        <x:v>496.39656909045794</x:v>
      </x:c>
      <x:c r="J233" t="n">
        <x:f>IF(A233=0,0,(A233-1)*12+B233)</x:f>
        <x:v>220</x:v>
      </x:c>
      <x:c r="K233" t="n">
        <x:f>(1+Parameters!$B$6)^(J233/12)</x:f>
        <x:v>1.8789118820766986</x:v>
      </x:c>
      <x:c r="L233" t="n">
        <x:f>I233/K233</x:f>
        <x:v>264.1936398538325</x:v>
      </x:c>
    </x:row>
    <x:row r="234">
      <x:c r="A234" t="n">
        <x:v>19</x:v>
      </x:c>
      <x:c r="B234" t="n">
        <x:v>5</x:v>
      </x:c>
      <x:c r="C234" t="n">
        <x:v>31</x:v>
      </x:c>
      <x:c r="D234" t="n">
        <x:v>480.47</x:v>
      </x:c>
      <x:c r="E234" t="n">
        <x:f>IF(A234=0,1,(1+Parameters!$B$5)^(A234-1))</x:f>
        <x:v>1.4282462475762734</x:v>
      </x:c>
      <x:c r="F234" t="n">
        <x:f>Parameters!$B$2*E234</x:f>
        <x:v>0.49988618665169565</x:v>
      </x:c>
      <x:c r="G234" t="n">
        <x:f>D234*F234</x:f>
        <x:v>240.1803161005402</x:v>
      </x:c>
      <x:c r="H234" t="n">
        <x:f>C234*Parameters!$B$4</x:f>
        <x:v>21.7</x:v>
      </x:c>
      <x:c r="I234" t="n">
        <x:f>G234+H234</x:f>
        <x:v>261.8803161005402</x:v>
      </x:c>
      <x:c r="J234" t="n">
        <x:f>IF(A234=0,0,(A234-1)*12+B234)</x:f>
        <x:v>221</x:v>
      </x:c>
      <x:c r="K234" t="n">
        <x:f>(1+Parameters!$B$6)^(J234/12)</x:f>
        <x:v>1.8843060477922107</x:v>
      </x:c>
      <x:c r="L234" t="n">
        <x:f>I234/K234</x:f>
        <x:v>138.9797142599941</x:v>
      </x:c>
    </x:row>
    <x:row r="235">
      <x:c r="A235" t="n">
        <x:v>19</x:v>
      </x:c>
      <x:c r="B235" t="n">
        <x:v>6</x:v>
      </x:c>
      <x:c r="C235" t="n">
        <x:v>30</x:v>
      </x:c>
      <x:c r="D235" t="n">
        <x:v>491.73604926348474</x:v>
      </x:c>
      <x:c r="E235" t="n">
        <x:f>IF(A235=0,1,(1+Parameters!$B$5)^(A235-1))</x:f>
        <x:v>1.4282462475762734</x:v>
      </x:c>
      <x:c r="F235" t="n">
        <x:f>Parameters!$B$2*E235</x:f>
        <x:v>0.49988618665169565</x:v>
      </x:c>
      <x:c r="G235" t="n">
        <x:f>D235*F235</x:f>
        <x:v>245.81205850549375</x:v>
      </x:c>
      <x:c r="H235" t="n">
        <x:f>C235*Parameters!$B$4</x:f>
        <x:v>21</x:v>
      </x:c>
      <x:c r="I235" t="n">
        <x:f>G235+H235</x:f>
        <x:v>266.8120585054937</x:v>
      </x:c>
      <x:c r="J235" t="n">
        <x:f>IF(A235=0,0,(A235-1)*12+B235)</x:f>
        <x:v>222</x:v>
      </x:c>
      <x:c r="K235" t="n">
        <x:f>(1+Parameters!$B$6)^(J235/12)</x:f>
        <x:v>1.8897156996111655</x:v>
      </x:c>
      <x:c r="L235" t="n">
        <x:f>I235/K235</x:f>
        <x:v>141.1916398643425</x:v>
      </x:c>
    </x:row>
    <x:row r="236">
      <x:c r="A236" t="n">
        <x:v>19</x:v>
      </x:c>
      <x:c r="B236" t="n">
        <x:v>7</x:v>
      </x:c>
      <x:c r="C236" t="n">
        <x:v>31</x:v>
      </x:c>
      <x:c r="D236" t="n">
        <x:v>504.2151798375662</x:v>
      </x:c>
      <x:c r="E236" t="n">
        <x:f>IF(A236=0,1,(1+Parameters!$B$5)^(A236-1))</x:f>
        <x:v>1.4282462475762734</x:v>
      </x:c>
      <x:c r="F236" t="n">
        <x:f>Parameters!$B$2*E236</x:f>
        <x:v>0.49988618665169565</x:v>
      </x:c>
      <x:c r="G236" t="n">
        <x:f>D236*F236</x:f>
        <x:v>252.05020350089993</x:v>
      </x:c>
      <x:c r="H236" t="n">
        <x:f>C236*Parameters!$B$4</x:f>
        <x:v>21.7</x:v>
      </x:c>
      <x:c r="I236" t="n">
        <x:f>G236+H236</x:f>
        <x:v>273.75020350089994</x:v>
      </x:c>
      <x:c r="J236" t="n">
        <x:f>IF(A236=0,0,(A236-1)*12+B236)</x:f>
        <x:v>223</x:v>
      </x:c>
      <x:c r="K236" t="n">
        <x:f>(1+Parameters!$B$6)^(J236/12)</x:f>
        <x:v>1.8951408819925981</x:v>
      </x:c>
      <x:c r="L236" t="n">
        <x:f>I236/K236</x:f>
        <x:v>144.44847140497131</x:v>
      </x:c>
    </x:row>
    <x:row r="237">
      <x:c r="A237" t="n">
        <x:v>19</x:v>
      </x:c>
      <x:c r="B237" t="n">
        <x:v>8</x:v>
      </x:c>
      <x:c r="C237" t="n">
        <x:v>31</x:v>
      </x:c>
      <x:c r="D237" t="n">
        <x:v>495.0866822817727</x:v>
      </x:c>
      <x:c r="E237" t="n">
        <x:f>IF(A237=0,1,(1+Parameters!$B$5)^(A237-1))</x:f>
        <x:v>1.4282462475762734</x:v>
      </x:c>
      <x:c r="F237" t="n">
        <x:f>Parameters!$B$2*E237</x:f>
        <x:v>0.49988618665169565</x:v>
      </x:c>
      <x:c r="G237" t="n">
        <x:f>D237*F237</x:f>
        <x:v>247.48699366787497</x:v>
      </x:c>
      <x:c r="H237" t="n">
        <x:f>C237*Parameters!$B$4</x:f>
        <x:v>21.7</x:v>
      </x:c>
      <x:c r="I237" t="n">
        <x:f>G237+H237</x:f>
        <x:v>269.18699366787496</x:v>
      </x:c>
      <x:c r="J237" t="n">
        <x:f>IF(A237=0,0,(A237-1)*12+B237)</x:f>
        <x:v>224</x:v>
      </x:c>
      <x:c r="K237" t="n">
        <x:f>(1+Parameters!$B$6)^(J237/12)</x:f>
        <x:v>1.9005816395231805</x:v>
      </x:c>
      <x:c r="L237" t="n">
        <x:f>I237/K237</x:f>
        <x:v>141.63400722707647</x:v>
      </x:c>
    </x:row>
    <x:row r="238">
      <x:c r="A238" t="n">
        <x:v>19</x:v>
      </x:c>
      <x:c r="B238" t="n">
        <x:v>9</x:v>
      </x:c>
      <x:c r="C238" t="n">
        <x:v>30</x:v>
      </x:c>
      <x:c r="D238" t="n">
        <x:v>484.7338669519189</x:v>
      </x:c>
      <x:c r="E238" t="n">
        <x:f>IF(A238=0,1,(1+Parameters!$B$5)^(A238-1))</x:f>
        <x:v>1.4282462475762734</x:v>
      </x:c>
      <x:c r="F238" t="n">
        <x:f>Parameters!$B$2*E238</x:f>
        <x:v>0.49988618665169565</x:v>
      </x:c>
      <x:c r="G238" t="n">
        <x:f>D238*F238</x:f>
        <x:v>242.31176429152515</x:v>
      </x:c>
      <x:c r="H238" t="n">
        <x:f>C238*Parameters!$B$4</x:f>
        <x:v>21</x:v>
      </x:c>
      <x:c r="I238" t="n">
        <x:f>G238+H238</x:f>
        <x:v>263.31176429152515</x:v>
      </x:c>
      <x:c r="J238" t="n">
        <x:f>IF(A238=0,0,(A238-1)*12+B238)</x:f>
        <x:v>225</x:v>
      </x:c>
      <x:c r="K238" t="n">
        <x:f>(1+Parameters!$B$6)^(J238/12)</x:f>
        <x:v>1.9060380169175881</x:v>
      </x:c>
      <x:c r="L238" t="n">
        <x:f>I238/K238</x:f>
        <x:v>138.14612403027954</x:v>
      </x:c>
    </x:row>
    <x:row r="239">
      <x:c r="A239" t="n">
        <x:v>19</x:v>
      </x:c>
      <x:c r="B239" t="n">
        <x:v>10</x:v>
      </x:c>
      <x:c r="C239" t="n">
        <x:v>31</x:v>
      </x:c>
      <x:c r="D239" t="n">
        <x:v>965.136511636476</x:v>
      </x:c>
      <x:c r="E239" t="n">
        <x:f>IF(A239=0,1,(1+Parameters!$B$5)^(A239-1))</x:f>
        <x:v>1.4282462475762734</x:v>
      </x:c>
      <x:c r="F239" t="n">
        <x:f>Parameters!$B$2*E239</x:f>
        <x:v>0.49988618665169565</x:v>
      </x:c>
      <x:c r="G239" t="n">
        <x:f>D239*F239</x:f>
        <x:v>482.4584104002779</x:v>
      </x:c>
      <x:c r="H239" t="n">
        <x:f>C239*Parameters!$B$4</x:f>
        <x:v>21.7</x:v>
      </x:c>
      <x:c r="I239" t="n">
        <x:f>G239+H239</x:f>
        <x:v>504.1584104002779</x:v>
      </x:c>
      <x:c r="J239" t="n">
        <x:f>IF(A239=0,0,(A239-1)*12+B239)</x:f>
        <x:v>226</x:v>
      </x:c>
      <x:c r="K239" t="n">
        <x:f>(1+Parameters!$B$6)^(J239/12)</x:f>
        <x:v>1.911510059018868</x:v>
      </x:c>
      <x:c r="L239" t="n">
        <x:f>I239/K239</x:f>
        <x:v>263.7487613635945</x:v>
      </x:c>
    </x:row>
    <x:row r="240">
      <x:c r="A240" t="n">
        <x:v>19</x:v>
      </x:c>
      <x:c r="B240" t="n">
        <x:v>11</x:v>
      </x:c>
      <x:c r="C240" t="n">
        <x:v>30</x:v>
      </x:c>
      <x:c r="D240" t="n">
        <x:v>948.3641557590579</x:v>
      </x:c>
      <x:c r="E240" t="n">
        <x:f>IF(A240=0,1,(1+Parameters!$B$5)^(A240-1))</x:f>
        <x:v>1.4282462475762734</x:v>
      </x:c>
      <x:c r="F240" t="n">
        <x:f>Parameters!$B$2*E240</x:f>
        <x:v>0.49988618665169565</x:v>
      </x:c>
      <x:c r="G240" t="n">
        <x:f>D240*F240</x:f>
        <x:v>474.07414137955016</x:v>
      </x:c>
      <x:c r="H240" t="n">
        <x:f>C240*Parameters!$B$4</x:f>
        <x:v>21</x:v>
      </x:c>
      <x:c r="I240" t="n">
        <x:f>G240+H240</x:f>
        <x:v>495.07414137955016</x:v>
      </x:c>
      <x:c r="J240" t="n">
        <x:f>IF(A240=0,0,(A240-1)*12+B240)</x:f>
        <x:v>227</x:v>
      </x:c>
      <x:c r="K240" t="n">
        <x:f>(1+Parameters!$B$6)^(J240/12)</x:f>
        <x:v>1.9169978107988075</x:v>
      </x:c>
      <x:c r="L240" t="n">
        <x:f>I240/K240</x:f>
        <x:v>258.2549330994041</x:v>
      </x:c>
    </x:row>
    <x:row r="241">
      <x:c r="A241" t="n">
        <x:v>19</x:v>
      </x:c>
      <x:c r="B241" t="n">
        <x:v>12</x:v>
      </x:c>
      <x:c r="C241" t="n">
        <x:v>31</x:v>
      </x:c>
      <x:c r="D241" t="n">
        <x:v>928.0366698691505</x:v>
      </x:c>
      <x:c r="E241" t="n">
        <x:f>IF(A241=0,1,(1+Parameters!$B$5)^(A241-1))</x:f>
        <x:v>1.4282462475762734</x:v>
      </x:c>
      <x:c r="F241" t="n">
        <x:f>Parameters!$B$2*E241</x:f>
        <x:v>0.49988618665169565</x:v>
      </x:c>
      <x:c r="G241" t="n">
        <x:f>D241*F241</x:f>
        <x:v>463.9127119738282</x:v>
      </x:c>
      <x:c r="H241" t="n">
        <x:f>C241*Parameters!$B$4</x:f>
        <x:v>21.7</x:v>
      </x:c>
      <x:c r="I241" t="n">
        <x:f>G241+H241</x:f>
        <x:v>485.6127119738282</x:v>
      </x:c>
      <x:c r="J241" t="n">
        <x:f>IF(A241=0,0,(A241-1)*12+B241)</x:f>
        <x:v>228</x:v>
      </x:c>
      <x:c r="K241" t="n">
        <x:f>(1+Parameters!$B$6)^(J241/12)</x:f>
        <x:v>1.9225013173583025</x:v>
      </x:c>
      <x:c r="L241" t="n">
        <x:f>I241/K241</x:f>
        <x:v>252.59421545734267</x:v>
      </x:c>
    </x:row>
    <x:row r="242">
      <x:c r="A242" t="n">
        <x:v>20</x:v>
      </x:c>
      <x:c r="B242" t="n">
        <x:v>1</x:v>
      </x:c>
      <x:c r="C242" t="n">
        <x:v>31</x:v>
      </x:c>
      <x:c r="D242" t="n">
        <x:v>921.8588397150115</x:v>
      </x:c>
      <x:c r="E242" t="n">
        <x:f>IF(A242=0,1,(1+Parameters!$B$5)^(A242-1))</x:f>
        <x:v>1.4568111725277988</x:v>
      </x:c>
      <x:c r="F242" t="n">
        <x:f>Parameters!$B$2*E242</x:f>
        <x:v>0.5098839103847296</x:v>
      </x:c>
      <x:c r="G242" t="n">
        <x:f>D242*F242</x:f>
        <x:v>470.04099001661973</x:v>
      </x:c>
      <x:c r="H242" t="n">
        <x:f>C242*Parameters!$B$4</x:f>
        <x:v>21.7</x:v>
      </x:c>
      <x:c r="I242" t="n">
        <x:f>G242+H242</x:f>
        <x:v>491.7409900166197</x:v>
      </x:c>
      <x:c r="J242" t="n">
        <x:f>IF(A242=0,0,(A242-1)*12+B242)</x:f>
        <x:v>229</x:v>
      </x:c>
      <x:c r="K242" t="n">
        <x:f>(1+Parameters!$B$6)^(J242/12)</x:f>
        <x:v>1.9280206239277295</x:v>
      </x:c>
      <x:c r="L242" t="n">
        <x:f>I242/K242</x:f>
        <x:v>255.04965243310193</x:v>
      </x:c>
    </x:row>
    <x:row r="243">
      <x:c r="A243" t="n">
        <x:v>20</x:v>
      </x:c>
      <x:c r="B243" t="n">
        <x:v>2</x:v>
      </x:c>
      <x:c r="C243" t="n">
        <x:v>28</x:v>
      </x:c>
      <x:c r="D243" t="n">
        <x:v>923.6252753036425</x:v>
      </x:c>
      <x:c r="E243" t="n">
        <x:f>IF(A243=0,1,(1+Parameters!$B$5)^(A243-1))</x:f>
        <x:v>1.4568111725277988</x:v>
      </x:c>
      <x:c r="F243" t="n">
        <x:f>Parameters!$B$2*E243</x:f>
        <x:v>0.5098839103847296</x:v>
      </x:c>
      <x:c r="G243" t="n">
        <x:f>D243*F243</x:f>
        <x:v>470.94166710199363</x:v>
      </x:c>
      <x:c r="H243" t="n">
        <x:f>C243*Parameters!$B$4</x:f>
        <x:v>19.599999999999998</x:v>
      </x:c>
      <x:c r="I243" t="n">
        <x:f>G243+H243</x:f>
        <x:v>490.54166710199365</x:v>
      </x:c>
      <x:c r="J243" t="n">
        <x:f>IF(A243=0,0,(A243-1)*12+B243)</x:f>
        <x:v>230</x:v>
      </x:c>
      <x:c r="K243" t="n">
        <x:f>(1+Parameters!$B$6)^(J243/12)</x:f>
        <x:v>1.933555775867317</x:v>
      </x:c>
      <x:c r="L243" t="n">
        <x:f>I243/K243</x:f>
        <x:v>253.69925875655485</x:v>
      </x:c>
    </x:row>
    <x:row r="244">
      <x:c r="A244" t="n">
        <x:v>20</x:v>
      </x:c>
      <x:c r="B244" t="n">
        <x:v>3</x:v>
      </x:c>
      <x:c r="C244" t="n">
        <x:v>31</x:v>
      </x:c>
      <x:c r="D244" t="n">
        <x:v>907.7273550059616</x:v>
      </x:c>
      <x:c r="E244" t="n">
        <x:f>IF(A244=0,1,(1+Parameters!$B$5)^(A244-1))</x:f>
        <x:v>1.4568111725277988</x:v>
      </x:c>
      <x:c r="F244" t="n">
        <x:f>Parameters!$B$2*E244</x:f>
        <x:v>0.5098839103847296</x:v>
      </x:c>
      <x:c r="G244" t="n">
        <x:f>D244*F244</x:f>
        <x:v>462.83557333362734</x:v>
      </x:c>
      <x:c r="H244" t="n">
        <x:f>C244*Parameters!$B$4</x:f>
        <x:v>21.7</x:v>
      </x:c>
      <x:c r="I244" t="n">
        <x:f>G244+H244</x:f>
        <x:v>484.5355733336273</x:v>
      </x:c>
      <x:c r="J244" t="n">
        <x:f>IF(A244=0,0,(A244-1)*12+B244)</x:f>
        <x:v>231</x:v>
      </x:c>
      <x:c r="K244" t="n">
        <x:f>(1+Parameters!$B$6)^(J244/12)</x:f>
        <x:v>1.9391068186675176</x:v>
      </x:c>
      <x:c r="L244" t="n">
        <x:f>I244/K244</x:f>
        <x:v>249.87564824643454</x:v>
      </x:c>
    </x:row>
    <x:row r="245">
      <x:c r="A245" t="n">
        <x:v>20</x:v>
      </x:c>
      <x:c r="B245" t="n">
        <x:v>4</x:v>
      </x:c>
      <x:c r="C245" t="n">
        <x:v>30</x:v>
      </x:c>
      <x:c r="D245" t="n">
        <x:v>951.0096133576476</x:v>
      </x:c>
      <x:c r="E245" t="n">
        <x:f>IF(A245=0,1,(1+Parameters!$B$5)^(A245-1))</x:f>
        <x:v>1.4568111725277988</x:v>
      </x:c>
      <x:c r="F245" t="n">
        <x:f>Parameters!$B$2*E245</x:f>
        <x:v>0.5098839103847296</x:v>
      </x:c>
      <x:c r="G245" t="n">
        <x:f>D245*F245</x:f>
        <x:v>484.9045004722671</x:v>
      </x:c>
      <x:c r="H245" t="n">
        <x:f>C245*Parameters!$B$4</x:f>
        <x:v>21</x:v>
      </x:c>
      <x:c r="I245" t="n">
        <x:f>G245+H245</x:f>
        <x:v>505.9045004722671</x:v>
      </x:c>
      <x:c r="J245" t="n">
        <x:f>IF(A245=0,0,(A245-1)*12+B245)</x:f>
        <x:v>232</x:v>
      </x:c>
      <x:c r="K245" t="n">
        <x:f>(1+Parameters!$B$6)^(J245/12)</x:f>
        <x:v>1.9446737979493829</x:v>
      </x:c>
      <x:c r="L245" t="n">
        <x:f>I245/K245</x:f>
        <x:v>260.14877199751066</x:v>
      </x:c>
    </x:row>
    <x:row r="246">
      <x:c r="A246" t="n">
        <x:v>20</x:v>
      </x:c>
      <x:c r="B246" t="n">
        <x:v>5</x:v>
      </x:c>
      <x:c r="C246" t="n">
        <x:v>31</x:v>
      </x:c>
      <x:c r="D246" t="n">
        <x:v>480.47</x:v>
      </x:c>
      <x:c r="E246" t="n">
        <x:f>IF(A246=0,1,(1+Parameters!$B$5)^(A246-1))</x:f>
        <x:v>1.4568111725277988</x:v>
      </x:c>
      <x:c r="F246" t="n">
        <x:f>Parameters!$B$2*E246</x:f>
        <x:v>0.5098839103847296</x:v>
      </x:c>
      <x:c r="G246" t="n">
        <x:f>D246*F246</x:f>
        <x:v>244.98392242255105</x:v>
      </x:c>
      <x:c r="H246" t="n">
        <x:f>C246*Parameters!$B$4</x:f>
        <x:v>21.7</x:v>
      </x:c>
      <x:c r="I246" t="n">
        <x:f>G246+H246</x:f>
        <x:v>266.68392242255106</x:v>
      </x:c>
      <x:c r="J246" t="n">
        <x:f>IF(A246=0,0,(A246-1)*12+B246)</x:f>
        <x:v>233</x:v>
      </x:c>
      <x:c r="K246" t="n">
        <x:f>(1+Parameters!$B$6)^(J246/12)</x:f>
        <x:v>1.9502567594649378</x:v>
      </x:c>
      <x:c r="L246" t="n">
        <x:f>I246/K246</x:f>
        <x:v>136.74298070153444</x:v>
      </x:c>
    </x:row>
    <x:row r="247">
      <x:c r="A247" t="n">
        <x:v>20</x:v>
      </x:c>
      <x:c r="B247" t="n">
        <x:v>6</x:v>
      </x:c>
      <x:c r="C247" t="n">
        <x:v>30</x:v>
      </x:c>
      <x:c r="D247" t="n">
        <x:v>491.73604926348474</x:v>
      </x:c>
      <x:c r="E247" t="n">
        <x:f>IF(A247=0,1,(1+Parameters!$B$5)^(A247-1))</x:f>
        <x:v>1.4568111725277988</x:v>
      </x:c>
      <x:c r="F247" t="n">
        <x:f>Parameters!$B$2*E247</x:f>
        <x:v>0.5098839103847296</x:v>
      </x:c>
      <x:c r="G247" t="n">
        <x:f>D247*F247</x:f>
        <x:v>250.72829967560364</x:v>
      </x:c>
      <x:c r="H247" t="n">
        <x:f>C247*Parameters!$B$4</x:f>
        <x:v>21</x:v>
      </x:c>
      <x:c r="I247" t="n">
        <x:f>G247+H247</x:f>
        <x:v>271.72829967560364</x:v>
      </x:c>
      <x:c r="J247" t="n">
        <x:f>IF(A247=0,0,(A247-1)*12+B247)</x:f>
        <x:v>234</x:v>
      </x:c>
      <x:c r="K247" t="n">
        <x:f>(1+Parameters!$B$6)^(J247/12)</x:f>
        <x:v>1.955855749097556</x:v>
      </x:c>
      <x:c r="L247" t="n">
        <x:f>I247/K247</x:f>
        <x:v>138.93064445114663</x:v>
      </x:c>
    </x:row>
    <x:row r="248">
      <x:c r="A248" t="n">
        <x:v>20</x:v>
      </x:c>
      <x:c r="B248" t="n">
        <x:v>7</x:v>
      </x:c>
      <x:c r="C248" t="n">
        <x:v>31</x:v>
      </x:c>
      <x:c r="D248" t="n">
        <x:v>504.2151798375662</x:v>
      </x:c>
      <x:c r="E248" t="n">
        <x:f>IF(A248=0,1,(1+Parameters!$B$5)^(A248-1))</x:f>
        <x:v>1.4568111725277988</x:v>
      </x:c>
      <x:c r="F248" t="n">
        <x:f>Parameters!$B$2*E248</x:f>
        <x:v>0.5098839103847296</x:v>
      </x:c>
      <x:c r="G248" t="n">
        <x:f>D248*F248</x:f>
        <x:v>257.0912075709179</x:v>
      </x:c>
      <x:c r="H248" t="n">
        <x:f>C248*Parameters!$B$4</x:f>
        <x:v>21.7</x:v>
      </x:c>
      <x:c r="I248" t="n">
        <x:f>G248+H248</x:f>
        <x:v>278.7912075709179</x:v>
      </x:c>
      <x:c r="J248" t="n">
        <x:f>IF(A248=0,0,(A248-1)*12+B248)</x:f>
        <x:v>235</x:v>
      </x:c>
      <x:c r="K248" t="n">
        <x:f>(1+Parameters!$B$6)^(J248/12)</x:f>
        <x:v>1.9614708128623388</x:v>
      </x:c>
      <x:c r="L248" t="n">
        <x:f>I248/K248</x:f>
        <x:v>142.13375276488713</x:v>
      </x:c>
    </x:row>
    <x:row r="249">
      <x:c r="A249" t="n">
        <x:v>20</x:v>
      </x:c>
      <x:c r="B249" t="n">
        <x:v>8</x:v>
      </x:c>
      <x:c r="C249" t="n">
        <x:v>31</x:v>
      </x:c>
      <x:c r="D249" t="n">
        <x:v>495.0866822817727</x:v>
      </x:c>
      <x:c r="E249" t="n">
        <x:f>IF(A249=0,1,(1+Parameters!$B$5)^(A249-1))</x:f>
        <x:v>1.4568111725277988</x:v>
      </x:c>
      <x:c r="F249" t="n">
        <x:f>Parameters!$B$2*E249</x:f>
        <x:v>0.5098839103847296</x:v>
      </x:c>
      <x:c r="G249" t="n">
        <x:f>D249*F249</x:f>
        <x:v>252.43673354123248</x:v>
      </x:c>
      <x:c r="H249" t="n">
        <x:f>C249*Parameters!$B$4</x:f>
        <x:v>21.7</x:v>
      </x:c>
      <x:c r="I249" t="n">
        <x:f>G249+H249</x:f>
        <x:v>274.1367335412325</x:v>
      </x:c>
      <x:c r="J249" t="n">
        <x:f>IF(A249=0,0,(A249-1)*12+B249)</x:f>
        <x:v>236</x:v>
      </x:c>
      <x:c r="K249" t="n">
        <x:f>(1+Parameters!$B$6)^(J249/12)</x:f>
        <x:v>1.9671019969064918</x:v>
      </x:c>
      <x:c r="L249" t="n">
        <x:f>I249/K249</x:f>
        <x:v>139.36071132678734</x:v>
      </x:c>
    </x:row>
    <x:row r="250">
      <x:c r="A250" t="n">
        <x:v>20</x:v>
      </x:c>
      <x:c r="B250" t="n">
        <x:v>9</x:v>
      </x:c>
      <x:c r="C250" t="n">
        <x:v>30</x:v>
      </x:c>
      <x:c r="D250" t="n">
        <x:v>484.7338669519189</x:v>
      </x:c>
      <x:c r="E250" t="n">
        <x:f>IF(A250=0,1,(1+Parameters!$B$5)^(A250-1))</x:f>
        <x:v>1.4568111725277988</x:v>
      </x:c>
      <x:c r="F250" t="n">
        <x:f>Parameters!$B$2*E250</x:f>
        <x:v>0.5098839103847296</x:v>
      </x:c>
      <x:c r="G250" t="n">
        <x:f>D250*F250</x:f>
        <x:v>247.15799957735564</x:v>
      </x:c>
      <x:c r="H250" t="n">
        <x:f>C250*Parameters!$B$4</x:f>
        <x:v>21</x:v>
      </x:c>
      <x:c r="I250" t="n">
        <x:f>G250+H250</x:f>
        <x:v>268.15799957735567</x:v>
      </x:c>
      <x:c r="J250" t="n">
        <x:f>IF(A250=0,0,(A250-1)*12+B250)</x:f>
        <x:v>237</x:v>
      </x:c>
      <x:c r="K250" t="n">
        <x:f>(1+Parameters!$B$6)^(J250/12)</x:f>
        <x:v>1.9727493475097035</x:v>
      </x:c>
      <x:c r="L250" t="n">
        <x:f>I250/K250</x:f>
        <x:v>135.9311054472604</x:v>
      </x:c>
    </x:row>
    <x:row r="251">
      <x:c r="A251" t="n">
        <x:v>20</x:v>
      </x:c>
      <x:c r="B251" t="n">
        <x:v>10</x:v>
      </x:c>
      <x:c r="C251" t="n">
        <x:v>31</x:v>
      </x:c>
      <x:c r="D251" t="n">
        <x:v>965.136511636476</x:v>
      </x:c>
      <x:c r="E251" t="n">
        <x:f>IF(A251=0,1,(1+Parameters!$B$5)^(A251-1))</x:f>
        <x:v>1.4568111725277988</x:v>
      </x:c>
      <x:c r="F251" t="n">
        <x:f>Parameters!$B$2*E251</x:f>
        <x:v>0.5098839103847296</x:v>
      </x:c>
      <x:c r="G251" t="n">
        <x:f>D251*F251</x:f>
        <x:v>492.10757860828346</x:v>
      </x:c>
      <x:c r="H251" t="n">
        <x:f>C251*Parameters!$B$4</x:f>
        <x:v>21.7</x:v>
      </x:c>
      <x:c r="I251" t="n">
        <x:f>G251+H251</x:f>
        <x:v>513.8075786082835</x:v>
      </x:c>
      <x:c r="J251" t="n">
        <x:f>IF(A251=0,0,(A251-1)*12+B251)</x:f>
        <x:v>238</x:v>
      </x:c>
      <x:c r="K251" t="n">
        <x:f>(1+Parameters!$B$6)^(J251/12)</x:f>
        <x:v>1.9784129110845283</x:v>
      </x:c>
      <x:c r="L251" t="n">
        <x:f>I251/K251</x:f>
        <x:v>259.70694779110795</x:v>
      </x:c>
    </x:row>
    <x:row r="252">
      <x:c r="A252" t="n">
        <x:v>20</x:v>
      </x:c>
      <x:c r="B252" t="n">
        <x:v>11</x:v>
      </x:c>
      <x:c r="C252" t="n">
        <x:v>30</x:v>
      </x:c>
      <x:c r="D252" t="n">
        <x:v>948.3641557590579</x:v>
      </x:c>
      <x:c r="E252" t="n">
        <x:f>IF(A252=0,1,(1+Parameters!$B$5)^(A252-1))</x:f>
        <x:v>1.4568111725277988</x:v>
      </x:c>
      <x:c r="F252" t="n">
        <x:f>Parameters!$B$2*E252</x:f>
        <x:v>0.5098839103847296</x:v>
      </x:c>
      <x:c r="G252" t="n">
        <x:f>D252*F252</x:f>
        <x:v>483.5556242071412</x:v>
      </x:c>
      <x:c r="H252" t="n">
        <x:f>C252*Parameters!$B$4</x:f>
        <x:v>21</x:v>
      </x:c>
      <x:c r="I252" t="n">
        <x:f>G252+H252</x:f>
        <x:v>504.5556242071412</x:v>
      </x:c>
      <x:c r="J252" t="n">
        <x:f>IF(A252=0,0,(A252-1)*12+B252)</x:f>
        <x:v>239</x:v>
      </x:c>
      <x:c r="K252" t="n">
        <x:f>(1+Parameters!$B$6)^(J252/12)</x:f>
        <x:v>1.9840927341767656</x:v>
      </x:c>
      <x:c r="L252" t="n">
        <x:f>I252/K252</x:f>
        <x:v>254.30042432794355</x:v>
      </x:c>
    </x:row>
    <x:row r="253">
      <x:c r="A253" t="n">
        <x:v>20</x:v>
      </x:c>
      <x:c r="B253" t="n">
        <x:v>12</x:v>
      </x:c>
      <x:c r="C253" t="n">
        <x:v>31</x:v>
      </x:c>
      <x:c r="D253" t="n">
        <x:v>928.0366698691505</x:v>
      </x:c>
      <x:c r="E253" t="n">
        <x:f>IF(A253=0,1,(1+Parameters!$B$5)^(A253-1))</x:f>
        <x:v>1.4568111725277988</x:v>
      </x:c>
      <x:c r="F253" t="n">
        <x:f>Parameters!$B$2*E253</x:f>
        <x:v>0.5098839103847296</x:v>
      </x:c>
      <x:c r="G253" t="n">
        <x:f>D253*F253</x:f>
        <x:v>473.1909662133048</x:v>
      </x:c>
      <x:c r="H253" t="n">
        <x:f>C253*Parameters!$B$4</x:f>
        <x:v>21.7</x:v>
      </x:c>
      <x:c r="I253" t="n">
        <x:f>G253+H253</x:f>
        <x:v>494.8909662133048</x:v>
      </x:c>
      <x:c r="J253" t="n">
        <x:f>IF(A253=0,0,(A253-1)*12+B253)</x:f>
        <x:v>240</x:v>
      </x:c>
      <x:c r="K253" t="n">
        <x:f>(1+Parameters!$B$6)^(J253/12)</x:f>
        <x:v>1.989788863465843</x:v>
      </x:c>
      <x:c r="L253" t="n">
        <x:f>I253/K253</x:f>
        <x:v>248.71531613223354</x:v>
      </x:c>
    </x:row>
  </x:sheetData>
  <x:pageMargins left="0.7" right="0.7" top="0.75" bottom="0.75" header="0.3" footer="0.3"/>
</x:worksheet>
</file>